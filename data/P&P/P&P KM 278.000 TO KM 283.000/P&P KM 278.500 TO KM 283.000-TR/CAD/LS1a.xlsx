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 - TATA PROJECTS LIMITED\BACKUP E DRIVE 01.04.2024\301 AS BUILT DATA\P &amp; P\OUTWARD\P&amp;P KM 278.500 TO KM 283.000-TR\P&amp;P KM 278.500 TO KM 283.000-TR\CAD\"/>
    </mc:Choice>
  </mc:AlternateContent>
  <xr:revisionPtr revIDLastSave="0" documentId="13_ncr:1_{359391C2-B7CC-448A-8C40-6BF3F32C4775}" xr6:coauthVersionLast="47" xr6:coauthVersionMax="47" xr10:uidLastSave="{00000000-0000-0000-0000-000000000000}"/>
  <bookViews>
    <workbookView xWindow="20" yWindow="20" windowWidth="19180" windowHeight="10060" xr2:uid="{6BC893BD-3567-4ED4-B915-2E72BBA49B95}"/>
  </bookViews>
  <sheets>
    <sheet name="Sheet1" sheetId="1" r:id="rId1"/>
    <sheet name="Sheet2" sheetId="2" r:id="rId2"/>
  </sheets>
  <definedNames>
    <definedName name="_xlnm._FilterDatabase" localSheetId="0" hidden="1">Sheet1!$A$1971:$X$1997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26" i="1" l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25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194" i="1"/>
  <c r="H2195" i="1"/>
  <c r="H2194" i="1"/>
  <c r="E2195" i="1"/>
  <c r="E2194" i="1"/>
  <c r="O2354" i="1"/>
  <c r="O2327" i="1"/>
  <c r="O2300" i="1"/>
  <c r="O2273" i="1"/>
  <c r="O2246" i="1"/>
  <c r="O2163" i="1"/>
  <c r="O2111" i="1"/>
  <c r="O1997" i="1"/>
  <c r="O1946" i="1"/>
  <c r="O1919" i="1"/>
  <c r="O1892" i="1"/>
  <c r="O1838" i="1"/>
  <c r="O1811" i="1"/>
  <c r="O1784" i="1"/>
  <c r="O1757" i="1"/>
  <c r="O1730" i="1"/>
  <c r="O1702" i="1"/>
  <c r="O1675" i="1"/>
  <c r="O1648" i="1"/>
  <c r="O1621" i="1"/>
  <c r="O1567" i="1"/>
  <c r="N1543" i="1"/>
  <c r="N1544" i="1" s="1"/>
  <c r="N1545" i="1" s="1"/>
  <c r="N1546" i="1" s="1"/>
  <c r="N1547" i="1" s="1"/>
  <c r="N1548" i="1" s="1"/>
  <c r="N1549" i="1" s="1"/>
  <c r="N1550" i="1" s="1"/>
  <c r="N1551" i="1" s="1"/>
  <c r="N1552" i="1" s="1"/>
  <c r="N1553" i="1" s="1"/>
  <c r="N1554" i="1" s="1"/>
  <c r="N1555" i="1" s="1"/>
  <c r="N1556" i="1" s="1"/>
  <c r="N1557" i="1" s="1"/>
  <c r="N1558" i="1" s="1"/>
  <c r="N1559" i="1" s="1"/>
  <c r="N1560" i="1" s="1"/>
  <c r="N1561" i="1" s="1"/>
  <c r="N1562" i="1" s="1"/>
  <c r="N1563" i="1" s="1"/>
  <c r="N1564" i="1" s="1"/>
  <c r="N1565" i="1" s="1"/>
  <c r="N1566" i="1" s="1"/>
  <c r="N1570" i="1" s="1"/>
  <c r="N1571" i="1" s="1"/>
  <c r="N1572" i="1" s="1"/>
  <c r="N1573" i="1" s="1"/>
  <c r="N1574" i="1" s="1"/>
  <c r="N1575" i="1" s="1"/>
  <c r="N1576" i="1" s="1"/>
  <c r="N1577" i="1" s="1"/>
  <c r="N1578" i="1" s="1"/>
  <c r="N1579" i="1" s="1"/>
  <c r="N1580" i="1" s="1"/>
  <c r="N1581" i="1" s="1"/>
  <c r="N1582" i="1" s="1"/>
  <c r="N1583" i="1" s="1"/>
  <c r="N1584" i="1" s="1"/>
  <c r="N1585" i="1" s="1"/>
  <c r="N1586" i="1" s="1"/>
  <c r="N1587" i="1" s="1"/>
  <c r="N1588" i="1" s="1"/>
  <c r="N1589" i="1" s="1"/>
  <c r="N1590" i="1" s="1"/>
  <c r="N1591" i="1" s="1"/>
  <c r="N1592" i="1" s="1"/>
  <c r="N1593" i="1" s="1"/>
  <c r="N1594" i="1" s="1"/>
  <c r="N1597" i="1" s="1"/>
  <c r="N1598" i="1" s="1"/>
  <c r="N1599" i="1" s="1"/>
  <c r="N1600" i="1" s="1"/>
  <c r="N1601" i="1" s="1"/>
  <c r="N1602" i="1" s="1"/>
  <c r="N1603" i="1" s="1"/>
  <c r="N1604" i="1" s="1"/>
  <c r="N1605" i="1" s="1"/>
  <c r="N1606" i="1" s="1"/>
  <c r="N1607" i="1" s="1"/>
  <c r="N1608" i="1" s="1"/>
  <c r="N1609" i="1" s="1"/>
  <c r="N1610" i="1" s="1"/>
  <c r="N1611" i="1" s="1"/>
  <c r="N1612" i="1" s="1"/>
  <c r="N1613" i="1" s="1"/>
  <c r="N1614" i="1" s="1"/>
  <c r="N1615" i="1" s="1"/>
  <c r="N1616" i="1" s="1"/>
  <c r="N1617" i="1" s="1"/>
  <c r="N1618" i="1" s="1"/>
  <c r="N1619" i="1" s="1"/>
  <c r="N1620" i="1" s="1"/>
  <c r="N1624" i="1" s="1"/>
  <c r="N1625" i="1" s="1"/>
  <c r="N1626" i="1" s="1"/>
  <c r="N1627" i="1" s="1"/>
  <c r="N1628" i="1" s="1"/>
  <c r="N1629" i="1" s="1"/>
  <c r="N1630" i="1" s="1"/>
  <c r="N1631" i="1" s="1"/>
  <c r="N1632" i="1" s="1"/>
  <c r="N1633" i="1" s="1"/>
  <c r="N1634" i="1" s="1"/>
  <c r="N1635" i="1" s="1"/>
  <c r="N1636" i="1" s="1"/>
  <c r="N1637" i="1" s="1"/>
  <c r="N1638" i="1" s="1"/>
  <c r="N1639" i="1" s="1"/>
  <c r="N1640" i="1" s="1"/>
  <c r="N1641" i="1" s="1"/>
  <c r="N1642" i="1" s="1"/>
  <c r="N1643" i="1" s="1"/>
  <c r="N1644" i="1" s="1"/>
  <c r="N1645" i="1" s="1"/>
  <c r="N1646" i="1" s="1"/>
  <c r="N1647" i="1" s="1"/>
  <c r="N1651" i="1" s="1"/>
  <c r="N1652" i="1" s="1"/>
  <c r="N1653" i="1" s="1"/>
  <c r="N1654" i="1" s="1"/>
  <c r="N1655" i="1" s="1"/>
  <c r="N1656" i="1" s="1"/>
  <c r="N1657" i="1" s="1"/>
  <c r="N1658" i="1" s="1"/>
  <c r="N1659" i="1" s="1"/>
  <c r="N1660" i="1" s="1"/>
  <c r="N1661" i="1" s="1"/>
  <c r="N1662" i="1" s="1"/>
  <c r="N1663" i="1" s="1"/>
  <c r="N1664" i="1" s="1"/>
  <c r="N1665" i="1" s="1"/>
  <c r="N1666" i="1" s="1"/>
  <c r="N1667" i="1" s="1"/>
  <c r="N1668" i="1" s="1"/>
  <c r="N1669" i="1" s="1"/>
  <c r="N1670" i="1" s="1"/>
  <c r="N1671" i="1" s="1"/>
  <c r="N1672" i="1" s="1"/>
  <c r="N1673" i="1" s="1"/>
  <c r="N1674" i="1" s="1"/>
  <c r="N1678" i="1" s="1"/>
  <c r="N1679" i="1" s="1"/>
  <c r="N1680" i="1" s="1"/>
  <c r="N1681" i="1" s="1"/>
  <c r="N1682" i="1" s="1"/>
  <c r="N1683" i="1" s="1"/>
  <c r="N1684" i="1" s="1"/>
  <c r="N1685" i="1" s="1"/>
  <c r="N1686" i="1" s="1"/>
  <c r="N1687" i="1" s="1"/>
  <c r="N1688" i="1" s="1"/>
  <c r="N1689" i="1" s="1"/>
  <c r="N1690" i="1" s="1"/>
  <c r="N1691" i="1" s="1"/>
  <c r="N1692" i="1" s="1"/>
  <c r="N1693" i="1" s="1"/>
  <c r="N1694" i="1" s="1"/>
  <c r="N1695" i="1" s="1"/>
  <c r="N1696" i="1" s="1"/>
  <c r="N1697" i="1" s="1"/>
  <c r="N1698" i="1" s="1"/>
  <c r="N1699" i="1" s="1"/>
  <c r="N1700" i="1" s="1"/>
  <c r="N1701" i="1" s="1"/>
  <c r="N1705" i="1" s="1"/>
  <c r="N1706" i="1" s="1"/>
  <c r="N1707" i="1" s="1"/>
  <c r="N1708" i="1" s="1"/>
  <c r="N1709" i="1" s="1"/>
  <c r="N1710" i="1" s="1"/>
  <c r="N1711" i="1" s="1"/>
  <c r="N1712" i="1" s="1"/>
  <c r="N1713" i="1" s="1"/>
  <c r="N1714" i="1" s="1"/>
  <c r="N1715" i="1" s="1"/>
  <c r="N1716" i="1" s="1"/>
  <c r="N1717" i="1" s="1"/>
  <c r="N1718" i="1" s="1"/>
  <c r="N1719" i="1" s="1"/>
  <c r="N1720" i="1" s="1"/>
  <c r="N1721" i="1" s="1"/>
  <c r="N1722" i="1" s="1"/>
  <c r="N1723" i="1" s="1"/>
  <c r="N1724" i="1" s="1"/>
  <c r="N1725" i="1" s="1"/>
  <c r="N1726" i="1" s="1"/>
  <c r="N1727" i="1" s="1"/>
  <c r="N1728" i="1" s="1"/>
  <c r="N1729" i="1" s="1"/>
  <c r="N1733" i="1" s="1"/>
  <c r="N1734" i="1" s="1"/>
  <c r="N1735" i="1" s="1"/>
  <c r="N1736" i="1" s="1"/>
  <c r="N1737" i="1" s="1"/>
  <c r="N1738" i="1" s="1"/>
  <c r="N1739" i="1" s="1"/>
  <c r="N1740" i="1" s="1"/>
  <c r="N1741" i="1" s="1"/>
  <c r="N1742" i="1" s="1"/>
  <c r="N1743" i="1" s="1"/>
  <c r="N1744" i="1" s="1"/>
  <c r="N1745" i="1" s="1"/>
  <c r="N1746" i="1" s="1"/>
  <c r="N1747" i="1" s="1"/>
  <c r="N1748" i="1" s="1"/>
  <c r="N1749" i="1" s="1"/>
  <c r="N1750" i="1" s="1"/>
  <c r="N1751" i="1" s="1"/>
  <c r="N1752" i="1" s="1"/>
  <c r="N1753" i="1" s="1"/>
  <c r="N1754" i="1" s="1"/>
  <c r="N1755" i="1" s="1"/>
  <c r="N1756" i="1" s="1"/>
  <c r="N1760" i="1" s="1"/>
  <c r="N1761" i="1" s="1"/>
  <c r="N1762" i="1" s="1"/>
  <c r="N1763" i="1" s="1"/>
  <c r="N1764" i="1" s="1"/>
  <c r="N1765" i="1" s="1"/>
  <c r="N1766" i="1" s="1"/>
  <c r="N1767" i="1" s="1"/>
  <c r="N1768" i="1" s="1"/>
  <c r="N1769" i="1" s="1"/>
  <c r="N1770" i="1" s="1"/>
  <c r="N1771" i="1" s="1"/>
  <c r="N1772" i="1" s="1"/>
  <c r="N1773" i="1" s="1"/>
  <c r="N1774" i="1" s="1"/>
  <c r="N1775" i="1" s="1"/>
  <c r="N1776" i="1" s="1"/>
  <c r="N1777" i="1" s="1"/>
  <c r="N1778" i="1" s="1"/>
  <c r="N1779" i="1" s="1"/>
  <c r="N1780" i="1" s="1"/>
  <c r="N1781" i="1" s="1"/>
  <c r="N1782" i="1" s="1"/>
  <c r="N1783" i="1" s="1"/>
  <c r="N1787" i="1" s="1"/>
  <c r="N1788" i="1" s="1"/>
  <c r="N1789" i="1" s="1"/>
  <c r="N1790" i="1" s="1"/>
  <c r="N1791" i="1" s="1"/>
  <c r="N1792" i="1" s="1"/>
  <c r="N1793" i="1" s="1"/>
  <c r="N1794" i="1" s="1"/>
  <c r="N1795" i="1" s="1"/>
  <c r="N1796" i="1" s="1"/>
  <c r="N1797" i="1" s="1"/>
  <c r="N1798" i="1" s="1"/>
  <c r="N1799" i="1" s="1"/>
  <c r="N1800" i="1" s="1"/>
  <c r="N1801" i="1" s="1"/>
  <c r="N1802" i="1" s="1"/>
  <c r="N1803" i="1" s="1"/>
  <c r="N1804" i="1" s="1"/>
  <c r="N1805" i="1" s="1"/>
  <c r="N1806" i="1" s="1"/>
  <c r="N1807" i="1" s="1"/>
  <c r="N1808" i="1" s="1"/>
  <c r="N1809" i="1" s="1"/>
  <c r="N1810" i="1" s="1"/>
  <c r="N1814" i="1" s="1"/>
  <c r="N1815" i="1" s="1"/>
  <c r="N1816" i="1" s="1"/>
  <c r="N1817" i="1" s="1"/>
  <c r="N1818" i="1" s="1"/>
  <c r="N1819" i="1" s="1"/>
  <c r="N1820" i="1" s="1"/>
  <c r="N1821" i="1" s="1"/>
  <c r="N1822" i="1" s="1"/>
  <c r="N1823" i="1" s="1"/>
  <c r="N1824" i="1" s="1"/>
  <c r="N1825" i="1" s="1"/>
  <c r="N1826" i="1" s="1"/>
  <c r="N1827" i="1" s="1"/>
  <c r="N1828" i="1" s="1"/>
  <c r="N1829" i="1" s="1"/>
  <c r="N1830" i="1" s="1"/>
  <c r="N1831" i="1" s="1"/>
  <c r="N1832" i="1" s="1"/>
  <c r="N1833" i="1" s="1"/>
  <c r="N1834" i="1" s="1"/>
  <c r="N1835" i="1" s="1"/>
  <c r="N1836" i="1" s="1"/>
  <c r="N1837" i="1" s="1"/>
  <c r="N1841" i="1" s="1"/>
  <c r="N1842" i="1" s="1"/>
  <c r="N1843" i="1" s="1"/>
  <c r="N1844" i="1" s="1"/>
  <c r="N1845" i="1" s="1"/>
  <c r="N1846" i="1" s="1"/>
  <c r="N1847" i="1" s="1"/>
  <c r="N1848" i="1" s="1"/>
  <c r="N1849" i="1" s="1"/>
  <c r="N1850" i="1" s="1"/>
  <c r="N1851" i="1" s="1"/>
  <c r="N1852" i="1" s="1"/>
  <c r="N1853" i="1" s="1"/>
  <c r="N1854" i="1" s="1"/>
  <c r="N1855" i="1" s="1"/>
  <c r="N1856" i="1" s="1"/>
  <c r="N1857" i="1" s="1"/>
  <c r="N1858" i="1" s="1"/>
  <c r="N1859" i="1" s="1"/>
  <c r="N1860" i="1" s="1"/>
  <c r="N1861" i="1" s="1"/>
  <c r="N1862" i="1" s="1"/>
  <c r="N1863" i="1" s="1"/>
  <c r="N1864" i="1" s="1"/>
  <c r="N1865" i="1" s="1"/>
  <c r="N1868" i="1" s="1"/>
  <c r="N1869" i="1" s="1"/>
  <c r="N1870" i="1" s="1"/>
  <c r="N1871" i="1" s="1"/>
  <c r="N1872" i="1" s="1"/>
  <c r="N1873" i="1" s="1"/>
  <c r="N1874" i="1" s="1"/>
  <c r="N1875" i="1" s="1"/>
  <c r="N1876" i="1" s="1"/>
  <c r="N1877" i="1" s="1"/>
  <c r="N1878" i="1" s="1"/>
  <c r="N1879" i="1" s="1"/>
  <c r="N1880" i="1" s="1"/>
  <c r="N1881" i="1" s="1"/>
  <c r="N1882" i="1" s="1"/>
  <c r="N1883" i="1" s="1"/>
  <c r="N1884" i="1" s="1"/>
  <c r="N1885" i="1" s="1"/>
  <c r="N1886" i="1" s="1"/>
  <c r="N1887" i="1" s="1"/>
  <c r="N1888" i="1" s="1"/>
  <c r="N1889" i="1" s="1"/>
  <c r="N1890" i="1" s="1"/>
  <c r="N1891" i="1" s="1"/>
  <c r="N1895" i="1" s="1"/>
  <c r="N1896" i="1" s="1"/>
  <c r="N1897" i="1" s="1"/>
  <c r="N1898" i="1" s="1"/>
  <c r="N1899" i="1" s="1"/>
  <c r="N1900" i="1" s="1"/>
  <c r="N1901" i="1" s="1"/>
  <c r="N1902" i="1" s="1"/>
  <c r="N1903" i="1" s="1"/>
  <c r="N1904" i="1" s="1"/>
  <c r="N1905" i="1" s="1"/>
  <c r="N1906" i="1" s="1"/>
  <c r="N1907" i="1" s="1"/>
  <c r="N1908" i="1" s="1"/>
  <c r="N1909" i="1" s="1"/>
  <c r="N1910" i="1" s="1"/>
  <c r="N1911" i="1" s="1"/>
  <c r="N1912" i="1" s="1"/>
  <c r="N1913" i="1" s="1"/>
  <c r="N1914" i="1" s="1"/>
  <c r="N1915" i="1" s="1"/>
  <c r="N1916" i="1" s="1"/>
  <c r="N1917" i="1" s="1"/>
  <c r="N1918" i="1" s="1"/>
  <c r="N1922" i="1" s="1"/>
  <c r="N1923" i="1" s="1"/>
  <c r="N1924" i="1" s="1"/>
  <c r="N1925" i="1" s="1"/>
  <c r="N1926" i="1" s="1"/>
  <c r="N1927" i="1" s="1"/>
  <c r="N1928" i="1" s="1"/>
  <c r="N1929" i="1" s="1"/>
  <c r="N1930" i="1" s="1"/>
  <c r="N1931" i="1" s="1"/>
  <c r="N1932" i="1" s="1"/>
  <c r="N1933" i="1" s="1"/>
  <c r="N1934" i="1" s="1"/>
  <c r="N1935" i="1" s="1"/>
  <c r="N1936" i="1" s="1"/>
  <c r="N1937" i="1" s="1"/>
  <c r="N1938" i="1" s="1"/>
  <c r="N1939" i="1" s="1"/>
  <c r="N1940" i="1" s="1"/>
  <c r="N1941" i="1" s="1"/>
  <c r="N1942" i="1" s="1"/>
  <c r="N1943" i="1" s="1"/>
  <c r="N1944" i="1" s="1"/>
  <c r="N1945" i="1" s="1"/>
  <c r="N1949" i="1" s="1"/>
  <c r="N1950" i="1" s="1"/>
  <c r="N1951" i="1" s="1"/>
  <c r="N1952" i="1" s="1"/>
  <c r="N1953" i="1" s="1"/>
  <c r="N1954" i="1" s="1"/>
  <c r="N1955" i="1" s="1"/>
  <c r="N1956" i="1" s="1"/>
  <c r="N1957" i="1" s="1"/>
  <c r="N1958" i="1" s="1"/>
  <c r="N1959" i="1" s="1"/>
  <c r="N1960" i="1" s="1"/>
  <c r="N1961" i="1" s="1"/>
  <c r="N1962" i="1" s="1"/>
  <c r="N1963" i="1" s="1"/>
  <c r="N1964" i="1" s="1"/>
  <c r="N1965" i="1" s="1"/>
  <c r="N1966" i="1" s="1"/>
  <c r="N1967" i="1" s="1"/>
  <c r="N1968" i="1" s="1"/>
  <c r="N1969" i="1" s="1"/>
  <c r="N1970" i="1" s="1"/>
  <c r="N1973" i="1" s="1"/>
  <c r="N1974" i="1" s="1"/>
  <c r="N1975" i="1" s="1"/>
  <c r="N1976" i="1" s="1"/>
  <c r="N1977" i="1" s="1"/>
  <c r="N1978" i="1" s="1"/>
  <c r="N1979" i="1" s="1"/>
  <c r="N1980" i="1" s="1"/>
  <c r="N1981" i="1" s="1"/>
  <c r="N1982" i="1" s="1"/>
  <c r="N1983" i="1" s="1"/>
  <c r="N1984" i="1" s="1"/>
  <c r="N1985" i="1" s="1"/>
  <c r="N1986" i="1" s="1"/>
  <c r="N1987" i="1" s="1"/>
  <c r="N1988" i="1" s="1"/>
  <c r="N1989" i="1" s="1"/>
  <c r="N1990" i="1" s="1"/>
  <c r="N1991" i="1" s="1"/>
  <c r="N1992" i="1" s="1"/>
  <c r="N1993" i="1" s="1"/>
  <c r="N1994" i="1" s="1"/>
  <c r="N1995" i="1" s="1"/>
  <c r="N1996" i="1" s="1"/>
  <c r="N2000" i="1" s="1"/>
  <c r="N2001" i="1" s="1"/>
  <c r="N2002" i="1" s="1"/>
  <c r="N2003" i="1" s="1"/>
  <c r="N2004" i="1" s="1"/>
  <c r="N2005" i="1" s="1"/>
  <c r="N2006" i="1" s="1"/>
  <c r="N2007" i="1" s="1"/>
  <c r="N2008" i="1" s="1"/>
  <c r="N2009" i="1" s="1"/>
  <c r="N2010" i="1" s="1"/>
  <c r="N2011" i="1" s="1"/>
  <c r="N2012" i="1" s="1"/>
  <c r="N2013" i="1" s="1"/>
  <c r="N2014" i="1" s="1"/>
  <c r="N2015" i="1" s="1"/>
  <c r="N2016" i="1" s="1"/>
  <c r="N2017" i="1" s="1"/>
  <c r="N2018" i="1" s="1"/>
  <c r="N2019" i="1" s="1"/>
  <c r="N2020" i="1" s="1"/>
  <c r="N2021" i="1" s="1"/>
  <c r="N2022" i="1" s="1"/>
  <c r="N2032" i="1" s="1"/>
  <c r="N2033" i="1" s="1"/>
  <c r="N2034" i="1" s="1"/>
  <c r="N2035" i="1" s="1"/>
  <c r="N2036" i="1" s="1"/>
  <c r="N2037" i="1" s="1"/>
  <c r="N2038" i="1" s="1"/>
  <c r="N2039" i="1" s="1"/>
  <c r="N2040" i="1" s="1"/>
  <c r="N2041" i="1" s="1"/>
  <c r="N2042" i="1" s="1"/>
  <c r="N2043" i="1" s="1"/>
  <c r="N2044" i="1" s="1"/>
  <c r="N2045" i="1" s="1"/>
  <c r="N2046" i="1" s="1"/>
  <c r="N2047" i="1" s="1"/>
  <c r="N2048" i="1" s="1"/>
  <c r="N2049" i="1" s="1"/>
  <c r="N2050" i="1" s="1"/>
  <c r="N2051" i="1" s="1"/>
  <c r="N2052" i="1" s="1"/>
  <c r="N2053" i="1" s="1"/>
  <c r="N2054" i="1" s="1"/>
  <c r="N2055" i="1" s="1"/>
  <c r="N2056" i="1" s="1"/>
  <c r="N2059" i="1" s="1"/>
  <c r="N2060" i="1" s="1"/>
  <c r="N2061" i="1" s="1"/>
  <c r="N2062" i="1" s="1"/>
  <c r="N2063" i="1" s="1"/>
  <c r="N2064" i="1" s="1"/>
  <c r="N2065" i="1" s="1"/>
  <c r="N2066" i="1" s="1"/>
  <c r="N2067" i="1" s="1"/>
  <c r="N2068" i="1" s="1"/>
  <c r="N2069" i="1" s="1"/>
  <c r="N2070" i="1" s="1"/>
  <c r="N2071" i="1" s="1"/>
  <c r="N2072" i="1" s="1"/>
  <c r="N2073" i="1" s="1"/>
  <c r="N2074" i="1" s="1"/>
  <c r="N2075" i="1" s="1"/>
  <c r="N2076" i="1" s="1"/>
  <c r="N2077" i="1" s="1"/>
  <c r="N2078" i="1" s="1"/>
  <c r="N2079" i="1" s="1"/>
  <c r="N2080" i="1" s="1"/>
  <c r="N2081" i="1" s="1"/>
  <c r="N2082" i="1" s="1"/>
  <c r="N2083" i="1" s="1"/>
  <c r="N2084" i="1" s="1"/>
  <c r="N2087" i="1" s="1"/>
  <c r="N2088" i="1" s="1"/>
  <c r="N2089" i="1" s="1"/>
  <c r="N2090" i="1" s="1"/>
  <c r="N2091" i="1" s="1"/>
  <c r="N2092" i="1" s="1"/>
  <c r="N2093" i="1" s="1"/>
  <c r="N2094" i="1" s="1"/>
  <c r="N2095" i="1" s="1"/>
  <c r="N2096" i="1" s="1"/>
  <c r="N2097" i="1" s="1"/>
  <c r="N2098" i="1" s="1"/>
  <c r="N2099" i="1" s="1"/>
  <c r="N2100" i="1" s="1"/>
  <c r="N2101" i="1" s="1"/>
  <c r="N2102" i="1" s="1"/>
  <c r="N2103" i="1" s="1"/>
  <c r="N2104" i="1" s="1"/>
  <c r="N2105" i="1" s="1"/>
  <c r="N2106" i="1" s="1"/>
  <c r="N2107" i="1" s="1"/>
  <c r="N2108" i="1" s="1"/>
  <c r="N2109" i="1" s="1"/>
  <c r="N2110" i="1" s="1"/>
  <c r="N2114" i="1" s="1"/>
  <c r="N2115" i="1" s="1"/>
  <c r="N2116" i="1" s="1"/>
  <c r="N2117" i="1" s="1"/>
  <c r="N2118" i="1" s="1"/>
  <c r="N2119" i="1" s="1"/>
  <c r="N2120" i="1" s="1"/>
  <c r="N2121" i="1" s="1"/>
  <c r="N2122" i="1" s="1"/>
  <c r="N2123" i="1" s="1"/>
  <c r="N2124" i="1" s="1"/>
  <c r="N2125" i="1" s="1"/>
  <c r="N2126" i="1" s="1"/>
  <c r="N2127" i="1" s="1"/>
  <c r="N2128" i="1" s="1"/>
  <c r="N2129" i="1" s="1"/>
  <c r="N2130" i="1" s="1"/>
  <c r="N2131" i="1" s="1"/>
  <c r="N2132" i="1" s="1"/>
  <c r="N2133" i="1" s="1"/>
  <c r="N2134" i="1" s="1"/>
  <c r="N2135" i="1" s="1"/>
  <c r="N2136" i="1" s="1"/>
  <c r="N2139" i="1" s="1"/>
  <c r="N2140" i="1" s="1"/>
  <c r="N2141" i="1" s="1"/>
  <c r="N2142" i="1" s="1"/>
  <c r="N2143" i="1" s="1"/>
  <c r="N2144" i="1" s="1"/>
  <c r="N2145" i="1" s="1"/>
  <c r="N2146" i="1" s="1"/>
  <c r="N2147" i="1" s="1"/>
  <c r="N2148" i="1" s="1"/>
  <c r="N2149" i="1" s="1"/>
  <c r="N2150" i="1" s="1"/>
  <c r="N2151" i="1" s="1"/>
  <c r="N2152" i="1" s="1"/>
  <c r="N2153" i="1" s="1"/>
  <c r="N2154" i="1" s="1"/>
  <c r="N2155" i="1" s="1"/>
  <c r="N2156" i="1" s="1"/>
  <c r="N2157" i="1" s="1"/>
  <c r="N2158" i="1" s="1"/>
  <c r="N2159" i="1" s="1"/>
  <c r="N2160" i="1" s="1"/>
  <c r="N2161" i="1" s="1"/>
  <c r="N2162" i="1" s="1"/>
  <c r="N2166" i="1" s="1"/>
  <c r="N2167" i="1" s="1"/>
  <c r="N2168" i="1" s="1"/>
  <c r="N2169" i="1" s="1"/>
  <c r="N2170" i="1" s="1"/>
  <c r="N2171" i="1" s="1"/>
  <c r="N2172" i="1" s="1"/>
  <c r="N2173" i="1" s="1"/>
  <c r="N2174" i="1" s="1"/>
  <c r="N2175" i="1" s="1"/>
  <c r="N2176" i="1" s="1"/>
  <c r="N2177" i="1" s="1"/>
  <c r="N2178" i="1" s="1"/>
  <c r="N2179" i="1" s="1"/>
  <c r="N2180" i="1" s="1"/>
  <c r="N2181" i="1" s="1"/>
  <c r="N2182" i="1" s="1"/>
  <c r="N2183" i="1" s="1"/>
  <c r="N2184" i="1" s="1"/>
  <c r="N2185" i="1" s="1"/>
  <c r="N2186" i="1" s="1"/>
  <c r="N2187" i="1" s="1"/>
  <c r="N2188" i="1" s="1"/>
  <c r="N2189" i="1" s="1"/>
  <c r="N2190" i="1" s="1"/>
  <c r="N2191" i="1" s="1"/>
  <c r="N2192" i="1" s="1"/>
  <c r="N2195" i="1" s="1"/>
  <c r="N2196" i="1" s="1"/>
  <c r="N2197" i="1" s="1"/>
  <c r="N2198" i="1" s="1"/>
  <c r="N2199" i="1" s="1"/>
  <c r="N2200" i="1" s="1"/>
  <c r="N2201" i="1" s="1"/>
  <c r="N2202" i="1" s="1"/>
  <c r="N2203" i="1" s="1"/>
  <c r="N2204" i="1" s="1"/>
  <c r="N2205" i="1" s="1"/>
  <c r="N2206" i="1" s="1"/>
  <c r="N2207" i="1" s="1"/>
  <c r="N2208" i="1" s="1"/>
  <c r="N2209" i="1" s="1"/>
  <c r="N2210" i="1" s="1"/>
  <c r="N2211" i="1" s="1"/>
  <c r="N2212" i="1" s="1"/>
  <c r="N2213" i="1" s="1"/>
  <c r="N2214" i="1" s="1"/>
  <c r="N2215" i="1" s="1"/>
  <c r="N2216" i="1" s="1"/>
  <c r="N2217" i="1" s="1"/>
  <c r="N2218" i="1" s="1"/>
  <c r="N2222" i="1" s="1"/>
  <c r="N2223" i="1" s="1"/>
  <c r="N2224" i="1" s="1"/>
  <c r="N2225" i="1" s="1"/>
  <c r="N2226" i="1" s="1"/>
  <c r="N2227" i="1" s="1"/>
  <c r="N2228" i="1" s="1"/>
  <c r="N2229" i="1" s="1"/>
  <c r="N2230" i="1" s="1"/>
  <c r="N2231" i="1" s="1"/>
  <c r="N2232" i="1" s="1"/>
  <c r="N2233" i="1" s="1"/>
  <c r="N2234" i="1" s="1"/>
  <c r="N2235" i="1" s="1"/>
  <c r="N2236" i="1" s="1"/>
  <c r="N2237" i="1" s="1"/>
  <c r="N2238" i="1" s="1"/>
  <c r="N2239" i="1" s="1"/>
  <c r="N2240" i="1" s="1"/>
  <c r="N2241" i="1" s="1"/>
  <c r="N2242" i="1" s="1"/>
  <c r="N2243" i="1" s="1"/>
  <c r="N2244" i="1" s="1"/>
  <c r="N2245" i="1" s="1"/>
  <c r="N2249" i="1" s="1"/>
  <c r="N2250" i="1" s="1"/>
  <c r="N2251" i="1" s="1"/>
  <c r="N2252" i="1" s="1"/>
  <c r="N2253" i="1" s="1"/>
  <c r="N2254" i="1" s="1"/>
  <c r="N2255" i="1" s="1"/>
  <c r="N2256" i="1" s="1"/>
  <c r="N2257" i="1" s="1"/>
  <c r="N2258" i="1" s="1"/>
  <c r="N2259" i="1" s="1"/>
  <c r="N2260" i="1" s="1"/>
  <c r="N2261" i="1" s="1"/>
  <c r="N2262" i="1" s="1"/>
  <c r="N2263" i="1" s="1"/>
  <c r="N2264" i="1" s="1"/>
  <c r="N2265" i="1" s="1"/>
  <c r="N2266" i="1" s="1"/>
  <c r="N2267" i="1" s="1"/>
  <c r="N2268" i="1" s="1"/>
  <c r="N2269" i="1" s="1"/>
  <c r="N2270" i="1" s="1"/>
  <c r="N2271" i="1" s="1"/>
  <c r="N2272" i="1" s="1"/>
  <c r="N2276" i="1" s="1"/>
  <c r="N2277" i="1" s="1"/>
  <c r="N2278" i="1" s="1"/>
  <c r="N2279" i="1" s="1"/>
  <c r="N2280" i="1" s="1"/>
  <c r="N2281" i="1" s="1"/>
  <c r="N2282" i="1" s="1"/>
  <c r="N2283" i="1" s="1"/>
  <c r="N2284" i="1" s="1"/>
  <c r="N2285" i="1" s="1"/>
  <c r="N2286" i="1" s="1"/>
  <c r="N2287" i="1" s="1"/>
  <c r="N2288" i="1" s="1"/>
  <c r="N2289" i="1" s="1"/>
  <c r="N2290" i="1" s="1"/>
  <c r="N2291" i="1" s="1"/>
  <c r="N2292" i="1" s="1"/>
  <c r="N2293" i="1" s="1"/>
  <c r="N2294" i="1" s="1"/>
  <c r="N2295" i="1" s="1"/>
  <c r="N2296" i="1" s="1"/>
  <c r="N2297" i="1" s="1"/>
  <c r="N2298" i="1" s="1"/>
  <c r="N2299" i="1" s="1"/>
  <c r="N2303" i="1" s="1"/>
  <c r="N2304" i="1" s="1"/>
  <c r="N2305" i="1" s="1"/>
  <c r="N2306" i="1" s="1"/>
  <c r="N2307" i="1" s="1"/>
  <c r="N2308" i="1" s="1"/>
  <c r="N2309" i="1" s="1"/>
  <c r="N2310" i="1" s="1"/>
  <c r="N2311" i="1" s="1"/>
  <c r="N2312" i="1" s="1"/>
  <c r="N2313" i="1" s="1"/>
  <c r="N2314" i="1" s="1"/>
  <c r="N2315" i="1" s="1"/>
  <c r="N2316" i="1" s="1"/>
  <c r="N2317" i="1" s="1"/>
  <c r="N2318" i="1" s="1"/>
  <c r="N2319" i="1" s="1"/>
  <c r="N2320" i="1" s="1"/>
  <c r="N2321" i="1" s="1"/>
  <c r="N2322" i="1" s="1"/>
  <c r="N2323" i="1" s="1"/>
  <c r="N2324" i="1" s="1"/>
  <c r="N2325" i="1" s="1"/>
  <c r="N2326" i="1" s="1"/>
  <c r="N2330" i="1" s="1"/>
  <c r="N2331" i="1" s="1"/>
  <c r="N2332" i="1" s="1"/>
  <c r="N2333" i="1" s="1"/>
  <c r="N2334" i="1" s="1"/>
  <c r="N2335" i="1" s="1"/>
  <c r="N2336" i="1" s="1"/>
  <c r="N2337" i="1" s="1"/>
  <c r="N2338" i="1" s="1"/>
  <c r="N2339" i="1" s="1"/>
  <c r="N2340" i="1" s="1"/>
  <c r="N2341" i="1" s="1"/>
  <c r="N2342" i="1" s="1"/>
  <c r="N2343" i="1" s="1"/>
  <c r="N2344" i="1" s="1"/>
  <c r="N2345" i="1" s="1"/>
  <c r="N2346" i="1" s="1"/>
  <c r="N2347" i="1" s="1"/>
  <c r="N2348" i="1" s="1"/>
  <c r="N2349" i="1" s="1"/>
  <c r="N2350" i="1" s="1"/>
  <c r="N2351" i="1" s="1"/>
  <c r="N2352" i="1" s="1"/>
  <c r="N2353" i="1" s="1"/>
  <c r="N2357" i="1" s="1"/>
  <c r="N2358" i="1" s="1"/>
  <c r="N2359" i="1" s="1"/>
  <c r="N2360" i="1" s="1"/>
  <c r="N2361" i="1" s="1"/>
  <c r="N2362" i="1" s="1"/>
  <c r="N2363" i="1" s="1"/>
  <c r="N2364" i="1" s="1"/>
  <c r="N2365" i="1" s="1"/>
  <c r="N2366" i="1" s="1"/>
  <c r="N2367" i="1" s="1"/>
  <c r="N2368" i="1" s="1"/>
  <c r="N2369" i="1" s="1"/>
  <c r="N2370" i="1" s="1"/>
  <c r="N2371" i="1" s="1"/>
  <c r="N2372" i="1" s="1"/>
  <c r="N2373" i="1" s="1"/>
  <c r="N2374" i="1" s="1"/>
  <c r="N2375" i="1" s="1"/>
  <c r="N2376" i="1" s="1"/>
  <c r="N2377" i="1" s="1"/>
  <c r="N2378" i="1" s="1"/>
  <c r="N2379" i="1" s="1"/>
  <c r="N2380" i="1" s="1"/>
  <c r="N2381" i="1" s="1"/>
  <c r="O1542" i="1"/>
  <c r="P1542" i="1" s="1"/>
  <c r="T1542" i="1" s="1"/>
  <c r="N1516" i="1"/>
  <c r="N1517" i="1" s="1"/>
  <c r="N1518" i="1" s="1"/>
  <c r="N1519" i="1" s="1"/>
  <c r="N1520" i="1" s="1"/>
  <c r="N1521" i="1" s="1"/>
  <c r="N1522" i="1" s="1"/>
  <c r="N1523" i="1" s="1"/>
  <c r="N1524" i="1" s="1"/>
  <c r="N1525" i="1" s="1"/>
  <c r="N1526" i="1" s="1"/>
  <c r="N1527" i="1" s="1"/>
  <c r="N1528" i="1" s="1"/>
  <c r="N1529" i="1" s="1"/>
  <c r="N1530" i="1" s="1"/>
  <c r="N1531" i="1" s="1"/>
  <c r="N1532" i="1" s="1"/>
  <c r="N1533" i="1" s="1"/>
  <c r="N1534" i="1" s="1"/>
  <c r="N1535" i="1" s="1"/>
  <c r="N1536" i="1" s="1"/>
  <c r="N1537" i="1" s="1"/>
  <c r="N1538" i="1" s="1"/>
  <c r="N1539" i="1" s="1"/>
  <c r="N1540" i="1" s="1"/>
  <c r="O1515" i="1"/>
  <c r="P1515" i="1" s="1"/>
  <c r="T1515" i="1" s="1"/>
  <c r="O1459" i="1"/>
  <c r="O1404" i="1"/>
  <c r="O1377" i="1"/>
  <c r="O1294" i="1"/>
  <c r="O1241" i="1"/>
  <c r="O1214" i="1"/>
  <c r="O1187" i="1"/>
  <c r="O1160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N1109" i="1"/>
  <c r="N1110" i="1" s="1"/>
  <c r="P1108" i="1"/>
  <c r="T1108" i="1" s="1"/>
  <c r="N2354" i="1" l="1"/>
  <c r="P2354" i="1" s="1"/>
  <c r="T2354" i="1" s="1"/>
  <c r="N2327" i="1"/>
  <c r="P2327" i="1" s="1"/>
  <c r="T2327" i="1" s="1"/>
  <c r="N2300" i="1"/>
  <c r="P2300" i="1" s="1"/>
  <c r="T2300" i="1" s="1"/>
  <c r="N2273" i="1"/>
  <c r="P2273" i="1" s="1"/>
  <c r="T2273" i="1" s="1"/>
  <c r="N2246" i="1"/>
  <c r="P2246" i="1" s="1"/>
  <c r="T2246" i="1" s="1"/>
  <c r="N2219" i="1"/>
  <c r="P2219" i="1" s="1"/>
  <c r="T2219" i="1" s="1"/>
  <c r="N2163" i="1"/>
  <c r="P2163" i="1" s="1"/>
  <c r="T2163" i="1" s="1"/>
  <c r="N2111" i="1"/>
  <c r="P2111" i="1" s="1"/>
  <c r="T2111" i="1" s="1"/>
  <c r="N2023" i="1"/>
  <c r="N2024" i="1" s="1"/>
  <c r="N2025" i="1" s="1"/>
  <c r="N2026" i="1" s="1"/>
  <c r="N2027" i="1" s="1"/>
  <c r="N2028" i="1" s="1"/>
  <c r="N2029" i="1" s="1"/>
  <c r="N1997" i="1"/>
  <c r="P1997" i="1" s="1"/>
  <c r="T1997" i="1" s="1"/>
  <c r="N1946" i="1"/>
  <c r="P1946" i="1" s="1"/>
  <c r="T1946" i="1" s="1"/>
  <c r="N1919" i="1"/>
  <c r="P1919" i="1" s="1"/>
  <c r="T1919" i="1" s="1"/>
  <c r="N1892" i="1"/>
  <c r="P1892" i="1" s="1"/>
  <c r="T1892" i="1" s="1"/>
  <c r="N1838" i="1"/>
  <c r="P1838" i="1" s="1"/>
  <c r="T1838" i="1" s="1"/>
  <c r="N1811" i="1"/>
  <c r="P1811" i="1" s="1"/>
  <c r="T1811" i="1" s="1"/>
  <c r="N1784" i="1"/>
  <c r="P1784" i="1" s="1"/>
  <c r="T1784" i="1" s="1"/>
  <c r="N1757" i="1"/>
  <c r="P1757" i="1" s="1"/>
  <c r="T1757" i="1" s="1"/>
  <c r="N1730" i="1"/>
  <c r="P1730" i="1" s="1"/>
  <c r="T1730" i="1" s="1"/>
  <c r="N1702" i="1"/>
  <c r="P1702" i="1" s="1"/>
  <c r="T1702" i="1" s="1"/>
  <c r="N1675" i="1"/>
  <c r="P1675" i="1" s="1"/>
  <c r="T1675" i="1" s="1"/>
  <c r="N1648" i="1"/>
  <c r="P1648" i="1" s="1"/>
  <c r="T1648" i="1" s="1"/>
  <c r="N1621" i="1"/>
  <c r="P1621" i="1" s="1"/>
  <c r="T1621" i="1" s="1"/>
  <c r="N1567" i="1"/>
  <c r="P1567" i="1" s="1"/>
  <c r="T1567" i="1" s="1"/>
  <c r="N1111" i="1"/>
  <c r="P1110" i="1"/>
  <c r="T1110" i="1" s="1"/>
  <c r="P1109" i="1"/>
  <c r="T1109" i="1" s="1"/>
  <c r="N866" i="1"/>
  <c r="N675" i="1"/>
  <c r="N676" i="1" s="1"/>
  <c r="P674" i="1"/>
  <c r="T674" i="1" s="1"/>
  <c r="P1111" i="1" l="1"/>
  <c r="T1111" i="1" s="1"/>
  <c r="N1112" i="1"/>
  <c r="P866" i="1"/>
  <c r="T866" i="1" s="1"/>
  <c r="N867" i="1"/>
  <c r="P867" i="1" s="1"/>
  <c r="T867" i="1" s="1"/>
  <c r="P865" i="1"/>
  <c r="T865" i="1" s="1"/>
  <c r="P676" i="1"/>
  <c r="T676" i="1" s="1"/>
  <c r="N677" i="1"/>
  <c r="P675" i="1"/>
  <c r="T675" i="1" s="1"/>
  <c r="P512" i="1"/>
  <c r="T512" i="1" s="1"/>
  <c r="N513" i="1"/>
  <c r="P513" i="1" s="1"/>
  <c r="T513" i="1" s="1"/>
  <c r="P1112" i="1" l="1"/>
  <c r="T1112" i="1" s="1"/>
  <c r="N1113" i="1"/>
  <c r="N868" i="1"/>
  <c r="N869" i="1" s="1"/>
  <c r="P677" i="1"/>
  <c r="T677" i="1" s="1"/>
  <c r="N678" i="1"/>
  <c r="N514" i="1"/>
  <c r="P514" i="1" s="1"/>
  <c r="T514" i="1" s="1"/>
  <c r="P1113" i="1" l="1"/>
  <c r="T1113" i="1" s="1"/>
  <c r="N1114" i="1"/>
  <c r="P868" i="1"/>
  <c r="T868" i="1" s="1"/>
  <c r="P869" i="1"/>
  <c r="T869" i="1" s="1"/>
  <c r="N870" i="1"/>
  <c r="P678" i="1"/>
  <c r="T678" i="1" s="1"/>
  <c r="N679" i="1"/>
  <c r="N515" i="1"/>
  <c r="N516" i="1" s="1"/>
  <c r="P1114" i="1" l="1"/>
  <c r="T1114" i="1" s="1"/>
  <c r="N1115" i="1"/>
  <c r="N871" i="1"/>
  <c r="P870" i="1"/>
  <c r="T870" i="1" s="1"/>
  <c r="P679" i="1"/>
  <c r="T679" i="1" s="1"/>
  <c r="N680" i="1"/>
  <c r="P515" i="1"/>
  <c r="T515" i="1" s="1"/>
  <c r="P516" i="1"/>
  <c r="T516" i="1" s="1"/>
  <c r="N517" i="1"/>
  <c r="P1115" i="1" l="1"/>
  <c r="T1115" i="1" s="1"/>
  <c r="N1116" i="1"/>
  <c r="P871" i="1"/>
  <c r="T871" i="1" s="1"/>
  <c r="N872" i="1"/>
  <c r="P680" i="1"/>
  <c r="T680" i="1" s="1"/>
  <c r="N681" i="1"/>
  <c r="N518" i="1"/>
  <c r="P517" i="1"/>
  <c r="T517" i="1" s="1"/>
  <c r="P1116" i="1" l="1"/>
  <c r="T1116" i="1" s="1"/>
  <c r="N1117" i="1"/>
  <c r="N873" i="1"/>
  <c r="P872" i="1"/>
  <c r="T872" i="1" s="1"/>
  <c r="P681" i="1"/>
  <c r="T681" i="1" s="1"/>
  <c r="N682" i="1"/>
  <c r="P518" i="1"/>
  <c r="T518" i="1" s="1"/>
  <c r="N519" i="1"/>
  <c r="P1117" i="1" l="1"/>
  <c r="T1117" i="1" s="1"/>
  <c r="N1118" i="1"/>
  <c r="P873" i="1"/>
  <c r="T873" i="1" s="1"/>
  <c r="N874" i="1"/>
  <c r="P682" i="1"/>
  <c r="T682" i="1" s="1"/>
  <c r="N683" i="1"/>
  <c r="N520" i="1"/>
  <c r="P519" i="1"/>
  <c r="T519" i="1" s="1"/>
  <c r="P1118" i="1" l="1"/>
  <c r="T1118" i="1" s="1"/>
  <c r="N1119" i="1"/>
  <c r="N875" i="1"/>
  <c r="P874" i="1"/>
  <c r="T874" i="1" s="1"/>
  <c r="P683" i="1"/>
  <c r="T683" i="1" s="1"/>
  <c r="N684" i="1"/>
  <c r="P520" i="1"/>
  <c r="T520" i="1" s="1"/>
  <c r="N521" i="1"/>
  <c r="P1119" i="1" l="1"/>
  <c r="T1119" i="1" s="1"/>
  <c r="N1120" i="1"/>
  <c r="P875" i="1"/>
  <c r="T875" i="1" s="1"/>
  <c r="N876" i="1"/>
  <c r="P684" i="1"/>
  <c r="T684" i="1" s="1"/>
  <c r="N685" i="1"/>
  <c r="N522" i="1"/>
  <c r="P521" i="1"/>
  <c r="T521" i="1" s="1"/>
  <c r="P1120" i="1" l="1"/>
  <c r="T1120" i="1" s="1"/>
  <c r="N1121" i="1"/>
  <c r="N877" i="1"/>
  <c r="P876" i="1"/>
  <c r="T876" i="1" s="1"/>
  <c r="P685" i="1"/>
  <c r="T685" i="1" s="1"/>
  <c r="N686" i="1"/>
  <c r="P522" i="1"/>
  <c r="T522" i="1" s="1"/>
  <c r="N523" i="1"/>
  <c r="P1121" i="1" l="1"/>
  <c r="T1121" i="1" s="1"/>
  <c r="N1122" i="1"/>
  <c r="P877" i="1"/>
  <c r="T877" i="1" s="1"/>
  <c r="N878" i="1"/>
  <c r="P686" i="1"/>
  <c r="T686" i="1" s="1"/>
  <c r="N687" i="1"/>
  <c r="N524" i="1"/>
  <c r="P523" i="1"/>
  <c r="T523" i="1" s="1"/>
  <c r="P1122" i="1" l="1"/>
  <c r="T1122" i="1" s="1"/>
  <c r="N1123" i="1"/>
  <c r="N879" i="1"/>
  <c r="P878" i="1"/>
  <c r="T878" i="1" s="1"/>
  <c r="P687" i="1"/>
  <c r="T687" i="1" s="1"/>
  <c r="N688" i="1"/>
  <c r="P524" i="1"/>
  <c r="T524" i="1" s="1"/>
  <c r="N525" i="1"/>
  <c r="P1123" i="1" l="1"/>
  <c r="T1123" i="1" s="1"/>
  <c r="N1124" i="1"/>
  <c r="P879" i="1"/>
  <c r="T879" i="1" s="1"/>
  <c r="N880" i="1"/>
  <c r="P688" i="1"/>
  <c r="T688" i="1" s="1"/>
  <c r="N689" i="1"/>
  <c r="N526" i="1"/>
  <c r="P525" i="1"/>
  <c r="T525" i="1" s="1"/>
  <c r="P1124" i="1" l="1"/>
  <c r="T1124" i="1" s="1"/>
  <c r="N1125" i="1"/>
  <c r="N881" i="1"/>
  <c r="P880" i="1"/>
  <c r="T880" i="1" s="1"/>
  <c r="N690" i="1"/>
  <c r="P689" i="1"/>
  <c r="T689" i="1" s="1"/>
  <c r="P526" i="1"/>
  <c r="T526" i="1" s="1"/>
  <c r="N527" i="1"/>
  <c r="P1125" i="1" l="1"/>
  <c r="T1125" i="1" s="1"/>
  <c r="N1126" i="1"/>
  <c r="P881" i="1"/>
  <c r="T881" i="1" s="1"/>
  <c r="N882" i="1"/>
  <c r="P690" i="1"/>
  <c r="T690" i="1" s="1"/>
  <c r="N691" i="1"/>
  <c r="N528" i="1"/>
  <c r="P527" i="1"/>
  <c r="T527" i="1" s="1"/>
  <c r="P1126" i="1" l="1"/>
  <c r="T1126" i="1" s="1"/>
  <c r="N1127" i="1"/>
  <c r="N883" i="1"/>
  <c r="P882" i="1"/>
  <c r="T882" i="1" s="1"/>
  <c r="N692" i="1"/>
  <c r="P691" i="1"/>
  <c r="T691" i="1" s="1"/>
  <c r="P528" i="1"/>
  <c r="T528" i="1" s="1"/>
  <c r="N529" i="1"/>
  <c r="P1127" i="1" l="1"/>
  <c r="T1127" i="1" s="1"/>
  <c r="N1128" i="1"/>
  <c r="P883" i="1"/>
  <c r="T883" i="1" s="1"/>
  <c r="N884" i="1"/>
  <c r="P692" i="1"/>
  <c r="T692" i="1" s="1"/>
  <c r="N693" i="1"/>
  <c r="N530" i="1"/>
  <c r="P529" i="1"/>
  <c r="T529" i="1" s="1"/>
  <c r="P1128" i="1" l="1"/>
  <c r="T1128" i="1" s="1"/>
  <c r="N1129" i="1"/>
  <c r="N885" i="1"/>
  <c r="P884" i="1"/>
  <c r="T884" i="1" s="1"/>
  <c r="P693" i="1"/>
  <c r="T693" i="1" s="1"/>
  <c r="N694" i="1"/>
  <c r="P530" i="1"/>
  <c r="T530" i="1" s="1"/>
  <c r="N531" i="1"/>
  <c r="P1129" i="1" l="1"/>
  <c r="T1129" i="1" s="1"/>
  <c r="N1130" i="1"/>
  <c r="N1133" i="1" s="1"/>
  <c r="P1133" i="1" s="1"/>
  <c r="T1133" i="1" s="1"/>
  <c r="P885" i="1"/>
  <c r="T885" i="1" s="1"/>
  <c r="N886" i="1"/>
  <c r="P694" i="1"/>
  <c r="T694" i="1" s="1"/>
  <c r="N695" i="1"/>
  <c r="N532" i="1"/>
  <c r="P531" i="1"/>
  <c r="T531" i="1" s="1"/>
  <c r="P1130" i="1" l="1"/>
  <c r="T1130" i="1" s="1"/>
  <c r="N1131" i="1"/>
  <c r="N887" i="1"/>
  <c r="N890" i="1" s="1"/>
  <c r="P890" i="1" s="1"/>
  <c r="T890" i="1" s="1"/>
  <c r="P886" i="1"/>
  <c r="T886" i="1" s="1"/>
  <c r="N696" i="1"/>
  <c r="P695" i="1"/>
  <c r="T695" i="1" s="1"/>
  <c r="P532" i="1"/>
  <c r="T532" i="1" s="1"/>
  <c r="N533" i="1"/>
  <c r="P1131" i="1" l="1"/>
  <c r="T1131" i="1" s="1"/>
  <c r="N1132" i="1"/>
  <c r="P887" i="1"/>
  <c r="T887" i="1" s="1"/>
  <c r="N888" i="1"/>
  <c r="P696" i="1"/>
  <c r="T696" i="1" s="1"/>
  <c r="N697" i="1"/>
  <c r="N534" i="1"/>
  <c r="P533" i="1"/>
  <c r="T533" i="1" s="1"/>
  <c r="P1132" i="1" l="1"/>
  <c r="T1132" i="1" s="1"/>
  <c r="N889" i="1"/>
  <c r="P888" i="1"/>
  <c r="T888" i="1" s="1"/>
  <c r="P697" i="1"/>
  <c r="T697" i="1" s="1"/>
  <c r="N698" i="1"/>
  <c r="P534" i="1"/>
  <c r="T534" i="1" s="1"/>
  <c r="N535" i="1"/>
  <c r="P1135" i="1" l="1"/>
  <c r="T1135" i="1" s="1"/>
  <c r="N1136" i="1"/>
  <c r="P889" i="1"/>
  <c r="T889" i="1" s="1"/>
  <c r="P698" i="1"/>
  <c r="T698" i="1" s="1"/>
  <c r="N699" i="1"/>
  <c r="P699" i="1" s="1"/>
  <c r="T699" i="1" s="1"/>
  <c r="N536" i="1"/>
  <c r="P535" i="1"/>
  <c r="T535" i="1" s="1"/>
  <c r="P1136" i="1" l="1"/>
  <c r="T1136" i="1" s="1"/>
  <c r="N1137" i="1"/>
  <c r="N893" i="1"/>
  <c r="P892" i="1"/>
  <c r="T892" i="1" s="1"/>
  <c r="P536" i="1"/>
  <c r="T536" i="1" s="1"/>
  <c r="N537" i="1"/>
  <c r="P537" i="1" s="1"/>
  <c r="T537" i="1" s="1"/>
  <c r="P1137" i="1" l="1"/>
  <c r="T1137" i="1" s="1"/>
  <c r="N1138" i="1"/>
  <c r="P893" i="1"/>
  <c r="T893" i="1" s="1"/>
  <c r="N894" i="1"/>
  <c r="P539" i="1"/>
  <c r="T539" i="1" s="1"/>
  <c r="N540" i="1"/>
  <c r="N541" i="1" s="1"/>
  <c r="N542" i="1" s="1"/>
  <c r="N543" i="1" s="1"/>
  <c r="N544" i="1" s="1"/>
  <c r="N545" i="1" s="1"/>
  <c r="N546" i="1" s="1"/>
  <c r="N547" i="1" s="1"/>
  <c r="N548" i="1" s="1"/>
  <c r="N549" i="1" s="1"/>
  <c r="N550" i="1" s="1"/>
  <c r="N551" i="1" s="1"/>
  <c r="N552" i="1" s="1"/>
  <c r="N553" i="1" s="1"/>
  <c r="N554" i="1" s="1"/>
  <c r="N555" i="1" s="1"/>
  <c r="N556" i="1" s="1"/>
  <c r="N557" i="1" s="1"/>
  <c r="N558" i="1" s="1"/>
  <c r="N559" i="1" s="1"/>
  <c r="N560" i="1" s="1"/>
  <c r="N561" i="1" s="1"/>
  <c r="N562" i="1" s="1"/>
  <c r="N563" i="1" s="1"/>
  <c r="N564" i="1" s="1"/>
  <c r="P1138" i="1" l="1"/>
  <c r="T1138" i="1" s="1"/>
  <c r="N1139" i="1"/>
  <c r="N895" i="1"/>
  <c r="P894" i="1"/>
  <c r="T894" i="1" s="1"/>
  <c r="N702" i="1"/>
  <c r="P701" i="1"/>
  <c r="T701" i="1" s="1"/>
  <c r="P540" i="1"/>
  <c r="T540" i="1" s="1"/>
  <c r="N1140" i="1" l="1"/>
  <c r="P1139" i="1"/>
  <c r="T1139" i="1" s="1"/>
  <c r="P895" i="1"/>
  <c r="T895" i="1" s="1"/>
  <c r="N896" i="1"/>
  <c r="N703" i="1"/>
  <c r="P702" i="1"/>
  <c r="T702" i="1" s="1"/>
  <c r="P541" i="1"/>
  <c r="T541" i="1" s="1"/>
  <c r="P1140" i="1" l="1"/>
  <c r="T1140" i="1" s="1"/>
  <c r="N1141" i="1"/>
  <c r="N897" i="1"/>
  <c r="P896" i="1"/>
  <c r="T896" i="1" s="1"/>
  <c r="N704" i="1"/>
  <c r="P703" i="1"/>
  <c r="T703" i="1" s="1"/>
  <c r="P542" i="1"/>
  <c r="T542" i="1" s="1"/>
  <c r="P1141" i="1" l="1"/>
  <c r="T1141" i="1" s="1"/>
  <c r="N1142" i="1"/>
  <c r="P897" i="1"/>
  <c r="T897" i="1" s="1"/>
  <c r="N898" i="1"/>
  <c r="N705" i="1"/>
  <c r="P704" i="1"/>
  <c r="T704" i="1" s="1"/>
  <c r="P543" i="1"/>
  <c r="T543" i="1" s="1"/>
  <c r="P1142" i="1" l="1"/>
  <c r="T1142" i="1" s="1"/>
  <c r="N1143" i="1"/>
  <c r="N899" i="1"/>
  <c r="P898" i="1"/>
  <c r="T898" i="1" s="1"/>
  <c r="N706" i="1"/>
  <c r="P705" i="1"/>
  <c r="T705" i="1" s="1"/>
  <c r="P544" i="1"/>
  <c r="T544" i="1" s="1"/>
  <c r="N1144" i="1" l="1"/>
  <c r="P1143" i="1"/>
  <c r="T1143" i="1" s="1"/>
  <c r="P899" i="1"/>
  <c r="T899" i="1" s="1"/>
  <c r="N900" i="1"/>
  <c r="N707" i="1"/>
  <c r="P706" i="1"/>
  <c r="T706" i="1" s="1"/>
  <c r="P545" i="1"/>
  <c r="T545" i="1" s="1"/>
  <c r="P1144" i="1" l="1"/>
  <c r="T1144" i="1" s="1"/>
  <c r="N1145" i="1"/>
  <c r="N901" i="1"/>
  <c r="P900" i="1"/>
  <c r="T900" i="1" s="1"/>
  <c r="N708" i="1"/>
  <c r="P707" i="1"/>
  <c r="T707" i="1" s="1"/>
  <c r="P546" i="1"/>
  <c r="T546" i="1" s="1"/>
  <c r="P1145" i="1" l="1"/>
  <c r="T1145" i="1" s="1"/>
  <c r="N1146" i="1"/>
  <c r="P901" i="1"/>
  <c r="T901" i="1" s="1"/>
  <c r="N902" i="1"/>
  <c r="N709" i="1"/>
  <c r="P708" i="1"/>
  <c r="T708" i="1" s="1"/>
  <c r="P547" i="1"/>
  <c r="T547" i="1" s="1"/>
  <c r="N1147" i="1" l="1"/>
  <c r="P1146" i="1"/>
  <c r="T1146" i="1" s="1"/>
  <c r="N903" i="1"/>
  <c r="P902" i="1"/>
  <c r="T902" i="1" s="1"/>
  <c r="N710" i="1"/>
  <c r="P709" i="1"/>
  <c r="T709" i="1" s="1"/>
  <c r="P548" i="1"/>
  <c r="T548" i="1" s="1"/>
  <c r="P1147" i="1" l="1"/>
  <c r="T1147" i="1" s="1"/>
  <c r="N1148" i="1"/>
  <c r="P903" i="1"/>
  <c r="T903" i="1" s="1"/>
  <c r="N904" i="1"/>
  <c r="N711" i="1"/>
  <c r="P710" i="1"/>
  <c r="T710" i="1" s="1"/>
  <c r="P549" i="1"/>
  <c r="T549" i="1" s="1"/>
  <c r="P1148" i="1" l="1"/>
  <c r="T1148" i="1" s="1"/>
  <c r="N1149" i="1"/>
  <c r="N905" i="1"/>
  <c r="P904" i="1"/>
  <c r="T904" i="1" s="1"/>
  <c r="N712" i="1"/>
  <c r="P711" i="1"/>
  <c r="T711" i="1" s="1"/>
  <c r="P550" i="1"/>
  <c r="T550" i="1" s="1"/>
  <c r="P1149" i="1" l="1"/>
  <c r="T1149" i="1" s="1"/>
  <c r="N1150" i="1"/>
  <c r="P905" i="1"/>
  <c r="T905" i="1" s="1"/>
  <c r="N906" i="1"/>
  <c r="N713" i="1"/>
  <c r="P712" i="1"/>
  <c r="T712" i="1" s="1"/>
  <c r="P551" i="1"/>
  <c r="T551" i="1" s="1"/>
  <c r="P1150" i="1" l="1"/>
  <c r="T1150" i="1" s="1"/>
  <c r="N1151" i="1"/>
  <c r="N907" i="1"/>
  <c r="P906" i="1"/>
  <c r="T906" i="1" s="1"/>
  <c r="N714" i="1"/>
  <c r="P713" i="1"/>
  <c r="T713" i="1" s="1"/>
  <c r="P552" i="1"/>
  <c r="T552" i="1" s="1"/>
  <c r="P1151" i="1" l="1"/>
  <c r="T1151" i="1" s="1"/>
  <c r="N1152" i="1"/>
  <c r="P907" i="1"/>
  <c r="T907" i="1" s="1"/>
  <c r="N908" i="1"/>
  <c r="N715" i="1"/>
  <c r="P714" i="1"/>
  <c r="T714" i="1" s="1"/>
  <c r="P553" i="1"/>
  <c r="T553" i="1" s="1"/>
  <c r="N1153" i="1" l="1"/>
  <c r="P1152" i="1"/>
  <c r="T1152" i="1" s="1"/>
  <c r="N909" i="1"/>
  <c r="P908" i="1"/>
  <c r="T908" i="1" s="1"/>
  <c r="N716" i="1"/>
  <c r="P715" i="1"/>
  <c r="T715" i="1" s="1"/>
  <c r="P554" i="1"/>
  <c r="T554" i="1" s="1"/>
  <c r="P1153" i="1" l="1"/>
  <c r="T1153" i="1" s="1"/>
  <c r="N1154" i="1"/>
  <c r="P909" i="1"/>
  <c r="T909" i="1" s="1"/>
  <c r="N910" i="1"/>
  <c r="N717" i="1"/>
  <c r="P716" i="1"/>
  <c r="T716" i="1" s="1"/>
  <c r="P555" i="1"/>
  <c r="T555" i="1" s="1"/>
  <c r="P1154" i="1" l="1"/>
  <c r="T1154" i="1" s="1"/>
  <c r="N1155" i="1"/>
  <c r="N911" i="1"/>
  <c r="P910" i="1"/>
  <c r="T910" i="1" s="1"/>
  <c r="N718" i="1"/>
  <c r="P717" i="1"/>
  <c r="T717" i="1" s="1"/>
  <c r="P556" i="1"/>
  <c r="T556" i="1" s="1"/>
  <c r="P1155" i="1" l="1"/>
  <c r="T1155" i="1" s="1"/>
  <c r="N1156" i="1"/>
  <c r="P911" i="1"/>
  <c r="T911" i="1" s="1"/>
  <c r="N912" i="1"/>
  <c r="N719" i="1"/>
  <c r="P718" i="1"/>
  <c r="T718" i="1" s="1"/>
  <c r="P557" i="1"/>
  <c r="T557" i="1" s="1"/>
  <c r="P1156" i="1" l="1"/>
  <c r="T1156" i="1" s="1"/>
  <c r="N1157" i="1"/>
  <c r="N1160" i="1" s="1"/>
  <c r="P1160" i="1" s="1"/>
  <c r="T1160" i="1" s="1"/>
  <c r="N913" i="1"/>
  <c r="P912" i="1"/>
  <c r="T912" i="1" s="1"/>
  <c r="N720" i="1"/>
  <c r="P719" i="1"/>
  <c r="T719" i="1" s="1"/>
  <c r="P558" i="1"/>
  <c r="T558" i="1" s="1"/>
  <c r="P1157" i="1" l="1"/>
  <c r="T1157" i="1" s="1"/>
  <c r="N1158" i="1"/>
  <c r="P913" i="1"/>
  <c r="T913" i="1" s="1"/>
  <c r="N914" i="1"/>
  <c r="N917" i="1" s="1"/>
  <c r="P917" i="1" s="1"/>
  <c r="T917" i="1" s="1"/>
  <c r="N721" i="1"/>
  <c r="P720" i="1"/>
  <c r="T720" i="1" s="1"/>
  <c r="P559" i="1"/>
  <c r="T559" i="1" s="1"/>
  <c r="P1158" i="1" l="1"/>
  <c r="T1158" i="1" s="1"/>
  <c r="N1159" i="1"/>
  <c r="N915" i="1"/>
  <c r="P914" i="1"/>
  <c r="T914" i="1" s="1"/>
  <c r="N722" i="1"/>
  <c r="P721" i="1"/>
  <c r="T721" i="1" s="1"/>
  <c r="P560" i="1"/>
  <c r="T560" i="1" s="1"/>
  <c r="P564" i="1"/>
  <c r="T564" i="1" s="1"/>
  <c r="P1159" i="1" l="1"/>
  <c r="T1159" i="1" s="1"/>
  <c r="P915" i="1"/>
  <c r="T915" i="1" s="1"/>
  <c r="N916" i="1"/>
  <c r="N723" i="1"/>
  <c r="N726" i="1" s="1"/>
  <c r="P726" i="1" s="1"/>
  <c r="T726" i="1" s="1"/>
  <c r="P722" i="1"/>
  <c r="T722" i="1" s="1"/>
  <c r="P561" i="1"/>
  <c r="T561" i="1" s="1"/>
  <c r="P1162" i="1" l="1"/>
  <c r="T1162" i="1" s="1"/>
  <c r="N1163" i="1"/>
  <c r="P916" i="1"/>
  <c r="T916" i="1" s="1"/>
  <c r="N724" i="1"/>
  <c r="P723" i="1"/>
  <c r="T723" i="1" s="1"/>
  <c r="P562" i="1"/>
  <c r="T562" i="1" s="1"/>
  <c r="P1163" i="1" l="1"/>
  <c r="T1163" i="1" s="1"/>
  <c r="N1164" i="1"/>
  <c r="P919" i="1"/>
  <c r="T919" i="1" s="1"/>
  <c r="N920" i="1"/>
  <c r="N725" i="1"/>
  <c r="P724" i="1"/>
  <c r="T724" i="1" s="1"/>
  <c r="P563" i="1"/>
  <c r="T563" i="1" s="1"/>
  <c r="N1165" i="1" l="1"/>
  <c r="P1164" i="1"/>
  <c r="T1164" i="1" s="1"/>
  <c r="N921" i="1"/>
  <c r="P920" i="1"/>
  <c r="T920" i="1" s="1"/>
  <c r="P725" i="1"/>
  <c r="T725" i="1" s="1"/>
  <c r="P566" i="1"/>
  <c r="T566" i="1" s="1"/>
  <c r="N567" i="1"/>
  <c r="P1165" i="1" l="1"/>
  <c r="T1165" i="1" s="1"/>
  <c r="N1166" i="1"/>
  <c r="P921" i="1"/>
  <c r="T921" i="1" s="1"/>
  <c r="N922" i="1"/>
  <c r="N729" i="1"/>
  <c r="P728" i="1"/>
  <c r="T728" i="1" s="1"/>
  <c r="P567" i="1"/>
  <c r="T567" i="1" s="1"/>
  <c r="N568" i="1"/>
  <c r="P1166" i="1" l="1"/>
  <c r="T1166" i="1" s="1"/>
  <c r="N1167" i="1"/>
  <c r="N923" i="1"/>
  <c r="P922" i="1"/>
  <c r="T922" i="1" s="1"/>
  <c r="N730" i="1"/>
  <c r="P729" i="1"/>
  <c r="T729" i="1" s="1"/>
  <c r="P568" i="1"/>
  <c r="T568" i="1" s="1"/>
  <c r="N569" i="1"/>
  <c r="P1167" i="1" l="1"/>
  <c r="T1167" i="1" s="1"/>
  <c r="N1168" i="1"/>
  <c r="P923" i="1"/>
  <c r="T923" i="1" s="1"/>
  <c r="N924" i="1"/>
  <c r="N731" i="1"/>
  <c r="P730" i="1"/>
  <c r="T730" i="1" s="1"/>
  <c r="P569" i="1"/>
  <c r="T569" i="1" s="1"/>
  <c r="N570" i="1"/>
  <c r="P1168" i="1" l="1"/>
  <c r="T1168" i="1" s="1"/>
  <c r="N1169" i="1"/>
  <c r="N925" i="1"/>
  <c r="P924" i="1"/>
  <c r="T924" i="1" s="1"/>
  <c r="N732" i="1"/>
  <c r="P731" i="1"/>
  <c r="T731" i="1" s="1"/>
  <c r="P570" i="1"/>
  <c r="T570" i="1" s="1"/>
  <c r="N571" i="1"/>
  <c r="P1169" i="1" l="1"/>
  <c r="T1169" i="1" s="1"/>
  <c r="N1170" i="1"/>
  <c r="P925" i="1"/>
  <c r="T925" i="1" s="1"/>
  <c r="N926" i="1"/>
  <c r="N733" i="1"/>
  <c r="P732" i="1"/>
  <c r="T732" i="1" s="1"/>
  <c r="P571" i="1"/>
  <c r="T571" i="1" s="1"/>
  <c r="N572" i="1"/>
  <c r="P1170" i="1" l="1"/>
  <c r="T1170" i="1" s="1"/>
  <c r="N1171" i="1"/>
  <c r="N927" i="1"/>
  <c r="P926" i="1"/>
  <c r="T926" i="1" s="1"/>
  <c r="N734" i="1"/>
  <c r="P733" i="1"/>
  <c r="T733" i="1" s="1"/>
  <c r="P572" i="1"/>
  <c r="T572" i="1" s="1"/>
  <c r="N573" i="1"/>
  <c r="P1171" i="1" l="1"/>
  <c r="T1171" i="1" s="1"/>
  <c r="N1172" i="1"/>
  <c r="P927" i="1"/>
  <c r="T927" i="1" s="1"/>
  <c r="N928" i="1"/>
  <c r="N735" i="1"/>
  <c r="P734" i="1"/>
  <c r="T734" i="1" s="1"/>
  <c r="P573" i="1"/>
  <c r="T573" i="1" s="1"/>
  <c r="N574" i="1"/>
  <c r="P1172" i="1" l="1"/>
  <c r="T1172" i="1" s="1"/>
  <c r="N1173" i="1"/>
  <c r="N929" i="1"/>
  <c r="P928" i="1"/>
  <c r="T928" i="1" s="1"/>
  <c r="N736" i="1"/>
  <c r="P735" i="1"/>
  <c r="T735" i="1" s="1"/>
  <c r="P574" i="1"/>
  <c r="T574" i="1" s="1"/>
  <c r="N575" i="1"/>
  <c r="P1173" i="1" l="1"/>
  <c r="T1173" i="1" s="1"/>
  <c r="N1174" i="1"/>
  <c r="P929" i="1"/>
  <c r="T929" i="1" s="1"/>
  <c r="N930" i="1"/>
  <c r="N737" i="1"/>
  <c r="P736" i="1"/>
  <c r="T736" i="1" s="1"/>
  <c r="P575" i="1"/>
  <c r="T575" i="1" s="1"/>
  <c r="N576" i="1"/>
  <c r="P1174" i="1" l="1"/>
  <c r="T1174" i="1" s="1"/>
  <c r="N1175" i="1"/>
  <c r="N931" i="1"/>
  <c r="P930" i="1"/>
  <c r="T930" i="1" s="1"/>
  <c r="N738" i="1"/>
  <c r="P737" i="1"/>
  <c r="T737" i="1" s="1"/>
  <c r="P576" i="1"/>
  <c r="T576" i="1" s="1"/>
  <c r="N577" i="1"/>
  <c r="P1175" i="1" l="1"/>
  <c r="T1175" i="1" s="1"/>
  <c r="N1176" i="1"/>
  <c r="P931" i="1"/>
  <c r="T931" i="1" s="1"/>
  <c r="N932" i="1"/>
  <c r="N739" i="1"/>
  <c r="P738" i="1"/>
  <c r="T738" i="1" s="1"/>
  <c r="P577" i="1"/>
  <c r="T577" i="1" s="1"/>
  <c r="N578" i="1"/>
  <c r="P1176" i="1" l="1"/>
  <c r="T1176" i="1" s="1"/>
  <c r="N1177" i="1"/>
  <c r="N933" i="1"/>
  <c r="P932" i="1"/>
  <c r="T932" i="1" s="1"/>
  <c r="N740" i="1"/>
  <c r="P739" i="1"/>
  <c r="T739" i="1" s="1"/>
  <c r="P578" i="1"/>
  <c r="T578" i="1" s="1"/>
  <c r="N579" i="1"/>
  <c r="P1177" i="1" l="1"/>
  <c r="T1177" i="1" s="1"/>
  <c r="N1178" i="1"/>
  <c r="P933" i="1"/>
  <c r="T933" i="1" s="1"/>
  <c r="N934" i="1"/>
  <c r="N741" i="1"/>
  <c r="P740" i="1"/>
  <c r="T740" i="1" s="1"/>
  <c r="P579" i="1"/>
  <c r="T579" i="1" s="1"/>
  <c r="N580" i="1"/>
  <c r="P1178" i="1" l="1"/>
  <c r="T1178" i="1" s="1"/>
  <c r="N1179" i="1"/>
  <c r="N935" i="1"/>
  <c r="P934" i="1"/>
  <c r="T934" i="1" s="1"/>
  <c r="N742" i="1"/>
  <c r="P741" i="1"/>
  <c r="T741" i="1" s="1"/>
  <c r="P580" i="1"/>
  <c r="T580" i="1" s="1"/>
  <c r="N581" i="1"/>
  <c r="P1179" i="1" l="1"/>
  <c r="T1179" i="1" s="1"/>
  <c r="N1180" i="1"/>
  <c r="P935" i="1"/>
  <c r="T935" i="1" s="1"/>
  <c r="N936" i="1"/>
  <c r="N743" i="1"/>
  <c r="P742" i="1"/>
  <c r="T742" i="1" s="1"/>
  <c r="P581" i="1"/>
  <c r="T581" i="1" s="1"/>
  <c r="N582" i="1"/>
  <c r="P1180" i="1" l="1"/>
  <c r="T1180" i="1" s="1"/>
  <c r="N1181" i="1"/>
  <c r="P936" i="1"/>
  <c r="T936" i="1" s="1"/>
  <c r="N937" i="1"/>
  <c r="N744" i="1"/>
  <c r="P743" i="1"/>
  <c r="T743" i="1" s="1"/>
  <c r="P582" i="1"/>
  <c r="T582" i="1" s="1"/>
  <c r="N583" i="1"/>
  <c r="P1181" i="1" l="1"/>
  <c r="T1181" i="1" s="1"/>
  <c r="N1182" i="1"/>
  <c r="P937" i="1"/>
  <c r="T937" i="1" s="1"/>
  <c r="N938" i="1"/>
  <c r="N745" i="1"/>
  <c r="P744" i="1"/>
  <c r="T744" i="1" s="1"/>
  <c r="P583" i="1"/>
  <c r="T583" i="1" s="1"/>
  <c r="N584" i="1"/>
  <c r="P1182" i="1" l="1"/>
  <c r="T1182" i="1" s="1"/>
  <c r="N1183" i="1"/>
  <c r="P938" i="1"/>
  <c r="T938" i="1" s="1"/>
  <c r="N939" i="1"/>
  <c r="N746" i="1"/>
  <c r="P745" i="1"/>
  <c r="T745" i="1" s="1"/>
  <c r="P584" i="1"/>
  <c r="T584" i="1" s="1"/>
  <c r="N585" i="1"/>
  <c r="P1183" i="1" l="1"/>
  <c r="T1183" i="1" s="1"/>
  <c r="N1184" i="1"/>
  <c r="N1187" i="1" s="1"/>
  <c r="P1187" i="1" s="1"/>
  <c r="T1187" i="1" s="1"/>
  <c r="P939" i="1"/>
  <c r="T939" i="1" s="1"/>
  <c r="N940" i="1"/>
  <c r="N747" i="1"/>
  <c r="P746" i="1"/>
  <c r="T746" i="1" s="1"/>
  <c r="P585" i="1"/>
  <c r="T585" i="1" s="1"/>
  <c r="N586" i="1"/>
  <c r="P1184" i="1" l="1"/>
  <c r="T1184" i="1" s="1"/>
  <c r="N1185" i="1"/>
  <c r="P940" i="1"/>
  <c r="T940" i="1" s="1"/>
  <c r="N941" i="1"/>
  <c r="N944" i="1" s="1"/>
  <c r="P944" i="1" s="1"/>
  <c r="T944" i="1" s="1"/>
  <c r="N748" i="1"/>
  <c r="P747" i="1"/>
  <c r="T747" i="1" s="1"/>
  <c r="P586" i="1"/>
  <c r="T586" i="1" s="1"/>
  <c r="N587" i="1"/>
  <c r="P1185" i="1" l="1"/>
  <c r="T1185" i="1" s="1"/>
  <c r="N1186" i="1"/>
  <c r="P941" i="1"/>
  <c r="T941" i="1" s="1"/>
  <c r="N942" i="1"/>
  <c r="N749" i="1"/>
  <c r="P748" i="1"/>
  <c r="T748" i="1" s="1"/>
  <c r="P587" i="1"/>
  <c r="T587" i="1" s="1"/>
  <c r="N588" i="1"/>
  <c r="N591" i="1" s="1"/>
  <c r="P591" i="1" s="1"/>
  <c r="T591" i="1" s="1"/>
  <c r="P1186" i="1" l="1"/>
  <c r="T1186" i="1" s="1"/>
  <c r="P942" i="1"/>
  <c r="T942" i="1" s="1"/>
  <c r="N943" i="1"/>
  <c r="N750" i="1"/>
  <c r="N753" i="1" s="1"/>
  <c r="P753" i="1" s="1"/>
  <c r="T753" i="1" s="1"/>
  <c r="P749" i="1"/>
  <c r="T749" i="1" s="1"/>
  <c r="P588" i="1"/>
  <c r="T588" i="1" s="1"/>
  <c r="N589" i="1"/>
  <c r="P1189" i="1" l="1"/>
  <c r="T1189" i="1" s="1"/>
  <c r="N1190" i="1"/>
  <c r="P943" i="1"/>
  <c r="T943" i="1" s="1"/>
  <c r="N751" i="1"/>
  <c r="P750" i="1"/>
  <c r="T750" i="1" s="1"/>
  <c r="P589" i="1"/>
  <c r="T589" i="1" s="1"/>
  <c r="N590" i="1"/>
  <c r="P1190" i="1" l="1"/>
  <c r="T1190" i="1" s="1"/>
  <c r="N1191" i="1"/>
  <c r="P946" i="1"/>
  <c r="T946" i="1" s="1"/>
  <c r="N947" i="1"/>
  <c r="N752" i="1"/>
  <c r="P751" i="1"/>
  <c r="T751" i="1" s="1"/>
  <c r="P590" i="1"/>
  <c r="T590" i="1" s="1"/>
  <c r="P1191" i="1" l="1"/>
  <c r="T1191" i="1" s="1"/>
  <c r="N1192" i="1"/>
  <c r="P947" i="1"/>
  <c r="T947" i="1" s="1"/>
  <c r="N948" i="1"/>
  <c r="P752" i="1"/>
  <c r="T752" i="1" s="1"/>
  <c r="P593" i="1"/>
  <c r="T593" i="1" s="1"/>
  <c r="N594" i="1"/>
  <c r="P1192" i="1" l="1"/>
  <c r="T1192" i="1" s="1"/>
  <c r="N1193" i="1"/>
  <c r="P948" i="1"/>
  <c r="T948" i="1" s="1"/>
  <c r="N949" i="1"/>
  <c r="N756" i="1"/>
  <c r="P755" i="1"/>
  <c r="T755" i="1" s="1"/>
  <c r="P594" i="1"/>
  <c r="T594" i="1" s="1"/>
  <c r="N595" i="1"/>
  <c r="P1193" i="1" l="1"/>
  <c r="T1193" i="1" s="1"/>
  <c r="N1194" i="1"/>
  <c r="P949" i="1"/>
  <c r="T949" i="1" s="1"/>
  <c r="N950" i="1"/>
  <c r="N757" i="1"/>
  <c r="P756" i="1"/>
  <c r="T756" i="1" s="1"/>
  <c r="P595" i="1"/>
  <c r="T595" i="1" s="1"/>
  <c r="N596" i="1"/>
  <c r="P1194" i="1" l="1"/>
  <c r="T1194" i="1" s="1"/>
  <c r="N1195" i="1"/>
  <c r="P950" i="1"/>
  <c r="T950" i="1" s="1"/>
  <c r="N951" i="1"/>
  <c r="N758" i="1"/>
  <c r="P757" i="1"/>
  <c r="T757" i="1" s="1"/>
  <c r="P596" i="1"/>
  <c r="T596" i="1" s="1"/>
  <c r="N597" i="1"/>
  <c r="P1195" i="1" l="1"/>
  <c r="T1195" i="1" s="1"/>
  <c r="N1196" i="1"/>
  <c r="P951" i="1"/>
  <c r="T951" i="1" s="1"/>
  <c r="N952" i="1"/>
  <c r="N759" i="1"/>
  <c r="P758" i="1"/>
  <c r="T758" i="1" s="1"/>
  <c r="P597" i="1"/>
  <c r="T597" i="1" s="1"/>
  <c r="N598" i="1"/>
  <c r="P1196" i="1" l="1"/>
  <c r="T1196" i="1" s="1"/>
  <c r="N1197" i="1"/>
  <c r="P952" i="1"/>
  <c r="T952" i="1" s="1"/>
  <c r="N953" i="1"/>
  <c r="N760" i="1"/>
  <c r="P759" i="1"/>
  <c r="T759" i="1" s="1"/>
  <c r="P598" i="1"/>
  <c r="T598" i="1" s="1"/>
  <c r="N599" i="1"/>
  <c r="P1197" i="1" l="1"/>
  <c r="T1197" i="1" s="1"/>
  <c r="N1198" i="1"/>
  <c r="P953" i="1"/>
  <c r="T953" i="1" s="1"/>
  <c r="N954" i="1"/>
  <c r="N761" i="1"/>
  <c r="P760" i="1"/>
  <c r="T760" i="1" s="1"/>
  <c r="P599" i="1"/>
  <c r="T599" i="1" s="1"/>
  <c r="N600" i="1"/>
  <c r="P1198" i="1" l="1"/>
  <c r="T1198" i="1" s="1"/>
  <c r="N1199" i="1"/>
  <c r="P954" i="1"/>
  <c r="T954" i="1" s="1"/>
  <c r="N955" i="1"/>
  <c r="N762" i="1"/>
  <c r="P761" i="1"/>
  <c r="T761" i="1" s="1"/>
  <c r="P600" i="1"/>
  <c r="T600" i="1" s="1"/>
  <c r="N601" i="1"/>
  <c r="P1199" i="1" l="1"/>
  <c r="T1199" i="1" s="1"/>
  <c r="N1200" i="1"/>
  <c r="P955" i="1"/>
  <c r="T955" i="1" s="1"/>
  <c r="N956" i="1"/>
  <c r="N763" i="1"/>
  <c r="P762" i="1"/>
  <c r="T762" i="1" s="1"/>
  <c r="P601" i="1"/>
  <c r="T601" i="1" s="1"/>
  <c r="N602" i="1"/>
  <c r="P1200" i="1" l="1"/>
  <c r="T1200" i="1" s="1"/>
  <c r="N1201" i="1"/>
  <c r="P956" i="1"/>
  <c r="T956" i="1" s="1"/>
  <c r="N957" i="1"/>
  <c r="N764" i="1"/>
  <c r="P763" i="1"/>
  <c r="T763" i="1" s="1"/>
  <c r="P602" i="1"/>
  <c r="T602" i="1" s="1"/>
  <c r="N603" i="1"/>
  <c r="P1201" i="1" l="1"/>
  <c r="T1201" i="1" s="1"/>
  <c r="N1202" i="1"/>
  <c r="P957" i="1"/>
  <c r="T957" i="1" s="1"/>
  <c r="N958" i="1"/>
  <c r="N765" i="1"/>
  <c r="P764" i="1"/>
  <c r="T764" i="1" s="1"/>
  <c r="P603" i="1"/>
  <c r="T603" i="1" s="1"/>
  <c r="N604" i="1"/>
  <c r="P1202" i="1" l="1"/>
  <c r="T1202" i="1" s="1"/>
  <c r="N1203" i="1"/>
  <c r="P958" i="1"/>
  <c r="T958" i="1" s="1"/>
  <c r="N959" i="1"/>
  <c r="N766" i="1"/>
  <c r="P765" i="1"/>
  <c r="T765" i="1" s="1"/>
  <c r="P604" i="1"/>
  <c r="T604" i="1" s="1"/>
  <c r="N605" i="1"/>
  <c r="P1203" i="1" l="1"/>
  <c r="T1203" i="1" s="1"/>
  <c r="N1204" i="1"/>
  <c r="P959" i="1"/>
  <c r="T959" i="1" s="1"/>
  <c r="N960" i="1"/>
  <c r="N767" i="1"/>
  <c r="P766" i="1"/>
  <c r="T766" i="1" s="1"/>
  <c r="P605" i="1"/>
  <c r="T605" i="1" s="1"/>
  <c r="N606" i="1"/>
  <c r="P1204" i="1" l="1"/>
  <c r="T1204" i="1" s="1"/>
  <c r="N1205" i="1"/>
  <c r="P960" i="1"/>
  <c r="T960" i="1" s="1"/>
  <c r="N961" i="1"/>
  <c r="N768" i="1"/>
  <c r="P767" i="1"/>
  <c r="T767" i="1" s="1"/>
  <c r="P606" i="1"/>
  <c r="T606" i="1" s="1"/>
  <c r="N607" i="1"/>
  <c r="P1205" i="1" l="1"/>
  <c r="T1205" i="1" s="1"/>
  <c r="N1206" i="1"/>
  <c r="P961" i="1"/>
  <c r="T961" i="1" s="1"/>
  <c r="N962" i="1"/>
  <c r="N769" i="1"/>
  <c r="P768" i="1"/>
  <c r="T768" i="1" s="1"/>
  <c r="P607" i="1"/>
  <c r="T607" i="1" s="1"/>
  <c r="N608" i="1"/>
  <c r="P1206" i="1" l="1"/>
  <c r="T1206" i="1" s="1"/>
  <c r="N1207" i="1"/>
  <c r="P962" i="1"/>
  <c r="T962" i="1" s="1"/>
  <c r="N963" i="1"/>
  <c r="N770" i="1"/>
  <c r="P769" i="1"/>
  <c r="T769" i="1" s="1"/>
  <c r="P608" i="1"/>
  <c r="T608" i="1" s="1"/>
  <c r="N609" i="1"/>
  <c r="P1207" i="1" l="1"/>
  <c r="T1207" i="1" s="1"/>
  <c r="N1208" i="1"/>
  <c r="P963" i="1"/>
  <c r="T963" i="1" s="1"/>
  <c r="N964" i="1"/>
  <c r="N771" i="1"/>
  <c r="P770" i="1"/>
  <c r="T770" i="1" s="1"/>
  <c r="P609" i="1"/>
  <c r="T609" i="1" s="1"/>
  <c r="N610" i="1"/>
  <c r="P1208" i="1" l="1"/>
  <c r="T1208" i="1" s="1"/>
  <c r="N1209" i="1"/>
  <c r="P964" i="1"/>
  <c r="T964" i="1" s="1"/>
  <c r="N965" i="1"/>
  <c r="N772" i="1"/>
  <c r="P771" i="1"/>
  <c r="T771" i="1" s="1"/>
  <c r="P610" i="1"/>
  <c r="T610" i="1" s="1"/>
  <c r="N611" i="1"/>
  <c r="P1209" i="1" l="1"/>
  <c r="T1209" i="1" s="1"/>
  <c r="N1210" i="1"/>
  <c r="P965" i="1"/>
  <c r="T965" i="1" s="1"/>
  <c r="N966" i="1"/>
  <c r="N773" i="1"/>
  <c r="P772" i="1"/>
  <c r="T772" i="1" s="1"/>
  <c r="P611" i="1"/>
  <c r="T611" i="1" s="1"/>
  <c r="N612" i="1"/>
  <c r="P1210" i="1" l="1"/>
  <c r="T1210" i="1" s="1"/>
  <c r="N1211" i="1"/>
  <c r="N1214" i="1" s="1"/>
  <c r="P1214" i="1" s="1"/>
  <c r="T1214" i="1" s="1"/>
  <c r="P966" i="1"/>
  <c r="T966" i="1" s="1"/>
  <c r="N967" i="1"/>
  <c r="N774" i="1"/>
  <c r="P773" i="1"/>
  <c r="T773" i="1" s="1"/>
  <c r="P612" i="1"/>
  <c r="T612" i="1" s="1"/>
  <c r="N613" i="1"/>
  <c r="P1211" i="1" l="1"/>
  <c r="T1211" i="1" s="1"/>
  <c r="N1212" i="1"/>
  <c r="P967" i="1"/>
  <c r="T967" i="1" s="1"/>
  <c r="N968" i="1"/>
  <c r="N971" i="1" s="1"/>
  <c r="P971" i="1" s="1"/>
  <c r="T971" i="1" s="1"/>
  <c r="N775" i="1"/>
  <c r="P774" i="1"/>
  <c r="T774" i="1" s="1"/>
  <c r="P613" i="1"/>
  <c r="T613" i="1" s="1"/>
  <c r="N614" i="1"/>
  <c r="P1212" i="1" l="1"/>
  <c r="T1212" i="1" s="1"/>
  <c r="N1213" i="1"/>
  <c r="P968" i="1"/>
  <c r="T968" i="1" s="1"/>
  <c r="N969" i="1"/>
  <c r="N776" i="1"/>
  <c r="P775" i="1"/>
  <c r="T775" i="1" s="1"/>
  <c r="P614" i="1"/>
  <c r="T614" i="1" s="1"/>
  <c r="N615" i="1"/>
  <c r="N618" i="1" s="1"/>
  <c r="P618" i="1" s="1"/>
  <c r="T618" i="1" s="1"/>
  <c r="P1213" i="1" l="1"/>
  <c r="T1213" i="1" s="1"/>
  <c r="N970" i="1"/>
  <c r="P969" i="1"/>
  <c r="T969" i="1" s="1"/>
  <c r="N777" i="1"/>
  <c r="P776" i="1"/>
  <c r="T776" i="1" s="1"/>
  <c r="P615" i="1"/>
  <c r="T615" i="1" s="1"/>
  <c r="N616" i="1"/>
  <c r="P1216" i="1" l="1"/>
  <c r="T1216" i="1" s="1"/>
  <c r="N1217" i="1"/>
  <c r="P970" i="1"/>
  <c r="T970" i="1" s="1"/>
  <c r="N778" i="1"/>
  <c r="P777" i="1"/>
  <c r="T777" i="1" s="1"/>
  <c r="P616" i="1"/>
  <c r="T616" i="1" s="1"/>
  <c r="N617" i="1"/>
  <c r="P1217" i="1" l="1"/>
  <c r="T1217" i="1" s="1"/>
  <c r="N1218" i="1"/>
  <c r="N974" i="1"/>
  <c r="P973" i="1"/>
  <c r="T973" i="1" s="1"/>
  <c r="N779" i="1"/>
  <c r="P778" i="1"/>
  <c r="T778" i="1" s="1"/>
  <c r="P617" i="1"/>
  <c r="T617" i="1" s="1"/>
  <c r="P1218" i="1" l="1"/>
  <c r="T1218" i="1" s="1"/>
  <c r="N1219" i="1"/>
  <c r="P974" i="1"/>
  <c r="T974" i="1" s="1"/>
  <c r="N975" i="1"/>
  <c r="N780" i="1"/>
  <c r="P779" i="1"/>
  <c r="T779" i="1" s="1"/>
  <c r="P620" i="1"/>
  <c r="T620" i="1" s="1"/>
  <c r="N621" i="1"/>
  <c r="P1219" i="1" l="1"/>
  <c r="T1219" i="1" s="1"/>
  <c r="N1220" i="1"/>
  <c r="N976" i="1"/>
  <c r="P975" i="1"/>
  <c r="T975" i="1" s="1"/>
  <c r="N781" i="1"/>
  <c r="P780" i="1"/>
  <c r="T780" i="1" s="1"/>
  <c r="P621" i="1"/>
  <c r="T621" i="1" s="1"/>
  <c r="N622" i="1"/>
  <c r="N1221" i="1" l="1"/>
  <c r="P1220" i="1"/>
  <c r="T1220" i="1" s="1"/>
  <c r="P976" i="1"/>
  <c r="T976" i="1" s="1"/>
  <c r="N977" i="1"/>
  <c r="P781" i="1"/>
  <c r="T781" i="1" s="1"/>
  <c r="P622" i="1"/>
  <c r="T622" i="1" s="1"/>
  <c r="N623" i="1"/>
  <c r="P1221" i="1" l="1"/>
  <c r="T1221" i="1" s="1"/>
  <c r="N1222" i="1"/>
  <c r="N978" i="1"/>
  <c r="P977" i="1"/>
  <c r="T977" i="1" s="1"/>
  <c r="N784" i="1"/>
  <c r="P783" i="1"/>
  <c r="T783" i="1" s="1"/>
  <c r="P623" i="1"/>
  <c r="T623" i="1" s="1"/>
  <c r="N624" i="1"/>
  <c r="N1223" i="1" l="1"/>
  <c r="P1222" i="1"/>
  <c r="T1222" i="1" s="1"/>
  <c r="P978" i="1"/>
  <c r="T978" i="1" s="1"/>
  <c r="N979" i="1"/>
  <c r="N785" i="1"/>
  <c r="P784" i="1"/>
  <c r="T784" i="1" s="1"/>
  <c r="P624" i="1"/>
  <c r="T624" i="1" s="1"/>
  <c r="N625" i="1"/>
  <c r="P1223" i="1" l="1"/>
  <c r="T1223" i="1" s="1"/>
  <c r="N1224" i="1"/>
  <c r="N980" i="1"/>
  <c r="P979" i="1"/>
  <c r="T979" i="1" s="1"/>
  <c r="N786" i="1"/>
  <c r="P785" i="1"/>
  <c r="T785" i="1" s="1"/>
  <c r="P625" i="1"/>
  <c r="T625" i="1" s="1"/>
  <c r="N626" i="1"/>
  <c r="P1224" i="1" l="1"/>
  <c r="T1224" i="1" s="1"/>
  <c r="N1225" i="1"/>
  <c r="P980" i="1"/>
  <c r="T980" i="1" s="1"/>
  <c r="N981" i="1"/>
  <c r="N787" i="1"/>
  <c r="P786" i="1"/>
  <c r="T786" i="1" s="1"/>
  <c r="P626" i="1"/>
  <c r="T626" i="1" s="1"/>
  <c r="N627" i="1"/>
  <c r="P1225" i="1" l="1"/>
  <c r="T1225" i="1" s="1"/>
  <c r="N1226" i="1"/>
  <c r="N982" i="1"/>
  <c r="P981" i="1"/>
  <c r="T981" i="1" s="1"/>
  <c r="N788" i="1"/>
  <c r="P787" i="1"/>
  <c r="T787" i="1" s="1"/>
  <c r="P627" i="1"/>
  <c r="T627" i="1" s="1"/>
  <c r="N628" i="1"/>
  <c r="P1226" i="1" l="1"/>
  <c r="T1226" i="1" s="1"/>
  <c r="N1227" i="1"/>
  <c r="P982" i="1"/>
  <c r="T982" i="1" s="1"/>
  <c r="N983" i="1"/>
  <c r="N789" i="1"/>
  <c r="P788" i="1"/>
  <c r="T788" i="1" s="1"/>
  <c r="P628" i="1"/>
  <c r="T628" i="1" s="1"/>
  <c r="N629" i="1"/>
  <c r="P1227" i="1" l="1"/>
  <c r="T1227" i="1" s="1"/>
  <c r="N1228" i="1"/>
  <c r="N984" i="1"/>
  <c r="P983" i="1"/>
  <c r="T983" i="1" s="1"/>
  <c r="N790" i="1"/>
  <c r="P789" i="1"/>
  <c r="T789" i="1" s="1"/>
  <c r="P629" i="1"/>
  <c r="T629" i="1" s="1"/>
  <c r="N630" i="1"/>
  <c r="P1228" i="1" l="1"/>
  <c r="T1228" i="1" s="1"/>
  <c r="N1229" i="1"/>
  <c r="P984" i="1"/>
  <c r="T984" i="1" s="1"/>
  <c r="N985" i="1"/>
  <c r="N791" i="1"/>
  <c r="P790" i="1"/>
  <c r="T790" i="1" s="1"/>
  <c r="P630" i="1"/>
  <c r="T630" i="1" s="1"/>
  <c r="N631" i="1"/>
  <c r="P1229" i="1" l="1"/>
  <c r="T1229" i="1" s="1"/>
  <c r="N1230" i="1"/>
  <c r="N986" i="1"/>
  <c r="P985" i="1"/>
  <c r="T985" i="1" s="1"/>
  <c r="N792" i="1"/>
  <c r="P791" i="1"/>
  <c r="T791" i="1" s="1"/>
  <c r="P631" i="1"/>
  <c r="T631" i="1" s="1"/>
  <c r="N632" i="1"/>
  <c r="P1230" i="1" l="1"/>
  <c r="T1230" i="1" s="1"/>
  <c r="N1231" i="1"/>
  <c r="P986" i="1"/>
  <c r="T986" i="1" s="1"/>
  <c r="N987" i="1"/>
  <c r="N793" i="1"/>
  <c r="P792" i="1"/>
  <c r="T792" i="1" s="1"/>
  <c r="P632" i="1"/>
  <c r="T632" i="1" s="1"/>
  <c r="N633" i="1"/>
  <c r="P1231" i="1" l="1"/>
  <c r="T1231" i="1" s="1"/>
  <c r="N1232" i="1"/>
  <c r="N988" i="1"/>
  <c r="P987" i="1"/>
  <c r="T987" i="1" s="1"/>
  <c r="N794" i="1"/>
  <c r="P793" i="1"/>
  <c r="T793" i="1" s="1"/>
  <c r="P633" i="1"/>
  <c r="T633" i="1" s="1"/>
  <c r="N634" i="1"/>
  <c r="P1232" i="1" l="1"/>
  <c r="T1232" i="1" s="1"/>
  <c r="N1233" i="1"/>
  <c r="P988" i="1"/>
  <c r="T988" i="1" s="1"/>
  <c r="N989" i="1"/>
  <c r="N795" i="1"/>
  <c r="P794" i="1"/>
  <c r="T794" i="1" s="1"/>
  <c r="P634" i="1"/>
  <c r="T634" i="1" s="1"/>
  <c r="N635" i="1"/>
  <c r="P1233" i="1" l="1"/>
  <c r="T1233" i="1" s="1"/>
  <c r="N1234" i="1"/>
  <c r="N990" i="1"/>
  <c r="P989" i="1"/>
  <c r="T989" i="1" s="1"/>
  <c r="N796" i="1"/>
  <c r="P795" i="1"/>
  <c r="T795" i="1" s="1"/>
  <c r="P635" i="1"/>
  <c r="T635" i="1" s="1"/>
  <c r="N636" i="1"/>
  <c r="P1234" i="1" l="1"/>
  <c r="T1234" i="1" s="1"/>
  <c r="N1235" i="1"/>
  <c r="P990" i="1"/>
  <c r="T990" i="1" s="1"/>
  <c r="N991" i="1"/>
  <c r="N797" i="1"/>
  <c r="P796" i="1"/>
  <c r="T796" i="1" s="1"/>
  <c r="P636" i="1"/>
  <c r="T636" i="1" s="1"/>
  <c r="N637" i="1"/>
  <c r="P1235" i="1" l="1"/>
  <c r="T1235" i="1" s="1"/>
  <c r="N1236" i="1"/>
  <c r="N992" i="1"/>
  <c r="P991" i="1"/>
  <c r="T991" i="1" s="1"/>
  <c r="N798" i="1"/>
  <c r="P797" i="1"/>
  <c r="T797" i="1" s="1"/>
  <c r="P637" i="1"/>
  <c r="T637" i="1" s="1"/>
  <c r="N638" i="1"/>
  <c r="P1236" i="1" l="1"/>
  <c r="T1236" i="1" s="1"/>
  <c r="N1237" i="1"/>
  <c r="P992" i="1"/>
  <c r="T992" i="1" s="1"/>
  <c r="N993" i="1"/>
  <c r="N799" i="1"/>
  <c r="P798" i="1"/>
  <c r="T798" i="1" s="1"/>
  <c r="P638" i="1"/>
  <c r="T638" i="1" s="1"/>
  <c r="N639" i="1"/>
  <c r="P1237" i="1" l="1"/>
  <c r="T1237" i="1" s="1"/>
  <c r="N1238" i="1"/>
  <c r="N1241" i="1" s="1"/>
  <c r="P1241" i="1" s="1"/>
  <c r="T1241" i="1" s="1"/>
  <c r="N994" i="1"/>
  <c r="P993" i="1"/>
  <c r="T993" i="1" s="1"/>
  <c r="N800" i="1"/>
  <c r="P799" i="1"/>
  <c r="T799" i="1" s="1"/>
  <c r="P639" i="1"/>
  <c r="T639" i="1" s="1"/>
  <c r="N640" i="1"/>
  <c r="N1239" i="1" l="1"/>
  <c r="P1238" i="1"/>
  <c r="T1238" i="1" s="1"/>
  <c r="P994" i="1"/>
  <c r="T994" i="1" s="1"/>
  <c r="N995" i="1"/>
  <c r="N998" i="1" s="1"/>
  <c r="P998" i="1" s="1"/>
  <c r="T998" i="1" s="1"/>
  <c r="N801" i="1"/>
  <c r="P800" i="1"/>
  <c r="T800" i="1" s="1"/>
  <c r="P640" i="1"/>
  <c r="T640" i="1" s="1"/>
  <c r="N641" i="1"/>
  <c r="P1239" i="1" l="1"/>
  <c r="T1239" i="1" s="1"/>
  <c r="N1240" i="1"/>
  <c r="N996" i="1"/>
  <c r="P995" i="1"/>
  <c r="T995" i="1" s="1"/>
  <c r="N802" i="1"/>
  <c r="P801" i="1"/>
  <c r="T801" i="1" s="1"/>
  <c r="P641" i="1"/>
  <c r="T641" i="1" s="1"/>
  <c r="N642" i="1"/>
  <c r="N645" i="1" s="1"/>
  <c r="P645" i="1" s="1"/>
  <c r="T645" i="1" s="1"/>
  <c r="P1240" i="1" l="1"/>
  <c r="T1240" i="1" s="1"/>
  <c r="P996" i="1"/>
  <c r="T996" i="1" s="1"/>
  <c r="N997" i="1"/>
  <c r="N803" i="1"/>
  <c r="P802" i="1"/>
  <c r="T802" i="1" s="1"/>
  <c r="P642" i="1"/>
  <c r="T642" i="1" s="1"/>
  <c r="N643" i="1"/>
  <c r="P1243" i="1" l="1"/>
  <c r="T1243" i="1" s="1"/>
  <c r="N1244" i="1"/>
  <c r="P997" i="1"/>
  <c r="T997" i="1" s="1"/>
  <c r="N804" i="1"/>
  <c r="P803" i="1"/>
  <c r="T803" i="1" s="1"/>
  <c r="P643" i="1"/>
  <c r="T643" i="1" s="1"/>
  <c r="N644" i="1"/>
  <c r="P1244" i="1" l="1"/>
  <c r="T1244" i="1" s="1"/>
  <c r="N1245" i="1"/>
  <c r="P1000" i="1"/>
  <c r="T1000" i="1" s="1"/>
  <c r="N1001" i="1"/>
  <c r="N805" i="1"/>
  <c r="N808" i="1" s="1"/>
  <c r="P808" i="1" s="1"/>
  <c r="T808" i="1" s="1"/>
  <c r="P804" i="1"/>
  <c r="T804" i="1" s="1"/>
  <c r="P644" i="1"/>
  <c r="T644" i="1" s="1"/>
  <c r="N1246" i="1" l="1"/>
  <c r="P1245" i="1"/>
  <c r="T1245" i="1" s="1"/>
  <c r="N1002" i="1"/>
  <c r="P1001" i="1"/>
  <c r="T1001" i="1" s="1"/>
  <c r="N806" i="1"/>
  <c r="P805" i="1"/>
  <c r="T805" i="1" s="1"/>
  <c r="P647" i="1"/>
  <c r="T647" i="1" s="1"/>
  <c r="N648" i="1"/>
  <c r="N649" i="1" s="1"/>
  <c r="N650" i="1" s="1"/>
  <c r="N651" i="1" s="1"/>
  <c r="N652" i="1" s="1"/>
  <c r="N653" i="1" s="1"/>
  <c r="N654" i="1" s="1"/>
  <c r="N655" i="1" s="1"/>
  <c r="N656" i="1" s="1"/>
  <c r="N657" i="1" s="1"/>
  <c r="N658" i="1" s="1"/>
  <c r="N659" i="1" s="1"/>
  <c r="N660" i="1" s="1"/>
  <c r="N661" i="1" s="1"/>
  <c r="N662" i="1" s="1"/>
  <c r="N663" i="1" s="1"/>
  <c r="N664" i="1" s="1"/>
  <c r="N665" i="1" s="1"/>
  <c r="N666" i="1" s="1"/>
  <c r="N667" i="1" s="1"/>
  <c r="N668" i="1" s="1"/>
  <c r="N669" i="1" s="1"/>
  <c r="N670" i="1" s="1"/>
  <c r="N671" i="1" s="1"/>
  <c r="N672" i="1" s="1"/>
  <c r="N1247" i="1" l="1"/>
  <c r="P1246" i="1"/>
  <c r="T1246" i="1" s="1"/>
  <c r="P1002" i="1"/>
  <c r="T1002" i="1" s="1"/>
  <c r="N1003" i="1"/>
  <c r="N807" i="1"/>
  <c r="P806" i="1"/>
  <c r="T806" i="1" s="1"/>
  <c r="P648" i="1"/>
  <c r="T648" i="1" s="1"/>
  <c r="P1247" i="1" l="1"/>
  <c r="T1247" i="1" s="1"/>
  <c r="N1248" i="1"/>
  <c r="N1004" i="1"/>
  <c r="P1003" i="1"/>
  <c r="T1003" i="1" s="1"/>
  <c r="P807" i="1"/>
  <c r="T807" i="1" s="1"/>
  <c r="P649" i="1"/>
  <c r="T649" i="1" s="1"/>
  <c r="N1249" i="1" l="1"/>
  <c r="P1248" i="1"/>
  <c r="T1248" i="1" s="1"/>
  <c r="P1004" i="1"/>
  <c r="T1004" i="1" s="1"/>
  <c r="N1005" i="1"/>
  <c r="N811" i="1"/>
  <c r="P810" i="1"/>
  <c r="T810" i="1" s="1"/>
  <c r="P650" i="1"/>
  <c r="T650" i="1" s="1"/>
  <c r="N1250" i="1" l="1"/>
  <c r="P1249" i="1"/>
  <c r="T1249" i="1" s="1"/>
  <c r="N1006" i="1"/>
  <c r="P1005" i="1"/>
  <c r="T1005" i="1" s="1"/>
  <c r="N812" i="1"/>
  <c r="P811" i="1"/>
  <c r="T811" i="1" s="1"/>
  <c r="P651" i="1"/>
  <c r="T651" i="1" s="1"/>
  <c r="P1250" i="1" l="1"/>
  <c r="T1250" i="1" s="1"/>
  <c r="N1251" i="1"/>
  <c r="P1006" i="1"/>
  <c r="T1006" i="1" s="1"/>
  <c r="N1007" i="1"/>
  <c r="N813" i="1"/>
  <c r="P812" i="1"/>
  <c r="T812" i="1" s="1"/>
  <c r="P652" i="1"/>
  <c r="T652" i="1" s="1"/>
  <c r="P1251" i="1" l="1"/>
  <c r="T1251" i="1" s="1"/>
  <c r="N1252" i="1"/>
  <c r="N1008" i="1"/>
  <c r="P1007" i="1"/>
  <c r="T1007" i="1" s="1"/>
  <c r="N814" i="1"/>
  <c r="P813" i="1"/>
  <c r="T813" i="1" s="1"/>
  <c r="P653" i="1"/>
  <c r="T653" i="1" s="1"/>
  <c r="N1253" i="1" l="1"/>
  <c r="P1252" i="1"/>
  <c r="T1252" i="1" s="1"/>
  <c r="P1008" i="1"/>
  <c r="T1008" i="1" s="1"/>
  <c r="N1009" i="1"/>
  <c r="N815" i="1"/>
  <c r="P814" i="1"/>
  <c r="T814" i="1" s="1"/>
  <c r="P654" i="1"/>
  <c r="T654" i="1" s="1"/>
  <c r="N1254" i="1" l="1"/>
  <c r="P1253" i="1"/>
  <c r="T1253" i="1" s="1"/>
  <c r="N1010" i="1"/>
  <c r="P1009" i="1"/>
  <c r="T1009" i="1" s="1"/>
  <c r="N816" i="1"/>
  <c r="P815" i="1"/>
  <c r="T815" i="1" s="1"/>
  <c r="P655" i="1"/>
  <c r="T655" i="1" s="1"/>
  <c r="P1254" i="1" l="1"/>
  <c r="T1254" i="1" s="1"/>
  <c r="N1255" i="1"/>
  <c r="P1010" i="1"/>
  <c r="T1010" i="1" s="1"/>
  <c r="N1011" i="1"/>
  <c r="N817" i="1"/>
  <c r="P816" i="1"/>
  <c r="T816" i="1" s="1"/>
  <c r="P656" i="1"/>
  <c r="T656" i="1" s="1"/>
  <c r="P1255" i="1" l="1"/>
  <c r="T1255" i="1" s="1"/>
  <c r="N1256" i="1"/>
  <c r="N1012" i="1"/>
  <c r="P1011" i="1"/>
  <c r="T1011" i="1" s="1"/>
  <c r="N818" i="1"/>
  <c r="P817" i="1"/>
  <c r="T817" i="1" s="1"/>
  <c r="P657" i="1"/>
  <c r="T657" i="1" s="1"/>
  <c r="P1256" i="1" l="1"/>
  <c r="T1256" i="1" s="1"/>
  <c r="N1257" i="1"/>
  <c r="P1012" i="1"/>
  <c r="T1012" i="1" s="1"/>
  <c r="N1013" i="1"/>
  <c r="N819" i="1"/>
  <c r="P818" i="1"/>
  <c r="T818" i="1" s="1"/>
  <c r="P658" i="1"/>
  <c r="T658" i="1" s="1"/>
  <c r="P1257" i="1" l="1"/>
  <c r="T1257" i="1" s="1"/>
  <c r="N1258" i="1"/>
  <c r="N1014" i="1"/>
  <c r="P1013" i="1"/>
  <c r="T1013" i="1" s="1"/>
  <c r="N820" i="1"/>
  <c r="P819" i="1"/>
  <c r="T819" i="1" s="1"/>
  <c r="P659" i="1"/>
  <c r="T659" i="1" s="1"/>
  <c r="N1259" i="1" l="1"/>
  <c r="P1258" i="1"/>
  <c r="T1258" i="1" s="1"/>
  <c r="P1014" i="1"/>
  <c r="T1014" i="1" s="1"/>
  <c r="N1015" i="1"/>
  <c r="N821" i="1"/>
  <c r="P820" i="1"/>
  <c r="T820" i="1" s="1"/>
  <c r="P660" i="1"/>
  <c r="T660" i="1" s="1"/>
  <c r="N1260" i="1" l="1"/>
  <c r="P1259" i="1"/>
  <c r="T1259" i="1" s="1"/>
  <c r="N1016" i="1"/>
  <c r="P1015" i="1"/>
  <c r="T1015" i="1" s="1"/>
  <c r="N822" i="1"/>
  <c r="P821" i="1"/>
  <c r="T821" i="1" s="1"/>
  <c r="P661" i="1"/>
  <c r="T661" i="1" s="1"/>
  <c r="P1260" i="1" l="1"/>
  <c r="T1260" i="1" s="1"/>
  <c r="N1261" i="1"/>
  <c r="P1016" i="1"/>
  <c r="T1016" i="1" s="1"/>
  <c r="N1017" i="1"/>
  <c r="N823" i="1"/>
  <c r="P822" i="1"/>
  <c r="T822" i="1" s="1"/>
  <c r="P662" i="1"/>
  <c r="T662" i="1" s="1"/>
  <c r="P1261" i="1" l="1"/>
  <c r="T1261" i="1" s="1"/>
  <c r="N1262" i="1"/>
  <c r="N1018" i="1"/>
  <c r="P1017" i="1"/>
  <c r="T1017" i="1" s="1"/>
  <c r="N824" i="1"/>
  <c r="P823" i="1"/>
  <c r="T823" i="1" s="1"/>
  <c r="P663" i="1"/>
  <c r="T663" i="1" s="1"/>
  <c r="N1263" i="1" l="1"/>
  <c r="P1262" i="1"/>
  <c r="T1262" i="1" s="1"/>
  <c r="P1018" i="1"/>
  <c r="T1018" i="1" s="1"/>
  <c r="N1019" i="1"/>
  <c r="N825" i="1"/>
  <c r="P824" i="1"/>
  <c r="T824" i="1" s="1"/>
  <c r="P664" i="1"/>
  <c r="T664" i="1" s="1"/>
  <c r="N1264" i="1" l="1"/>
  <c r="P1263" i="1"/>
  <c r="T1263" i="1" s="1"/>
  <c r="N1020" i="1"/>
  <c r="P1019" i="1"/>
  <c r="T1019" i="1" s="1"/>
  <c r="N826" i="1"/>
  <c r="P825" i="1"/>
  <c r="T825" i="1" s="1"/>
  <c r="P665" i="1"/>
  <c r="T665" i="1" s="1"/>
  <c r="N1265" i="1" l="1"/>
  <c r="P1264" i="1"/>
  <c r="T1264" i="1" s="1"/>
  <c r="P1020" i="1"/>
  <c r="T1020" i="1" s="1"/>
  <c r="N1021" i="1"/>
  <c r="N827" i="1"/>
  <c r="P826" i="1"/>
  <c r="T826" i="1" s="1"/>
  <c r="P666" i="1"/>
  <c r="T666" i="1" s="1"/>
  <c r="P1265" i="1" l="1"/>
  <c r="T1265" i="1" s="1"/>
  <c r="N1266" i="1"/>
  <c r="N1022" i="1"/>
  <c r="N1025" i="1" s="1"/>
  <c r="P1025" i="1" s="1"/>
  <c r="T1025" i="1" s="1"/>
  <c r="P1021" i="1"/>
  <c r="T1021" i="1" s="1"/>
  <c r="N828" i="1"/>
  <c r="P827" i="1"/>
  <c r="T827" i="1" s="1"/>
  <c r="P667" i="1"/>
  <c r="T667" i="1" s="1"/>
  <c r="P1266" i="1" l="1"/>
  <c r="T1266" i="1" s="1"/>
  <c r="N1267" i="1"/>
  <c r="P1022" i="1"/>
  <c r="T1022" i="1" s="1"/>
  <c r="N1023" i="1"/>
  <c r="N829" i="1"/>
  <c r="P828" i="1"/>
  <c r="T828" i="1" s="1"/>
  <c r="P668" i="1"/>
  <c r="T668" i="1" s="1"/>
  <c r="P1267" i="1" l="1"/>
  <c r="T1267" i="1" s="1"/>
  <c r="N1024" i="1"/>
  <c r="P1023" i="1"/>
  <c r="T1023" i="1" s="1"/>
  <c r="N830" i="1"/>
  <c r="P829" i="1"/>
  <c r="T829" i="1" s="1"/>
  <c r="P669" i="1"/>
  <c r="T669" i="1" s="1"/>
  <c r="N1270" i="1" l="1"/>
  <c r="P1269" i="1"/>
  <c r="T1269" i="1" s="1"/>
  <c r="P1024" i="1"/>
  <c r="T1024" i="1" s="1"/>
  <c r="N831" i="1"/>
  <c r="P830" i="1"/>
  <c r="T830" i="1" s="1"/>
  <c r="P670" i="1"/>
  <c r="T670" i="1" s="1"/>
  <c r="P1270" i="1" l="1"/>
  <c r="T1270" i="1" s="1"/>
  <c r="N1271" i="1"/>
  <c r="N1028" i="1"/>
  <c r="P1027" i="1"/>
  <c r="T1027" i="1" s="1"/>
  <c r="N832" i="1"/>
  <c r="P831" i="1"/>
  <c r="T831" i="1" s="1"/>
  <c r="P672" i="1"/>
  <c r="T672" i="1" s="1"/>
  <c r="P671" i="1"/>
  <c r="T671" i="1" s="1"/>
  <c r="P1271" i="1" l="1"/>
  <c r="T1271" i="1" s="1"/>
  <c r="N1272" i="1"/>
  <c r="P1028" i="1"/>
  <c r="T1028" i="1" s="1"/>
  <c r="N1029" i="1"/>
  <c r="N833" i="1"/>
  <c r="P832" i="1"/>
  <c r="T832" i="1" s="1"/>
  <c r="P220" i="1"/>
  <c r="T220" i="1" s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486" i="1"/>
  <c r="N486" i="1"/>
  <c r="O485" i="1"/>
  <c r="P485" i="1" s="1"/>
  <c r="T485" i="1" s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59" i="1"/>
  <c r="O458" i="1"/>
  <c r="N459" i="1"/>
  <c r="N460" i="1" s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32" i="1"/>
  <c r="O431" i="1"/>
  <c r="N432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378" i="1"/>
  <c r="O377" i="1"/>
  <c r="N378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51" i="1"/>
  <c r="O350" i="1"/>
  <c r="N351" i="1"/>
  <c r="N352" i="1" s="1"/>
  <c r="N353" i="1" s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24" i="1"/>
  <c r="O323" i="1"/>
  <c r="N324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N296" i="1"/>
  <c r="N297" i="1" s="1"/>
  <c r="N298" i="1" s="1"/>
  <c r="P298" i="1" s="1"/>
  <c r="T298" i="1" s="1"/>
  <c r="O297" i="1"/>
  <c r="O296" i="1"/>
  <c r="O289" i="1"/>
  <c r="O290" i="1"/>
  <c r="O291" i="1"/>
  <c r="O292" i="1"/>
  <c r="O293" i="1"/>
  <c r="O294" i="1"/>
  <c r="O288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74" i="1"/>
  <c r="O273" i="1"/>
  <c r="N274" i="1"/>
  <c r="N275" i="1" s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47" i="1"/>
  <c r="O246" i="1"/>
  <c r="N247" i="1"/>
  <c r="N248" i="1" s="1"/>
  <c r="N221" i="1"/>
  <c r="N194" i="1"/>
  <c r="N195" i="1" s="1"/>
  <c r="N168" i="1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1" i="2"/>
  <c r="N322" i="2"/>
  <c r="O322" i="2"/>
  <c r="P322" i="2"/>
  <c r="Q322" i="2"/>
  <c r="R322" i="2"/>
  <c r="S322" i="2"/>
  <c r="T322" i="2"/>
  <c r="U322" i="2"/>
  <c r="V322" i="2"/>
  <c r="W322" i="2"/>
  <c r="X322" i="2"/>
  <c r="N323" i="2"/>
  <c r="O323" i="2"/>
  <c r="P323" i="2"/>
  <c r="Q323" i="2"/>
  <c r="R323" i="2"/>
  <c r="S323" i="2"/>
  <c r="T323" i="2"/>
  <c r="U323" i="2"/>
  <c r="V323" i="2"/>
  <c r="W323" i="2"/>
  <c r="X323" i="2"/>
  <c r="N324" i="2"/>
  <c r="O324" i="2"/>
  <c r="P324" i="2"/>
  <c r="Q324" i="2"/>
  <c r="R324" i="2"/>
  <c r="S324" i="2"/>
  <c r="T324" i="2"/>
  <c r="U324" i="2"/>
  <c r="V324" i="2"/>
  <c r="W324" i="2"/>
  <c r="X324" i="2"/>
  <c r="N325" i="2"/>
  <c r="O325" i="2"/>
  <c r="P325" i="2"/>
  <c r="Q325" i="2"/>
  <c r="R325" i="2"/>
  <c r="S325" i="2"/>
  <c r="T325" i="2"/>
  <c r="U325" i="2"/>
  <c r="V325" i="2"/>
  <c r="W325" i="2"/>
  <c r="X325" i="2"/>
  <c r="N326" i="2"/>
  <c r="O326" i="2"/>
  <c r="P326" i="2"/>
  <c r="Q326" i="2"/>
  <c r="R326" i="2"/>
  <c r="S326" i="2"/>
  <c r="T326" i="2"/>
  <c r="U326" i="2"/>
  <c r="V326" i="2"/>
  <c r="W326" i="2"/>
  <c r="X326" i="2"/>
  <c r="N327" i="2"/>
  <c r="O327" i="2"/>
  <c r="P327" i="2"/>
  <c r="Q327" i="2"/>
  <c r="R327" i="2"/>
  <c r="S327" i="2"/>
  <c r="T327" i="2"/>
  <c r="U327" i="2"/>
  <c r="V327" i="2"/>
  <c r="W327" i="2"/>
  <c r="X327" i="2"/>
  <c r="N328" i="2"/>
  <c r="O328" i="2"/>
  <c r="P328" i="2"/>
  <c r="Q328" i="2"/>
  <c r="R328" i="2"/>
  <c r="S328" i="2"/>
  <c r="T328" i="2"/>
  <c r="U328" i="2"/>
  <c r="V328" i="2"/>
  <c r="W328" i="2"/>
  <c r="X328" i="2"/>
  <c r="N329" i="2"/>
  <c r="O329" i="2"/>
  <c r="P329" i="2"/>
  <c r="Q329" i="2"/>
  <c r="R329" i="2"/>
  <c r="S329" i="2"/>
  <c r="T329" i="2"/>
  <c r="U329" i="2"/>
  <c r="V329" i="2"/>
  <c r="W329" i="2"/>
  <c r="X329" i="2"/>
  <c r="N330" i="2"/>
  <c r="O330" i="2"/>
  <c r="P330" i="2"/>
  <c r="Q330" i="2"/>
  <c r="R330" i="2"/>
  <c r="S330" i="2"/>
  <c r="T330" i="2"/>
  <c r="U330" i="2"/>
  <c r="V330" i="2"/>
  <c r="W330" i="2"/>
  <c r="X330" i="2"/>
  <c r="N331" i="2"/>
  <c r="O331" i="2"/>
  <c r="P331" i="2"/>
  <c r="Q331" i="2"/>
  <c r="R331" i="2"/>
  <c r="S331" i="2"/>
  <c r="T331" i="2"/>
  <c r="U331" i="2"/>
  <c r="V331" i="2"/>
  <c r="W331" i="2"/>
  <c r="X331" i="2"/>
  <c r="N332" i="2"/>
  <c r="O332" i="2"/>
  <c r="P332" i="2"/>
  <c r="Q332" i="2"/>
  <c r="R332" i="2"/>
  <c r="S332" i="2"/>
  <c r="T332" i="2"/>
  <c r="U332" i="2"/>
  <c r="V332" i="2"/>
  <c r="W332" i="2"/>
  <c r="X332" i="2"/>
  <c r="N333" i="2"/>
  <c r="O333" i="2"/>
  <c r="P333" i="2"/>
  <c r="Q333" i="2"/>
  <c r="R333" i="2"/>
  <c r="S333" i="2"/>
  <c r="T333" i="2"/>
  <c r="U333" i="2"/>
  <c r="V333" i="2"/>
  <c r="W333" i="2"/>
  <c r="X333" i="2"/>
  <c r="N334" i="2"/>
  <c r="O334" i="2"/>
  <c r="P334" i="2"/>
  <c r="Q334" i="2"/>
  <c r="R334" i="2"/>
  <c r="S334" i="2"/>
  <c r="T334" i="2"/>
  <c r="U334" i="2"/>
  <c r="V334" i="2"/>
  <c r="W334" i="2"/>
  <c r="X334" i="2"/>
  <c r="N335" i="2"/>
  <c r="O335" i="2"/>
  <c r="P335" i="2"/>
  <c r="Q335" i="2"/>
  <c r="R335" i="2"/>
  <c r="S335" i="2"/>
  <c r="T335" i="2"/>
  <c r="U335" i="2"/>
  <c r="V335" i="2"/>
  <c r="W335" i="2"/>
  <c r="X335" i="2"/>
  <c r="N336" i="2"/>
  <c r="O336" i="2"/>
  <c r="P336" i="2"/>
  <c r="Q336" i="2"/>
  <c r="R336" i="2"/>
  <c r="S336" i="2"/>
  <c r="T336" i="2"/>
  <c r="U336" i="2"/>
  <c r="V336" i="2"/>
  <c r="W336" i="2"/>
  <c r="X336" i="2"/>
  <c r="N337" i="2"/>
  <c r="O337" i="2"/>
  <c r="P337" i="2"/>
  <c r="Q337" i="2"/>
  <c r="R337" i="2"/>
  <c r="S337" i="2"/>
  <c r="T337" i="2"/>
  <c r="U337" i="2"/>
  <c r="V337" i="2"/>
  <c r="W337" i="2"/>
  <c r="X337" i="2"/>
  <c r="N338" i="2"/>
  <c r="O338" i="2"/>
  <c r="P338" i="2"/>
  <c r="Q338" i="2"/>
  <c r="R338" i="2"/>
  <c r="S338" i="2"/>
  <c r="T338" i="2"/>
  <c r="U338" i="2"/>
  <c r="V338" i="2"/>
  <c r="W338" i="2"/>
  <c r="X338" i="2"/>
  <c r="N339" i="2"/>
  <c r="O339" i="2"/>
  <c r="P339" i="2"/>
  <c r="Q339" i="2"/>
  <c r="R339" i="2"/>
  <c r="S339" i="2"/>
  <c r="T339" i="2"/>
  <c r="U339" i="2"/>
  <c r="V339" i="2"/>
  <c r="W339" i="2"/>
  <c r="X339" i="2"/>
  <c r="N340" i="2"/>
  <c r="O340" i="2"/>
  <c r="P340" i="2"/>
  <c r="Q340" i="2"/>
  <c r="R340" i="2"/>
  <c r="S340" i="2"/>
  <c r="T340" i="2"/>
  <c r="U340" i="2"/>
  <c r="V340" i="2"/>
  <c r="W340" i="2"/>
  <c r="X340" i="2"/>
  <c r="N341" i="2"/>
  <c r="O341" i="2"/>
  <c r="P341" i="2"/>
  <c r="Q341" i="2"/>
  <c r="R341" i="2"/>
  <c r="S341" i="2"/>
  <c r="T341" i="2"/>
  <c r="U341" i="2"/>
  <c r="V341" i="2"/>
  <c r="W341" i="2"/>
  <c r="X341" i="2"/>
  <c r="N342" i="2"/>
  <c r="O342" i="2"/>
  <c r="P342" i="2"/>
  <c r="Q342" i="2"/>
  <c r="R342" i="2"/>
  <c r="S342" i="2"/>
  <c r="T342" i="2"/>
  <c r="U342" i="2"/>
  <c r="V342" i="2"/>
  <c r="W342" i="2"/>
  <c r="X342" i="2"/>
  <c r="N343" i="2"/>
  <c r="O343" i="2"/>
  <c r="P343" i="2"/>
  <c r="Q343" i="2"/>
  <c r="R343" i="2"/>
  <c r="S343" i="2"/>
  <c r="T343" i="2"/>
  <c r="U343" i="2"/>
  <c r="V343" i="2"/>
  <c r="W343" i="2"/>
  <c r="X343" i="2"/>
  <c r="N344" i="2"/>
  <c r="O344" i="2"/>
  <c r="P344" i="2"/>
  <c r="Q344" i="2"/>
  <c r="R344" i="2"/>
  <c r="S344" i="2"/>
  <c r="T344" i="2"/>
  <c r="U344" i="2"/>
  <c r="V344" i="2"/>
  <c r="W344" i="2"/>
  <c r="X344" i="2"/>
  <c r="N345" i="2"/>
  <c r="O345" i="2"/>
  <c r="P345" i="2"/>
  <c r="Q345" i="2"/>
  <c r="R345" i="2"/>
  <c r="S345" i="2"/>
  <c r="T345" i="2"/>
  <c r="U345" i="2"/>
  <c r="V345" i="2"/>
  <c r="W345" i="2"/>
  <c r="X345" i="2"/>
  <c r="N346" i="2"/>
  <c r="O346" i="2"/>
  <c r="P346" i="2"/>
  <c r="Q346" i="2"/>
  <c r="R346" i="2"/>
  <c r="S346" i="2"/>
  <c r="T346" i="2"/>
  <c r="U346" i="2"/>
  <c r="V346" i="2"/>
  <c r="W346" i="2"/>
  <c r="X346" i="2"/>
  <c r="N347" i="2"/>
  <c r="O347" i="2"/>
  <c r="P347" i="2"/>
  <c r="Q347" i="2"/>
  <c r="R347" i="2"/>
  <c r="S347" i="2"/>
  <c r="T347" i="2"/>
  <c r="U347" i="2"/>
  <c r="V347" i="2"/>
  <c r="W347" i="2"/>
  <c r="X347" i="2"/>
  <c r="X321" i="2"/>
  <c r="W321" i="2"/>
  <c r="V321" i="2"/>
  <c r="U321" i="2"/>
  <c r="T321" i="2"/>
  <c r="S321" i="2"/>
  <c r="R321" i="2"/>
  <c r="Q321" i="2"/>
  <c r="P321" i="2"/>
  <c r="O321" i="2"/>
  <c r="N321" i="2"/>
  <c r="N142" i="2"/>
  <c r="P142" i="2"/>
  <c r="S142" i="2"/>
  <c r="V142" i="2"/>
  <c r="W142" i="2"/>
  <c r="N143" i="2"/>
  <c r="P143" i="2"/>
  <c r="S143" i="2"/>
  <c r="V143" i="2"/>
  <c r="W143" i="2"/>
  <c r="N144" i="2"/>
  <c r="P144" i="2"/>
  <c r="S144" i="2"/>
  <c r="V144" i="2"/>
  <c r="W144" i="2"/>
  <c r="N145" i="2"/>
  <c r="P145" i="2"/>
  <c r="S145" i="2"/>
  <c r="V145" i="2"/>
  <c r="W145" i="2"/>
  <c r="N146" i="2"/>
  <c r="P146" i="2"/>
  <c r="S146" i="2"/>
  <c r="V146" i="2"/>
  <c r="W146" i="2"/>
  <c r="N147" i="2"/>
  <c r="P147" i="2"/>
  <c r="S147" i="2"/>
  <c r="V147" i="2"/>
  <c r="W147" i="2"/>
  <c r="N148" i="2"/>
  <c r="P148" i="2"/>
  <c r="S148" i="2"/>
  <c r="V148" i="2"/>
  <c r="W148" i="2"/>
  <c r="N149" i="2"/>
  <c r="P149" i="2"/>
  <c r="S149" i="2"/>
  <c r="V149" i="2"/>
  <c r="W149" i="2"/>
  <c r="N150" i="2"/>
  <c r="P150" i="2"/>
  <c r="S150" i="2"/>
  <c r="V150" i="2"/>
  <c r="W150" i="2"/>
  <c r="N151" i="2"/>
  <c r="P151" i="2"/>
  <c r="S151" i="2"/>
  <c r="V151" i="2"/>
  <c r="W151" i="2"/>
  <c r="N152" i="2"/>
  <c r="P152" i="2"/>
  <c r="S152" i="2"/>
  <c r="V152" i="2"/>
  <c r="W152" i="2"/>
  <c r="N153" i="2"/>
  <c r="P153" i="2"/>
  <c r="S153" i="2"/>
  <c r="V153" i="2"/>
  <c r="W153" i="2"/>
  <c r="N154" i="2"/>
  <c r="P154" i="2"/>
  <c r="S154" i="2"/>
  <c r="V154" i="2"/>
  <c r="W154" i="2"/>
  <c r="N155" i="2"/>
  <c r="P155" i="2"/>
  <c r="S155" i="2"/>
  <c r="V155" i="2"/>
  <c r="W155" i="2"/>
  <c r="N156" i="2"/>
  <c r="P156" i="2"/>
  <c r="S156" i="2"/>
  <c r="V156" i="2"/>
  <c r="W156" i="2"/>
  <c r="N157" i="2"/>
  <c r="P157" i="2"/>
  <c r="S157" i="2"/>
  <c r="V157" i="2"/>
  <c r="W157" i="2"/>
  <c r="N158" i="2"/>
  <c r="P158" i="2"/>
  <c r="S158" i="2"/>
  <c r="V158" i="2"/>
  <c r="W158" i="2"/>
  <c r="N159" i="2"/>
  <c r="P159" i="2"/>
  <c r="S159" i="2"/>
  <c r="V159" i="2"/>
  <c r="W159" i="2"/>
  <c r="N160" i="2"/>
  <c r="P160" i="2"/>
  <c r="S160" i="2"/>
  <c r="V160" i="2"/>
  <c r="W160" i="2"/>
  <c r="N161" i="2"/>
  <c r="P161" i="2"/>
  <c r="S161" i="2"/>
  <c r="V161" i="2"/>
  <c r="W161" i="2"/>
  <c r="N162" i="2"/>
  <c r="P162" i="2"/>
  <c r="S162" i="2"/>
  <c r="V162" i="2"/>
  <c r="W162" i="2"/>
  <c r="N163" i="2"/>
  <c r="P163" i="2"/>
  <c r="S163" i="2"/>
  <c r="V163" i="2"/>
  <c r="W163" i="2"/>
  <c r="N164" i="2"/>
  <c r="P164" i="2"/>
  <c r="S164" i="2"/>
  <c r="V164" i="2"/>
  <c r="W164" i="2"/>
  <c r="N165" i="2"/>
  <c r="P165" i="2"/>
  <c r="S165" i="2"/>
  <c r="V165" i="2"/>
  <c r="W165" i="2"/>
  <c r="N166" i="2"/>
  <c r="P166" i="2"/>
  <c r="S166" i="2"/>
  <c r="V166" i="2"/>
  <c r="W166" i="2"/>
  <c r="N167" i="2"/>
  <c r="P167" i="2"/>
  <c r="S167" i="2"/>
  <c r="V167" i="2"/>
  <c r="W167" i="2"/>
  <c r="N168" i="2"/>
  <c r="P168" i="2"/>
  <c r="S168" i="2"/>
  <c r="V168" i="2"/>
  <c r="W168" i="2"/>
  <c r="N169" i="2"/>
  <c r="P169" i="2"/>
  <c r="S169" i="2"/>
  <c r="V169" i="2"/>
  <c r="W169" i="2"/>
  <c r="N170" i="2"/>
  <c r="P170" i="2"/>
  <c r="S170" i="2"/>
  <c r="V170" i="2"/>
  <c r="W170" i="2"/>
  <c r="N171" i="2"/>
  <c r="P171" i="2"/>
  <c r="S171" i="2"/>
  <c r="V171" i="2"/>
  <c r="W171" i="2"/>
  <c r="N172" i="2"/>
  <c r="P172" i="2"/>
  <c r="S172" i="2"/>
  <c r="V172" i="2"/>
  <c r="W172" i="2"/>
  <c r="N173" i="2"/>
  <c r="P173" i="2"/>
  <c r="S173" i="2"/>
  <c r="V173" i="2"/>
  <c r="W173" i="2"/>
  <c r="N174" i="2"/>
  <c r="P174" i="2"/>
  <c r="S174" i="2"/>
  <c r="V174" i="2"/>
  <c r="W174" i="2"/>
  <c r="N175" i="2"/>
  <c r="P175" i="2"/>
  <c r="S175" i="2"/>
  <c r="V175" i="2"/>
  <c r="W175" i="2"/>
  <c r="N176" i="2"/>
  <c r="P176" i="2"/>
  <c r="S176" i="2"/>
  <c r="V176" i="2"/>
  <c r="W176" i="2"/>
  <c r="N177" i="2"/>
  <c r="P177" i="2"/>
  <c r="S177" i="2"/>
  <c r="V177" i="2"/>
  <c r="W177" i="2"/>
  <c r="N178" i="2"/>
  <c r="P178" i="2"/>
  <c r="S178" i="2"/>
  <c r="V178" i="2"/>
  <c r="W178" i="2"/>
  <c r="N179" i="2"/>
  <c r="P179" i="2"/>
  <c r="S179" i="2"/>
  <c r="V179" i="2"/>
  <c r="W179" i="2"/>
  <c r="N180" i="2"/>
  <c r="P180" i="2"/>
  <c r="S180" i="2"/>
  <c r="V180" i="2"/>
  <c r="W180" i="2"/>
  <c r="N181" i="2"/>
  <c r="P181" i="2"/>
  <c r="S181" i="2"/>
  <c r="V181" i="2"/>
  <c r="W181" i="2"/>
  <c r="N182" i="2"/>
  <c r="P182" i="2"/>
  <c r="S182" i="2"/>
  <c r="V182" i="2"/>
  <c r="W182" i="2"/>
  <c r="N183" i="2"/>
  <c r="P183" i="2"/>
  <c r="S183" i="2"/>
  <c r="V183" i="2"/>
  <c r="W183" i="2"/>
  <c r="N184" i="2"/>
  <c r="P184" i="2"/>
  <c r="S184" i="2"/>
  <c r="V184" i="2"/>
  <c r="W184" i="2"/>
  <c r="N185" i="2"/>
  <c r="P185" i="2"/>
  <c r="S185" i="2"/>
  <c r="V185" i="2"/>
  <c r="W185" i="2"/>
  <c r="N186" i="2"/>
  <c r="P186" i="2"/>
  <c r="S186" i="2"/>
  <c r="V186" i="2"/>
  <c r="W186" i="2"/>
  <c r="N187" i="2"/>
  <c r="P187" i="2"/>
  <c r="S187" i="2"/>
  <c r="V187" i="2"/>
  <c r="W187" i="2"/>
  <c r="N188" i="2"/>
  <c r="P188" i="2"/>
  <c r="S188" i="2"/>
  <c r="V188" i="2"/>
  <c r="W188" i="2"/>
  <c r="N189" i="2"/>
  <c r="P189" i="2"/>
  <c r="S189" i="2"/>
  <c r="V189" i="2"/>
  <c r="W189" i="2"/>
  <c r="N190" i="2"/>
  <c r="P190" i="2"/>
  <c r="S190" i="2"/>
  <c r="V190" i="2"/>
  <c r="W190" i="2"/>
  <c r="N191" i="2"/>
  <c r="P191" i="2"/>
  <c r="S191" i="2"/>
  <c r="V191" i="2"/>
  <c r="W191" i="2"/>
  <c r="N192" i="2"/>
  <c r="P192" i="2"/>
  <c r="S192" i="2"/>
  <c r="V192" i="2"/>
  <c r="W192" i="2"/>
  <c r="N193" i="2"/>
  <c r="P193" i="2"/>
  <c r="S193" i="2"/>
  <c r="V193" i="2"/>
  <c r="W193" i="2"/>
  <c r="N194" i="2"/>
  <c r="P194" i="2"/>
  <c r="S194" i="2"/>
  <c r="V194" i="2"/>
  <c r="W194" i="2"/>
  <c r="N195" i="2"/>
  <c r="P195" i="2"/>
  <c r="S195" i="2"/>
  <c r="V195" i="2"/>
  <c r="W195" i="2"/>
  <c r="N196" i="2"/>
  <c r="P196" i="2"/>
  <c r="S196" i="2"/>
  <c r="V196" i="2"/>
  <c r="W196" i="2"/>
  <c r="N197" i="2"/>
  <c r="P197" i="2"/>
  <c r="S197" i="2"/>
  <c r="V197" i="2"/>
  <c r="W197" i="2"/>
  <c r="N198" i="2"/>
  <c r="P198" i="2"/>
  <c r="S198" i="2"/>
  <c r="V198" i="2"/>
  <c r="W198" i="2"/>
  <c r="N199" i="2"/>
  <c r="P199" i="2"/>
  <c r="S199" i="2"/>
  <c r="V199" i="2"/>
  <c r="W199" i="2"/>
  <c r="N200" i="2"/>
  <c r="P200" i="2"/>
  <c r="S200" i="2"/>
  <c r="V200" i="2"/>
  <c r="W200" i="2"/>
  <c r="N201" i="2"/>
  <c r="P201" i="2"/>
  <c r="S201" i="2"/>
  <c r="V201" i="2"/>
  <c r="W201" i="2"/>
  <c r="N202" i="2"/>
  <c r="P202" i="2"/>
  <c r="S202" i="2"/>
  <c r="V202" i="2"/>
  <c r="W202" i="2"/>
  <c r="N203" i="2"/>
  <c r="P203" i="2"/>
  <c r="S203" i="2"/>
  <c r="V203" i="2"/>
  <c r="W203" i="2"/>
  <c r="N204" i="2"/>
  <c r="P204" i="2"/>
  <c r="S204" i="2"/>
  <c r="V204" i="2"/>
  <c r="W204" i="2"/>
  <c r="N205" i="2"/>
  <c r="P205" i="2"/>
  <c r="S205" i="2"/>
  <c r="V205" i="2"/>
  <c r="W205" i="2"/>
  <c r="N206" i="2"/>
  <c r="P206" i="2"/>
  <c r="S206" i="2"/>
  <c r="V206" i="2"/>
  <c r="W206" i="2"/>
  <c r="N207" i="2"/>
  <c r="P207" i="2"/>
  <c r="S207" i="2"/>
  <c r="V207" i="2"/>
  <c r="W207" i="2"/>
  <c r="N208" i="2"/>
  <c r="P208" i="2"/>
  <c r="S208" i="2"/>
  <c r="V208" i="2"/>
  <c r="W208" i="2"/>
  <c r="N209" i="2"/>
  <c r="P209" i="2"/>
  <c r="S209" i="2"/>
  <c r="V209" i="2"/>
  <c r="W209" i="2"/>
  <c r="N210" i="2"/>
  <c r="P210" i="2"/>
  <c r="S210" i="2"/>
  <c r="V210" i="2"/>
  <c r="W210" i="2"/>
  <c r="N211" i="2"/>
  <c r="P211" i="2"/>
  <c r="S211" i="2"/>
  <c r="V211" i="2"/>
  <c r="W211" i="2"/>
  <c r="N212" i="2"/>
  <c r="P212" i="2"/>
  <c r="S212" i="2"/>
  <c r="V212" i="2"/>
  <c r="W212" i="2"/>
  <c r="N213" i="2"/>
  <c r="P213" i="2"/>
  <c r="S213" i="2"/>
  <c r="V213" i="2"/>
  <c r="W213" i="2"/>
  <c r="N214" i="2"/>
  <c r="P214" i="2"/>
  <c r="S214" i="2"/>
  <c r="V214" i="2"/>
  <c r="W214" i="2"/>
  <c r="N215" i="2"/>
  <c r="P215" i="2"/>
  <c r="S215" i="2"/>
  <c r="V215" i="2"/>
  <c r="W215" i="2"/>
  <c r="N216" i="2"/>
  <c r="P216" i="2"/>
  <c r="S216" i="2"/>
  <c r="V216" i="2"/>
  <c r="W216" i="2"/>
  <c r="N217" i="2"/>
  <c r="P217" i="2"/>
  <c r="S217" i="2"/>
  <c r="V217" i="2"/>
  <c r="W217" i="2"/>
  <c r="N218" i="2"/>
  <c r="P218" i="2"/>
  <c r="S218" i="2"/>
  <c r="V218" i="2"/>
  <c r="W218" i="2"/>
  <c r="N219" i="2"/>
  <c r="P219" i="2"/>
  <c r="S219" i="2"/>
  <c r="V219" i="2"/>
  <c r="W219" i="2"/>
  <c r="N220" i="2"/>
  <c r="P220" i="2"/>
  <c r="S220" i="2"/>
  <c r="V220" i="2"/>
  <c r="W220" i="2"/>
  <c r="N221" i="2"/>
  <c r="P221" i="2"/>
  <c r="S221" i="2"/>
  <c r="V221" i="2"/>
  <c r="W221" i="2"/>
  <c r="N222" i="2"/>
  <c r="P222" i="2"/>
  <c r="S222" i="2"/>
  <c r="V222" i="2"/>
  <c r="W222" i="2"/>
  <c r="N223" i="2"/>
  <c r="P223" i="2"/>
  <c r="S223" i="2"/>
  <c r="V223" i="2"/>
  <c r="W223" i="2"/>
  <c r="N224" i="2"/>
  <c r="P224" i="2"/>
  <c r="S224" i="2"/>
  <c r="V224" i="2"/>
  <c r="W224" i="2"/>
  <c r="N225" i="2"/>
  <c r="P225" i="2"/>
  <c r="S225" i="2"/>
  <c r="V225" i="2"/>
  <c r="W225" i="2"/>
  <c r="N226" i="2"/>
  <c r="P226" i="2"/>
  <c r="S226" i="2"/>
  <c r="V226" i="2"/>
  <c r="W226" i="2"/>
  <c r="N227" i="2"/>
  <c r="P227" i="2"/>
  <c r="S227" i="2"/>
  <c r="V227" i="2"/>
  <c r="W227" i="2"/>
  <c r="N228" i="2"/>
  <c r="P228" i="2"/>
  <c r="S228" i="2"/>
  <c r="V228" i="2"/>
  <c r="W228" i="2"/>
  <c r="N229" i="2"/>
  <c r="P229" i="2"/>
  <c r="S229" i="2"/>
  <c r="V229" i="2"/>
  <c r="W229" i="2"/>
  <c r="N230" i="2"/>
  <c r="P230" i="2"/>
  <c r="S230" i="2"/>
  <c r="V230" i="2"/>
  <c r="W230" i="2"/>
  <c r="N231" i="2"/>
  <c r="P231" i="2"/>
  <c r="S231" i="2"/>
  <c r="V231" i="2"/>
  <c r="W231" i="2"/>
  <c r="N232" i="2"/>
  <c r="P232" i="2"/>
  <c r="S232" i="2"/>
  <c r="V232" i="2"/>
  <c r="W232" i="2"/>
  <c r="N233" i="2"/>
  <c r="P233" i="2"/>
  <c r="S233" i="2"/>
  <c r="V233" i="2"/>
  <c r="W233" i="2"/>
  <c r="N234" i="2"/>
  <c r="P234" i="2"/>
  <c r="S234" i="2"/>
  <c r="V234" i="2"/>
  <c r="W234" i="2"/>
  <c r="N235" i="2"/>
  <c r="P235" i="2"/>
  <c r="S235" i="2"/>
  <c r="V235" i="2"/>
  <c r="W235" i="2"/>
  <c r="N236" i="2"/>
  <c r="P236" i="2"/>
  <c r="S236" i="2"/>
  <c r="V236" i="2"/>
  <c r="W236" i="2"/>
  <c r="N237" i="2"/>
  <c r="P237" i="2"/>
  <c r="S237" i="2"/>
  <c r="V237" i="2"/>
  <c r="W237" i="2"/>
  <c r="N238" i="2"/>
  <c r="P238" i="2"/>
  <c r="S238" i="2"/>
  <c r="V238" i="2"/>
  <c r="W238" i="2"/>
  <c r="N239" i="2"/>
  <c r="P239" i="2"/>
  <c r="S239" i="2"/>
  <c r="V239" i="2"/>
  <c r="W239" i="2"/>
  <c r="N240" i="2"/>
  <c r="P240" i="2"/>
  <c r="S240" i="2"/>
  <c r="V240" i="2"/>
  <c r="W240" i="2"/>
  <c r="N241" i="2"/>
  <c r="P241" i="2"/>
  <c r="S241" i="2"/>
  <c r="V241" i="2"/>
  <c r="W241" i="2"/>
  <c r="N242" i="2"/>
  <c r="P242" i="2"/>
  <c r="S242" i="2"/>
  <c r="V242" i="2"/>
  <c r="W242" i="2"/>
  <c r="N243" i="2"/>
  <c r="P243" i="2"/>
  <c r="S243" i="2"/>
  <c r="V243" i="2"/>
  <c r="W243" i="2"/>
  <c r="N244" i="2"/>
  <c r="P244" i="2"/>
  <c r="S244" i="2"/>
  <c r="V244" i="2"/>
  <c r="W244" i="2"/>
  <c r="N245" i="2"/>
  <c r="P245" i="2"/>
  <c r="S245" i="2"/>
  <c r="V245" i="2"/>
  <c r="W245" i="2"/>
  <c r="N246" i="2"/>
  <c r="P246" i="2"/>
  <c r="S246" i="2"/>
  <c r="V246" i="2"/>
  <c r="W246" i="2"/>
  <c r="N247" i="2"/>
  <c r="P247" i="2"/>
  <c r="S247" i="2"/>
  <c r="V247" i="2"/>
  <c r="W247" i="2"/>
  <c r="N248" i="2"/>
  <c r="P248" i="2"/>
  <c r="S248" i="2"/>
  <c r="V248" i="2"/>
  <c r="W248" i="2"/>
  <c r="N249" i="2"/>
  <c r="P249" i="2"/>
  <c r="S249" i="2"/>
  <c r="V249" i="2"/>
  <c r="W249" i="2"/>
  <c r="N250" i="2"/>
  <c r="P250" i="2"/>
  <c r="S250" i="2"/>
  <c r="V250" i="2"/>
  <c r="W250" i="2"/>
  <c r="N251" i="2"/>
  <c r="P251" i="2"/>
  <c r="S251" i="2"/>
  <c r="V251" i="2"/>
  <c r="W251" i="2"/>
  <c r="N252" i="2"/>
  <c r="P252" i="2"/>
  <c r="S252" i="2"/>
  <c r="V252" i="2"/>
  <c r="W252" i="2"/>
  <c r="N253" i="2"/>
  <c r="P253" i="2"/>
  <c r="S253" i="2"/>
  <c r="V253" i="2"/>
  <c r="W253" i="2"/>
  <c r="N254" i="2"/>
  <c r="P254" i="2"/>
  <c r="S254" i="2"/>
  <c r="V254" i="2"/>
  <c r="W254" i="2"/>
  <c r="N255" i="2"/>
  <c r="P255" i="2"/>
  <c r="S255" i="2"/>
  <c r="V255" i="2"/>
  <c r="W255" i="2"/>
  <c r="N256" i="2"/>
  <c r="P256" i="2"/>
  <c r="S256" i="2"/>
  <c r="V256" i="2"/>
  <c r="W256" i="2"/>
  <c r="N257" i="2"/>
  <c r="P257" i="2"/>
  <c r="S257" i="2"/>
  <c r="V257" i="2"/>
  <c r="W257" i="2"/>
  <c r="N258" i="2"/>
  <c r="P258" i="2"/>
  <c r="S258" i="2"/>
  <c r="V258" i="2"/>
  <c r="W258" i="2"/>
  <c r="N259" i="2"/>
  <c r="P259" i="2"/>
  <c r="S259" i="2"/>
  <c r="V259" i="2"/>
  <c r="W259" i="2"/>
  <c r="N260" i="2"/>
  <c r="P260" i="2"/>
  <c r="S260" i="2"/>
  <c r="V260" i="2"/>
  <c r="W260" i="2"/>
  <c r="N261" i="2"/>
  <c r="P261" i="2"/>
  <c r="S261" i="2"/>
  <c r="V261" i="2"/>
  <c r="W261" i="2"/>
  <c r="N262" i="2"/>
  <c r="P262" i="2"/>
  <c r="S262" i="2"/>
  <c r="V262" i="2"/>
  <c r="W262" i="2"/>
  <c r="N263" i="2"/>
  <c r="P263" i="2"/>
  <c r="S263" i="2"/>
  <c r="V263" i="2"/>
  <c r="W263" i="2"/>
  <c r="N264" i="2"/>
  <c r="P264" i="2"/>
  <c r="S264" i="2"/>
  <c r="V264" i="2"/>
  <c r="W264" i="2"/>
  <c r="N265" i="2"/>
  <c r="P265" i="2"/>
  <c r="S265" i="2"/>
  <c r="V265" i="2"/>
  <c r="W265" i="2"/>
  <c r="N266" i="2"/>
  <c r="P266" i="2"/>
  <c r="S266" i="2"/>
  <c r="V266" i="2"/>
  <c r="W266" i="2"/>
  <c r="N267" i="2"/>
  <c r="P267" i="2"/>
  <c r="S267" i="2"/>
  <c r="V267" i="2"/>
  <c r="W267" i="2"/>
  <c r="N268" i="2"/>
  <c r="P268" i="2"/>
  <c r="S268" i="2"/>
  <c r="V268" i="2"/>
  <c r="W268" i="2"/>
  <c r="N269" i="2"/>
  <c r="P269" i="2"/>
  <c r="S269" i="2"/>
  <c r="V269" i="2"/>
  <c r="W269" i="2"/>
  <c r="N270" i="2"/>
  <c r="P270" i="2"/>
  <c r="S270" i="2"/>
  <c r="V270" i="2"/>
  <c r="W270" i="2"/>
  <c r="N271" i="2"/>
  <c r="P271" i="2"/>
  <c r="S271" i="2"/>
  <c r="V271" i="2"/>
  <c r="W271" i="2"/>
  <c r="N272" i="2"/>
  <c r="P272" i="2"/>
  <c r="S272" i="2"/>
  <c r="V272" i="2"/>
  <c r="W272" i="2"/>
  <c r="N273" i="2"/>
  <c r="P273" i="2"/>
  <c r="S273" i="2"/>
  <c r="V273" i="2"/>
  <c r="W273" i="2"/>
  <c r="N274" i="2"/>
  <c r="P274" i="2"/>
  <c r="S274" i="2"/>
  <c r="V274" i="2"/>
  <c r="W274" i="2"/>
  <c r="N275" i="2"/>
  <c r="P275" i="2"/>
  <c r="S275" i="2"/>
  <c r="V275" i="2"/>
  <c r="W275" i="2"/>
  <c r="N276" i="2"/>
  <c r="P276" i="2"/>
  <c r="S276" i="2"/>
  <c r="V276" i="2"/>
  <c r="W276" i="2"/>
  <c r="N277" i="2"/>
  <c r="P277" i="2"/>
  <c r="S277" i="2"/>
  <c r="V277" i="2"/>
  <c r="W277" i="2"/>
  <c r="N278" i="2"/>
  <c r="P278" i="2"/>
  <c r="S278" i="2"/>
  <c r="V278" i="2"/>
  <c r="W278" i="2"/>
  <c r="N279" i="2"/>
  <c r="P279" i="2"/>
  <c r="S279" i="2"/>
  <c r="V279" i="2"/>
  <c r="W279" i="2"/>
  <c r="N280" i="2"/>
  <c r="P280" i="2"/>
  <c r="S280" i="2"/>
  <c r="V280" i="2"/>
  <c r="W280" i="2"/>
  <c r="N281" i="2"/>
  <c r="P281" i="2"/>
  <c r="S281" i="2"/>
  <c r="V281" i="2"/>
  <c r="W281" i="2"/>
  <c r="N282" i="2"/>
  <c r="P282" i="2"/>
  <c r="S282" i="2"/>
  <c r="V282" i="2"/>
  <c r="W282" i="2"/>
  <c r="N283" i="2"/>
  <c r="P283" i="2"/>
  <c r="S283" i="2"/>
  <c r="V283" i="2"/>
  <c r="W283" i="2"/>
  <c r="N284" i="2"/>
  <c r="P284" i="2"/>
  <c r="S284" i="2"/>
  <c r="V284" i="2"/>
  <c r="W284" i="2"/>
  <c r="N285" i="2"/>
  <c r="P285" i="2"/>
  <c r="S285" i="2"/>
  <c r="V285" i="2"/>
  <c r="W285" i="2"/>
  <c r="N286" i="2"/>
  <c r="P286" i="2"/>
  <c r="S286" i="2"/>
  <c r="V286" i="2"/>
  <c r="W286" i="2"/>
  <c r="N287" i="2"/>
  <c r="P287" i="2"/>
  <c r="S287" i="2"/>
  <c r="V287" i="2"/>
  <c r="W287" i="2"/>
  <c r="N288" i="2"/>
  <c r="P288" i="2"/>
  <c r="S288" i="2"/>
  <c r="V288" i="2"/>
  <c r="W288" i="2"/>
  <c r="N289" i="2"/>
  <c r="P289" i="2"/>
  <c r="S289" i="2"/>
  <c r="V289" i="2"/>
  <c r="W289" i="2"/>
  <c r="N290" i="2"/>
  <c r="P290" i="2"/>
  <c r="S290" i="2"/>
  <c r="V290" i="2"/>
  <c r="W290" i="2"/>
  <c r="N291" i="2"/>
  <c r="P291" i="2"/>
  <c r="S291" i="2"/>
  <c r="V291" i="2"/>
  <c r="W291" i="2"/>
  <c r="N292" i="2"/>
  <c r="P292" i="2"/>
  <c r="S292" i="2"/>
  <c r="V292" i="2"/>
  <c r="W292" i="2"/>
  <c r="N293" i="2"/>
  <c r="P293" i="2"/>
  <c r="S293" i="2"/>
  <c r="V293" i="2"/>
  <c r="W293" i="2"/>
  <c r="N294" i="2"/>
  <c r="P294" i="2"/>
  <c r="S294" i="2"/>
  <c r="V294" i="2"/>
  <c r="W294" i="2"/>
  <c r="N295" i="2"/>
  <c r="P295" i="2"/>
  <c r="S295" i="2"/>
  <c r="V295" i="2"/>
  <c r="W295" i="2"/>
  <c r="N296" i="2"/>
  <c r="P296" i="2"/>
  <c r="S296" i="2"/>
  <c r="V296" i="2"/>
  <c r="W296" i="2"/>
  <c r="N297" i="2"/>
  <c r="P297" i="2"/>
  <c r="S297" i="2"/>
  <c r="V297" i="2"/>
  <c r="W297" i="2"/>
  <c r="N298" i="2"/>
  <c r="P298" i="2"/>
  <c r="S298" i="2"/>
  <c r="V298" i="2"/>
  <c r="W298" i="2"/>
  <c r="N299" i="2"/>
  <c r="P299" i="2"/>
  <c r="S299" i="2"/>
  <c r="V299" i="2"/>
  <c r="W299" i="2"/>
  <c r="N300" i="2"/>
  <c r="P300" i="2"/>
  <c r="S300" i="2"/>
  <c r="V300" i="2"/>
  <c r="W300" i="2"/>
  <c r="N301" i="2"/>
  <c r="P301" i="2"/>
  <c r="S301" i="2"/>
  <c r="V301" i="2"/>
  <c r="W301" i="2"/>
  <c r="N302" i="2"/>
  <c r="P302" i="2"/>
  <c r="S302" i="2"/>
  <c r="V302" i="2"/>
  <c r="W302" i="2"/>
  <c r="N303" i="2"/>
  <c r="P303" i="2"/>
  <c r="S303" i="2"/>
  <c r="V303" i="2"/>
  <c r="W303" i="2"/>
  <c r="N304" i="2"/>
  <c r="P304" i="2"/>
  <c r="S304" i="2"/>
  <c r="V304" i="2"/>
  <c r="W304" i="2"/>
  <c r="N305" i="2"/>
  <c r="P305" i="2"/>
  <c r="S305" i="2"/>
  <c r="V305" i="2"/>
  <c r="W305" i="2"/>
  <c r="N306" i="2"/>
  <c r="P306" i="2"/>
  <c r="S306" i="2"/>
  <c r="V306" i="2"/>
  <c r="W306" i="2"/>
  <c r="N307" i="2"/>
  <c r="P307" i="2"/>
  <c r="S307" i="2"/>
  <c r="V307" i="2"/>
  <c r="W307" i="2"/>
  <c r="N308" i="2"/>
  <c r="P308" i="2"/>
  <c r="S308" i="2"/>
  <c r="V308" i="2"/>
  <c r="W308" i="2"/>
  <c r="N309" i="2"/>
  <c r="P309" i="2"/>
  <c r="S309" i="2"/>
  <c r="V309" i="2"/>
  <c r="W309" i="2"/>
  <c r="N310" i="2"/>
  <c r="P310" i="2"/>
  <c r="S310" i="2"/>
  <c r="V310" i="2"/>
  <c r="W310" i="2"/>
  <c r="N311" i="2"/>
  <c r="P311" i="2"/>
  <c r="S311" i="2"/>
  <c r="V311" i="2"/>
  <c r="W311" i="2"/>
  <c r="N312" i="2"/>
  <c r="P312" i="2"/>
  <c r="S312" i="2"/>
  <c r="V312" i="2"/>
  <c r="W312" i="2"/>
  <c r="N313" i="2"/>
  <c r="P313" i="2"/>
  <c r="S313" i="2"/>
  <c r="V313" i="2"/>
  <c r="W313" i="2"/>
  <c r="N314" i="2"/>
  <c r="P314" i="2"/>
  <c r="S314" i="2"/>
  <c r="V314" i="2"/>
  <c r="W314" i="2"/>
  <c r="N315" i="2"/>
  <c r="P315" i="2"/>
  <c r="S315" i="2"/>
  <c r="V315" i="2"/>
  <c r="W315" i="2"/>
  <c r="N316" i="2"/>
  <c r="P316" i="2"/>
  <c r="S316" i="2"/>
  <c r="V316" i="2"/>
  <c r="W316" i="2"/>
  <c r="N317" i="2"/>
  <c r="P317" i="2"/>
  <c r="S317" i="2"/>
  <c r="V317" i="2"/>
  <c r="W317" i="2"/>
  <c r="N318" i="2"/>
  <c r="P318" i="2"/>
  <c r="S318" i="2"/>
  <c r="V318" i="2"/>
  <c r="W318" i="2"/>
  <c r="N319" i="2"/>
  <c r="P319" i="2"/>
  <c r="S319" i="2"/>
  <c r="V319" i="2"/>
  <c r="W319" i="2"/>
  <c r="N320" i="2"/>
  <c r="P320" i="2"/>
  <c r="S320" i="2"/>
  <c r="V320" i="2"/>
  <c r="W320" i="2"/>
  <c r="N141" i="2"/>
  <c r="P141" i="2"/>
  <c r="S141" i="2"/>
  <c r="V141" i="2"/>
  <c r="W141" i="2"/>
  <c r="N2" i="2"/>
  <c r="O2" i="2"/>
  <c r="P2" i="2"/>
  <c r="Q2" i="2"/>
  <c r="R2" i="2"/>
  <c r="S2" i="2"/>
  <c r="T2" i="2"/>
  <c r="U2" i="2"/>
  <c r="V2" i="2"/>
  <c r="W2" i="2"/>
  <c r="X2" i="2"/>
  <c r="N3" i="2"/>
  <c r="O3" i="2"/>
  <c r="P3" i="2"/>
  <c r="Q3" i="2"/>
  <c r="R3" i="2"/>
  <c r="S3" i="2"/>
  <c r="T3" i="2"/>
  <c r="U3" i="2"/>
  <c r="V3" i="2"/>
  <c r="W3" i="2"/>
  <c r="X3" i="2"/>
  <c r="N4" i="2"/>
  <c r="O4" i="2"/>
  <c r="P4" i="2"/>
  <c r="Q4" i="2"/>
  <c r="R4" i="2"/>
  <c r="S4" i="2"/>
  <c r="T4" i="2"/>
  <c r="U4" i="2"/>
  <c r="V4" i="2"/>
  <c r="W4" i="2"/>
  <c r="X4" i="2"/>
  <c r="N5" i="2"/>
  <c r="O5" i="2"/>
  <c r="P5" i="2"/>
  <c r="Q5" i="2"/>
  <c r="R5" i="2"/>
  <c r="S5" i="2"/>
  <c r="T5" i="2"/>
  <c r="U5" i="2"/>
  <c r="V5" i="2"/>
  <c r="W5" i="2"/>
  <c r="X5" i="2"/>
  <c r="N6" i="2"/>
  <c r="O6" i="2"/>
  <c r="P6" i="2"/>
  <c r="Q6" i="2"/>
  <c r="R6" i="2"/>
  <c r="S6" i="2"/>
  <c r="T6" i="2"/>
  <c r="U6" i="2"/>
  <c r="V6" i="2"/>
  <c r="W6" i="2"/>
  <c r="X6" i="2"/>
  <c r="N7" i="2"/>
  <c r="O7" i="2"/>
  <c r="P7" i="2"/>
  <c r="Q7" i="2"/>
  <c r="R7" i="2"/>
  <c r="S7" i="2"/>
  <c r="T7" i="2"/>
  <c r="U7" i="2"/>
  <c r="V7" i="2"/>
  <c r="W7" i="2"/>
  <c r="X7" i="2"/>
  <c r="N8" i="2"/>
  <c r="O8" i="2"/>
  <c r="P8" i="2"/>
  <c r="Q8" i="2"/>
  <c r="R8" i="2"/>
  <c r="S8" i="2"/>
  <c r="T8" i="2"/>
  <c r="U8" i="2"/>
  <c r="V8" i="2"/>
  <c r="W8" i="2"/>
  <c r="X8" i="2"/>
  <c r="N9" i="2"/>
  <c r="O9" i="2"/>
  <c r="P9" i="2"/>
  <c r="Q9" i="2"/>
  <c r="R9" i="2"/>
  <c r="S9" i="2"/>
  <c r="T9" i="2"/>
  <c r="U9" i="2"/>
  <c r="V9" i="2"/>
  <c r="W9" i="2"/>
  <c r="X9" i="2"/>
  <c r="N10" i="2"/>
  <c r="O10" i="2"/>
  <c r="P10" i="2"/>
  <c r="Q10" i="2"/>
  <c r="R10" i="2"/>
  <c r="S10" i="2"/>
  <c r="T10" i="2"/>
  <c r="U10" i="2"/>
  <c r="V10" i="2"/>
  <c r="W10" i="2"/>
  <c r="X10" i="2"/>
  <c r="N11" i="2"/>
  <c r="O11" i="2"/>
  <c r="P11" i="2"/>
  <c r="Q11" i="2"/>
  <c r="R11" i="2"/>
  <c r="S11" i="2"/>
  <c r="T11" i="2"/>
  <c r="U11" i="2"/>
  <c r="V11" i="2"/>
  <c r="W11" i="2"/>
  <c r="X11" i="2"/>
  <c r="N12" i="2"/>
  <c r="O12" i="2"/>
  <c r="P12" i="2"/>
  <c r="Q12" i="2"/>
  <c r="R12" i="2"/>
  <c r="S12" i="2"/>
  <c r="T12" i="2"/>
  <c r="U12" i="2"/>
  <c r="V12" i="2"/>
  <c r="W12" i="2"/>
  <c r="X12" i="2"/>
  <c r="N13" i="2"/>
  <c r="O13" i="2"/>
  <c r="P13" i="2"/>
  <c r="Q13" i="2"/>
  <c r="R13" i="2"/>
  <c r="S13" i="2"/>
  <c r="T13" i="2"/>
  <c r="U13" i="2"/>
  <c r="V13" i="2"/>
  <c r="W13" i="2"/>
  <c r="X13" i="2"/>
  <c r="N14" i="2"/>
  <c r="O14" i="2"/>
  <c r="P14" i="2"/>
  <c r="Q14" i="2"/>
  <c r="R14" i="2"/>
  <c r="S14" i="2"/>
  <c r="T14" i="2"/>
  <c r="U14" i="2"/>
  <c r="V14" i="2"/>
  <c r="W14" i="2"/>
  <c r="X14" i="2"/>
  <c r="N15" i="2"/>
  <c r="O15" i="2"/>
  <c r="P15" i="2"/>
  <c r="Q15" i="2"/>
  <c r="R15" i="2"/>
  <c r="S15" i="2"/>
  <c r="T15" i="2"/>
  <c r="U15" i="2"/>
  <c r="V15" i="2"/>
  <c r="W15" i="2"/>
  <c r="X15" i="2"/>
  <c r="N16" i="2"/>
  <c r="O16" i="2"/>
  <c r="P16" i="2"/>
  <c r="Q16" i="2"/>
  <c r="R16" i="2"/>
  <c r="S16" i="2"/>
  <c r="T16" i="2"/>
  <c r="U16" i="2"/>
  <c r="V16" i="2"/>
  <c r="W16" i="2"/>
  <c r="X16" i="2"/>
  <c r="N17" i="2"/>
  <c r="O17" i="2"/>
  <c r="P17" i="2"/>
  <c r="Q17" i="2"/>
  <c r="R17" i="2"/>
  <c r="S17" i="2"/>
  <c r="T17" i="2"/>
  <c r="U17" i="2"/>
  <c r="V17" i="2"/>
  <c r="W17" i="2"/>
  <c r="X17" i="2"/>
  <c r="N18" i="2"/>
  <c r="O18" i="2"/>
  <c r="P18" i="2"/>
  <c r="Q18" i="2"/>
  <c r="R18" i="2"/>
  <c r="S18" i="2"/>
  <c r="T18" i="2"/>
  <c r="U18" i="2"/>
  <c r="V18" i="2"/>
  <c r="W18" i="2"/>
  <c r="X18" i="2"/>
  <c r="N19" i="2"/>
  <c r="O19" i="2"/>
  <c r="P19" i="2"/>
  <c r="Q19" i="2"/>
  <c r="R19" i="2"/>
  <c r="S19" i="2"/>
  <c r="T19" i="2"/>
  <c r="U19" i="2"/>
  <c r="V19" i="2"/>
  <c r="W19" i="2"/>
  <c r="X19" i="2"/>
  <c r="N20" i="2"/>
  <c r="O20" i="2"/>
  <c r="P20" i="2"/>
  <c r="Q20" i="2"/>
  <c r="R20" i="2"/>
  <c r="S20" i="2"/>
  <c r="T20" i="2"/>
  <c r="U20" i="2"/>
  <c r="V20" i="2"/>
  <c r="W20" i="2"/>
  <c r="X20" i="2"/>
  <c r="N21" i="2"/>
  <c r="O21" i="2"/>
  <c r="P21" i="2"/>
  <c r="Q21" i="2"/>
  <c r="R21" i="2"/>
  <c r="S21" i="2"/>
  <c r="T21" i="2"/>
  <c r="U21" i="2"/>
  <c r="V21" i="2"/>
  <c r="W21" i="2"/>
  <c r="X21" i="2"/>
  <c r="N22" i="2"/>
  <c r="O22" i="2"/>
  <c r="P22" i="2"/>
  <c r="Q22" i="2"/>
  <c r="R22" i="2"/>
  <c r="S22" i="2"/>
  <c r="T22" i="2"/>
  <c r="U22" i="2"/>
  <c r="V22" i="2"/>
  <c r="W22" i="2"/>
  <c r="X22" i="2"/>
  <c r="N23" i="2"/>
  <c r="O23" i="2"/>
  <c r="P23" i="2"/>
  <c r="Q23" i="2"/>
  <c r="R23" i="2"/>
  <c r="S23" i="2"/>
  <c r="T23" i="2"/>
  <c r="U23" i="2"/>
  <c r="V23" i="2"/>
  <c r="W23" i="2"/>
  <c r="X23" i="2"/>
  <c r="N24" i="2"/>
  <c r="O24" i="2"/>
  <c r="P24" i="2"/>
  <c r="Q24" i="2"/>
  <c r="R24" i="2"/>
  <c r="S24" i="2"/>
  <c r="T24" i="2"/>
  <c r="U24" i="2"/>
  <c r="V24" i="2"/>
  <c r="W24" i="2"/>
  <c r="X24" i="2"/>
  <c r="N25" i="2"/>
  <c r="O25" i="2"/>
  <c r="P25" i="2"/>
  <c r="Q25" i="2"/>
  <c r="R25" i="2"/>
  <c r="S25" i="2"/>
  <c r="T25" i="2"/>
  <c r="U25" i="2"/>
  <c r="V25" i="2"/>
  <c r="W25" i="2"/>
  <c r="X25" i="2"/>
  <c r="N26" i="2"/>
  <c r="O26" i="2"/>
  <c r="P26" i="2"/>
  <c r="Q26" i="2"/>
  <c r="R26" i="2"/>
  <c r="S26" i="2"/>
  <c r="T26" i="2"/>
  <c r="U26" i="2"/>
  <c r="V26" i="2"/>
  <c r="W26" i="2"/>
  <c r="X26" i="2"/>
  <c r="N27" i="2"/>
  <c r="O27" i="2"/>
  <c r="P27" i="2"/>
  <c r="Q27" i="2"/>
  <c r="R27" i="2"/>
  <c r="S27" i="2"/>
  <c r="T27" i="2"/>
  <c r="U27" i="2"/>
  <c r="V27" i="2"/>
  <c r="W27" i="2"/>
  <c r="X27" i="2"/>
  <c r="N28" i="2"/>
  <c r="O28" i="2"/>
  <c r="P28" i="2"/>
  <c r="Q28" i="2"/>
  <c r="R28" i="2"/>
  <c r="S28" i="2"/>
  <c r="T28" i="2"/>
  <c r="U28" i="2"/>
  <c r="V28" i="2"/>
  <c r="W28" i="2"/>
  <c r="X28" i="2"/>
  <c r="N29" i="2"/>
  <c r="O29" i="2"/>
  <c r="P29" i="2"/>
  <c r="Q29" i="2"/>
  <c r="R29" i="2"/>
  <c r="S29" i="2"/>
  <c r="T29" i="2"/>
  <c r="U29" i="2"/>
  <c r="V29" i="2"/>
  <c r="W29" i="2"/>
  <c r="X29" i="2"/>
  <c r="N30" i="2"/>
  <c r="O30" i="2"/>
  <c r="P30" i="2"/>
  <c r="Q30" i="2"/>
  <c r="R30" i="2"/>
  <c r="S30" i="2"/>
  <c r="T30" i="2"/>
  <c r="U30" i="2"/>
  <c r="V30" i="2"/>
  <c r="W30" i="2"/>
  <c r="X30" i="2"/>
  <c r="N31" i="2"/>
  <c r="O31" i="2"/>
  <c r="P31" i="2"/>
  <c r="Q31" i="2"/>
  <c r="R31" i="2"/>
  <c r="S31" i="2"/>
  <c r="T31" i="2"/>
  <c r="U31" i="2"/>
  <c r="V31" i="2"/>
  <c r="W31" i="2"/>
  <c r="X31" i="2"/>
  <c r="N32" i="2"/>
  <c r="O32" i="2"/>
  <c r="P32" i="2"/>
  <c r="Q32" i="2"/>
  <c r="R32" i="2"/>
  <c r="S32" i="2"/>
  <c r="T32" i="2"/>
  <c r="U32" i="2"/>
  <c r="V32" i="2"/>
  <c r="W32" i="2"/>
  <c r="X32" i="2"/>
  <c r="N33" i="2"/>
  <c r="O33" i="2"/>
  <c r="P33" i="2"/>
  <c r="Q33" i="2"/>
  <c r="R33" i="2"/>
  <c r="S33" i="2"/>
  <c r="T33" i="2"/>
  <c r="U33" i="2"/>
  <c r="V33" i="2"/>
  <c r="W33" i="2"/>
  <c r="X33" i="2"/>
  <c r="N34" i="2"/>
  <c r="O34" i="2"/>
  <c r="P34" i="2"/>
  <c r="Q34" i="2"/>
  <c r="R34" i="2"/>
  <c r="S34" i="2"/>
  <c r="T34" i="2"/>
  <c r="U34" i="2"/>
  <c r="V34" i="2"/>
  <c r="W34" i="2"/>
  <c r="X34" i="2"/>
  <c r="N35" i="2"/>
  <c r="O35" i="2"/>
  <c r="P35" i="2"/>
  <c r="Q35" i="2"/>
  <c r="R35" i="2"/>
  <c r="S35" i="2"/>
  <c r="T35" i="2"/>
  <c r="U35" i="2"/>
  <c r="V35" i="2"/>
  <c r="W35" i="2"/>
  <c r="X35" i="2"/>
  <c r="N36" i="2"/>
  <c r="O36" i="2"/>
  <c r="P36" i="2"/>
  <c r="Q36" i="2"/>
  <c r="R36" i="2"/>
  <c r="S36" i="2"/>
  <c r="T36" i="2"/>
  <c r="U36" i="2"/>
  <c r="V36" i="2"/>
  <c r="W36" i="2"/>
  <c r="X36" i="2"/>
  <c r="N37" i="2"/>
  <c r="O37" i="2"/>
  <c r="P37" i="2"/>
  <c r="Q37" i="2"/>
  <c r="R37" i="2"/>
  <c r="S37" i="2"/>
  <c r="T37" i="2"/>
  <c r="U37" i="2"/>
  <c r="V37" i="2"/>
  <c r="W37" i="2"/>
  <c r="X37" i="2"/>
  <c r="N38" i="2"/>
  <c r="O38" i="2"/>
  <c r="P38" i="2"/>
  <c r="Q38" i="2"/>
  <c r="R38" i="2"/>
  <c r="S38" i="2"/>
  <c r="T38" i="2"/>
  <c r="U38" i="2"/>
  <c r="V38" i="2"/>
  <c r="W38" i="2"/>
  <c r="X38" i="2"/>
  <c r="N39" i="2"/>
  <c r="O39" i="2"/>
  <c r="P39" i="2"/>
  <c r="Q39" i="2"/>
  <c r="R39" i="2"/>
  <c r="S39" i="2"/>
  <c r="T39" i="2"/>
  <c r="U39" i="2"/>
  <c r="V39" i="2"/>
  <c r="W39" i="2"/>
  <c r="X39" i="2"/>
  <c r="N40" i="2"/>
  <c r="O40" i="2"/>
  <c r="P40" i="2"/>
  <c r="Q40" i="2"/>
  <c r="R40" i="2"/>
  <c r="S40" i="2"/>
  <c r="T40" i="2"/>
  <c r="U40" i="2"/>
  <c r="V40" i="2"/>
  <c r="W40" i="2"/>
  <c r="X40" i="2"/>
  <c r="N41" i="2"/>
  <c r="O41" i="2"/>
  <c r="P41" i="2"/>
  <c r="Q41" i="2"/>
  <c r="R41" i="2"/>
  <c r="S41" i="2"/>
  <c r="T41" i="2"/>
  <c r="U41" i="2"/>
  <c r="V41" i="2"/>
  <c r="W41" i="2"/>
  <c r="X41" i="2"/>
  <c r="N42" i="2"/>
  <c r="O42" i="2"/>
  <c r="P42" i="2"/>
  <c r="Q42" i="2"/>
  <c r="R42" i="2"/>
  <c r="S42" i="2"/>
  <c r="T42" i="2"/>
  <c r="U42" i="2"/>
  <c r="V42" i="2"/>
  <c r="W42" i="2"/>
  <c r="X42" i="2"/>
  <c r="N43" i="2"/>
  <c r="O43" i="2"/>
  <c r="P43" i="2"/>
  <c r="Q43" i="2"/>
  <c r="R43" i="2"/>
  <c r="S43" i="2"/>
  <c r="T43" i="2"/>
  <c r="U43" i="2"/>
  <c r="V43" i="2"/>
  <c r="W43" i="2"/>
  <c r="X43" i="2"/>
  <c r="N44" i="2"/>
  <c r="O44" i="2"/>
  <c r="P44" i="2"/>
  <c r="Q44" i="2"/>
  <c r="R44" i="2"/>
  <c r="S44" i="2"/>
  <c r="T44" i="2"/>
  <c r="U44" i="2"/>
  <c r="V44" i="2"/>
  <c r="W44" i="2"/>
  <c r="X44" i="2"/>
  <c r="N45" i="2"/>
  <c r="O45" i="2"/>
  <c r="P45" i="2"/>
  <c r="Q45" i="2"/>
  <c r="R45" i="2"/>
  <c r="S45" i="2"/>
  <c r="T45" i="2"/>
  <c r="U45" i="2"/>
  <c r="V45" i="2"/>
  <c r="W45" i="2"/>
  <c r="X45" i="2"/>
  <c r="N46" i="2"/>
  <c r="O46" i="2"/>
  <c r="P46" i="2"/>
  <c r="Q46" i="2"/>
  <c r="R46" i="2"/>
  <c r="S46" i="2"/>
  <c r="T46" i="2"/>
  <c r="U46" i="2"/>
  <c r="V46" i="2"/>
  <c r="W46" i="2"/>
  <c r="X46" i="2"/>
  <c r="N47" i="2"/>
  <c r="O47" i="2"/>
  <c r="P47" i="2"/>
  <c r="Q47" i="2"/>
  <c r="R47" i="2"/>
  <c r="S47" i="2"/>
  <c r="T47" i="2"/>
  <c r="U47" i="2"/>
  <c r="V47" i="2"/>
  <c r="W47" i="2"/>
  <c r="X47" i="2"/>
  <c r="N48" i="2"/>
  <c r="O48" i="2"/>
  <c r="P48" i="2"/>
  <c r="Q48" i="2"/>
  <c r="R48" i="2"/>
  <c r="S48" i="2"/>
  <c r="T48" i="2"/>
  <c r="U48" i="2"/>
  <c r="V48" i="2"/>
  <c r="W48" i="2"/>
  <c r="X48" i="2"/>
  <c r="N49" i="2"/>
  <c r="O49" i="2"/>
  <c r="P49" i="2"/>
  <c r="Q49" i="2"/>
  <c r="R49" i="2"/>
  <c r="S49" i="2"/>
  <c r="T49" i="2"/>
  <c r="U49" i="2"/>
  <c r="V49" i="2"/>
  <c r="W49" i="2"/>
  <c r="X49" i="2"/>
  <c r="N50" i="2"/>
  <c r="O50" i="2"/>
  <c r="P50" i="2"/>
  <c r="Q50" i="2"/>
  <c r="R50" i="2"/>
  <c r="S50" i="2"/>
  <c r="T50" i="2"/>
  <c r="U50" i="2"/>
  <c r="V50" i="2"/>
  <c r="W50" i="2"/>
  <c r="X50" i="2"/>
  <c r="N51" i="2"/>
  <c r="O51" i="2"/>
  <c r="P51" i="2"/>
  <c r="Q51" i="2"/>
  <c r="R51" i="2"/>
  <c r="S51" i="2"/>
  <c r="T51" i="2"/>
  <c r="U51" i="2"/>
  <c r="V51" i="2"/>
  <c r="W51" i="2"/>
  <c r="X51" i="2"/>
  <c r="N52" i="2"/>
  <c r="O52" i="2"/>
  <c r="P52" i="2"/>
  <c r="Q52" i="2"/>
  <c r="R52" i="2"/>
  <c r="S52" i="2"/>
  <c r="T52" i="2"/>
  <c r="U52" i="2"/>
  <c r="V52" i="2"/>
  <c r="W52" i="2"/>
  <c r="X52" i="2"/>
  <c r="N53" i="2"/>
  <c r="O53" i="2"/>
  <c r="P53" i="2"/>
  <c r="Q53" i="2"/>
  <c r="R53" i="2"/>
  <c r="S53" i="2"/>
  <c r="T53" i="2"/>
  <c r="U53" i="2"/>
  <c r="V53" i="2"/>
  <c r="W53" i="2"/>
  <c r="X53" i="2"/>
  <c r="N54" i="2"/>
  <c r="O54" i="2"/>
  <c r="P54" i="2"/>
  <c r="Q54" i="2"/>
  <c r="R54" i="2"/>
  <c r="S54" i="2"/>
  <c r="T54" i="2"/>
  <c r="U54" i="2"/>
  <c r="V54" i="2"/>
  <c r="W54" i="2"/>
  <c r="X54" i="2"/>
  <c r="N55" i="2"/>
  <c r="O55" i="2"/>
  <c r="P55" i="2"/>
  <c r="Q55" i="2"/>
  <c r="R55" i="2"/>
  <c r="S55" i="2"/>
  <c r="T55" i="2"/>
  <c r="U55" i="2"/>
  <c r="V55" i="2"/>
  <c r="W55" i="2"/>
  <c r="X55" i="2"/>
  <c r="N56" i="2"/>
  <c r="O56" i="2"/>
  <c r="P56" i="2"/>
  <c r="Q56" i="2"/>
  <c r="R56" i="2"/>
  <c r="S56" i="2"/>
  <c r="T56" i="2"/>
  <c r="U56" i="2"/>
  <c r="V56" i="2"/>
  <c r="W56" i="2"/>
  <c r="X56" i="2"/>
  <c r="N57" i="2"/>
  <c r="O57" i="2"/>
  <c r="P57" i="2"/>
  <c r="Q57" i="2"/>
  <c r="R57" i="2"/>
  <c r="S57" i="2"/>
  <c r="T57" i="2"/>
  <c r="U57" i="2"/>
  <c r="V57" i="2"/>
  <c r="W57" i="2"/>
  <c r="X57" i="2"/>
  <c r="N58" i="2"/>
  <c r="O58" i="2"/>
  <c r="P58" i="2"/>
  <c r="Q58" i="2"/>
  <c r="R58" i="2"/>
  <c r="S58" i="2"/>
  <c r="T58" i="2"/>
  <c r="U58" i="2"/>
  <c r="V58" i="2"/>
  <c r="W58" i="2"/>
  <c r="X58" i="2"/>
  <c r="N59" i="2"/>
  <c r="O59" i="2"/>
  <c r="P59" i="2"/>
  <c r="Q59" i="2"/>
  <c r="R59" i="2"/>
  <c r="S59" i="2"/>
  <c r="T59" i="2"/>
  <c r="U59" i="2"/>
  <c r="V59" i="2"/>
  <c r="W59" i="2"/>
  <c r="X59" i="2"/>
  <c r="N60" i="2"/>
  <c r="O60" i="2"/>
  <c r="P60" i="2"/>
  <c r="Q60" i="2"/>
  <c r="R60" i="2"/>
  <c r="S60" i="2"/>
  <c r="T60" i="2"/>
  <c r="U60" i="2"/>
  <c r="V60" i="2"/>
  <c r="W60" i="2"/>
  <c r="X60" i="2"/>
  <c r="N61" i="2"/>
  <c r="O61" i="2"/>
  <c r="P61" i="2"/>
  <c r="Q61" i="2"/>
  <c r="R61" i="2"/>
  <c r="S61" i="2"/>
  <c r="T61" i="2"/>
  <c r="U61" i="2"/>
  <c r="V61" i="2"/>
  <c r="W61" i="2"/>
  <c r="X61" i="2"/>
  <c r="N62" i="2"/>
  <c r="O62" i="2"/>
  <c r="P62" i="2"/>
  <c r="Q62" i="2"/>
  <c r="R62" i="2"/>
  <c r="S62" i="2"/>
  <c r="T62" i="2"/>
  <c r="U62" i="2"/>
  <c r="V62" i="2"/>
  <c r="W62" i="2"/>
  <c r="X62" i="2"/>
  <c r="N63" i="2"/>
  <c r="O63" i="2"/>
  <c r="P63" i="2"/>
  <c r="Q63" i="2"/>
  <c r="R63" i="2"/>
  <c r="S63" i="2"/>
  <c r="T63" i="2"/>
  <c r="U63" i="2"/>
  <c r="V63" i="2"/>
  <c r="W63" i="2"/>
  <c r="X63" i="2"/>
  <c r="N64" i="2"/>
  <c r="O64" i="2"/>
  <c r="P64" i="2"/>
  <c r="Q64" i="2"/>
  <c r="R64" i="2"/>
  <c r="S64" i="2"/>
  <c r="T64" i="2"/>
  <c r="U64" i="2"/>
  <c r="V64" i="2"/>
  <c r="W64" i="2"/>
  <c r="X64" i="2"/>
  <c r="N65" i="2"/>
  <c r="O65" i="2"/>
  <c r="P65" i="2"/>
  <c r="Q65" i="2"/>
  <c r="R65" i="2"/>
  <c r="S65" i="2"/>
  <c r="T65" i="2"/>
  <c r="U65" i="2"/>
  <c r="V65" i="2"/>
  <c r="W65" i="2"/>
  <c r="X65" i="2"/>
  <c r="N66" i="2"/>
  <c r="O66" i="2"/>
  <c r="P66" i="2"/>
  <c r="Q66" i="2"/>
  <c r="R66" i="2"/>
  <c r="S66" i="2"/>
  <c r="T66" i="2"/>
  <c r="U66" i="2"/>
  <c r="V66" i="2"/>
  <c r="W66" i="2"/>
  <c r="X66" i="2"/>
  <c r="N67" i="2"/>
  <c r="O67" i="2"/>
  <c r="P67" i="2"/>
  <c r="Q67" i="2"/>
  <c r="R67" i="2"/>
  <c r="S67" i="2"/>
  <c r="T67" i="2"/>
  <c r="U67" i="2"/>
  <c r="V67" i="2"/>
  <c r="W67" i="2"/>
  <c r="X67" i="2"/>
  <c r="N68" i="2"/>
  <c r="O68" i="2"/>
  <c r="P68" i="2"/>
  <c r="Q68" i="2"/>
  <c r="R68" i="2"/>
  <c r="S68" i="2"/>
  <c r="T68" i="2"/>
  <c r="U68" i="2"/>
  <c r="V68" i="2"/>
  <c r="W68" i="2"/>
  <c r="X68" i="2"/>
  <c r="N69" i="2"/>
  <c r="O69" i="2"/>
  <c r="P69" i="2"/>
  <c r="Q69" i="2"/>
  <c r="R69" i="2"/>
  <c r="S69" i="2"/>
  <c r="T69" i="2"/>
  <c r="U69" i="2"/>
  <c r="V69" i="2"/>
  <c r="W69" i="2"/>
  <c r="X69" i="2"/>
  <c r="N70" i="2"/>
  <c r="O70" i="2"/>
  <c r="P70" i="2"/>
  <c r="Q70" i="2"/>
  <c r="R70" i="2"/>
  <c r="S70" i="2"/>
  <c r="T70" i="2"/>
  <c r="U70" i="2"/>
  <c r="V70" i="2"/>
  <c r="W70" i="2"/>
  <c r="X70" i="2"/>
  <c r="N71" i="2"/>
  <c r="O71" i="2"/>
  <c r="P71" i="2"/>
  <c r="Q71" i="2"/>
  <c r="R71" i="2"/>
  <c r="S71" i="2"/>
  <c r="T71" i="2"/>
  <c r="U71" i="2"/>
  <c r="V71" i="2"/>
  <c r="W71" i="2"/>
  <c r="X71" i="2"/>
  <c r="N72" i="2"/>
  <c r="O72" i="2"/>
  <c r="P72" i="2"/>
  <c r="Q72" i="2"/>
  <c r="R72" i="2"/>
  <c r="S72" i="2"/>
  <c r="T72" i="2"/>
  <c r="U72" i="2"/>
  <c r="V72" i="2"/>
  <c r="W72" i="2"/>
  <c r="X72" i="2"/>
  <c r="N73" i="2"/>
  <c r="O73" i="2"/>
  <c r="P73" i="2"/>
  <c r="Q73" i="2"/>
  <c r="R73" i="2"/>
  <c r="S73" i="2"/>
  <c r="T73" i="2"/>
  <c r="U73" i="2"/>
  <c r="V73" i="2"/>
  <c r="W73" i="2"/>
  <c r="X73" i="2"/>
  <c r="N74" i="2"/>
  <c r="O74" i="2"/>
  <c r="P74" i="2"/>
  <c r="Q74" i="2"/>
  <c r="R74" i="2"/>
  <c r="S74" i="2"/>
  <c r="T74" i="2"/>
  <c r="U74" i="2"/>
  <c r="V74" i="2"/>
  <c r="W74" i="2"/>
  <c r="X74" i="2"/>
  <c r="N75" i="2"/>
  <c r="O75" i="2"/>
  <c r="P75" i="2"/>
  <c r="Q75" i="2"/>
  <c r="R75" i="2"/>
  <c r="S75" i="2"/>
  <c r="T75" i="2"/>
  <c r="U75" i="2"/>
  <c r="V75" i="2"/>
  <c r="W75" i="2"/>
  <c r="X75" i="2"/>
  <c r="N76" i="2"/>
  <c r="O76" i="2"/>
  <c r="P76" i="2"/>
  <c r="Q76" i="2"/>
  <c r="R76" i="2"/>
  <c r="S76" i="2"/>
  <c r="T76" i="2"/>
  <c r="U76" i="2"/>
  <c r="V76" i="2"/>
  <c r="W76" i="2"/>
  <c r="X76" i="2"/>
  <c r="N77" i="2"/>
  <c r="O77" i="2"/>
  <c r="P77" i="2"/>
  <c r="Q77" i="2"/>
  <c r="R77" i="2"/>
  <c r="S77" i="2"/>
  <c r="T77" i="2"/>
  <c r="U77" i="2"/>
  <c r="V77" i="2"/>
  <c r="W77" i="2"/>
  <c r="X77" i="2"/>
  <c r="N78" i="2"/>
  <c r="O78" i="2"/>
  <c r="P78" i="2"/>
  <c r="Q78" i="2"/>
  <c r="R78" i="2"/>
  <c r="S78" i="2"/>
  <c r="T78" i="2"/>
  <c r="U78" i="2"/>
  <c r="V78" i="2"/>
  <c r="W78" i="2"/>
  <c r="X78" i="2"/>
  <c r="N79" i="2"/>
  <c r="O79" i="2"/>
  <c r="P79" i="2"/>
  <c r="Q79" i="2"/>
  <c r="R79" i="2"/>
  <c r="S79" i="2"/>
  <c r="T79" i="2"/>
  <c r="U79" i="2"/>
  <c r="V79" i="2"/>
  <c r="W79" i="2"/>
  <c r="X79" i="2"/>
  <c r="N80" i="2"/>
  <c r="O80" i="2"/>
  <c r="P80" i="2"/>
  <c r="Q80" i="2"/>
  <c r="R80" i="2"/>
  <c r="S80" i="2"/>
  <c r="T80" i="2"/>
  <c r="U80" i="2"/>
  <c r="V80" i="2"/>
  <c r="W80" i="2"/>
  <c r="X80" i="2"/>
  <c r="N81" i="2"/>
  <c r="O81" i="2"/>
  <c r="P81" i="2"/>
  <c r="Q81" i="2"/>
  <c r="R81" i="2"/>
  <c r="S81" i="2"/>
  <c r="T81" i="2"/>
  <c r="U81" i="2"/>
  <c r="V81" i="2"/>
  <c r="W81" i="2"/>
  <c r="X81" i="2"/>
  <c r="N82" i="2"/>
  <c r="O82" i="2"/>
  <c r="P82" i="2"/>
  <c r="Q82" i="2"/>
  <c r="R82" i="2"/>
  <c r="S82" i="2"/>
  <c r="T82" i="2"/>
  <c r="U82" i="2"/>
  <c r="V82" i="2"/>
  <c r="W82" i="2"/>
  <c r="X82" i="2"/>
  <c r="N83" i="2"/>
  <c r="O83" i="2"/>
  <c r="P83" i="2"/>
  <c r="Q83" i="2"/>
  <c r="R83" i="2"/>
  <c r="S83" i="2"/>
  <c r="T83" i="2"/>
  <c r="U83" i="2"/>
  <c r="V83" i="2"/>
  <c r="W83" i="2"/>
  <c r="X83" i="2"/>
  <c r="N84" i="2"/>
  <c r="O84" i="2"/>
  <c r="P84" i="2"/>
  <c r="Q84" i="2"/>
  <c r="R84" i="2"/>
  <c r="S84" i="2"/>
  <c r="T84" i="2"/>
  <c r="U84" i="2"/>
  <c r="V84" i="2"/>
  <c r="W84" i="2"/>
  <c r="X84" i="2"/>
  <c r="N85" i="2"/>
  <c r="O85" i="2"/>
  <c r="P85" i="2"/>
  <c r="Q85" i="2"/>
  <c r="R85" i="2"/>
  <c r="S85" i="2"/>
  <c r="T85" i="2"/>
  <c r="U85" i="2"/>
  <c r="V85" i="2"/>
  <c r="W85" i="2"/>
  <c r="X85" i="2"/>
  <c r="N86" i="2"/>
  <c r="O86" i="2"/>
  <c r="P86" i="2"/>
  <c r="Q86" i="2"/>
  <c r="R86" i="2"/>
  <c r="S86" i="2"/>
  <c r="T86" i="2"/>
  <c r="U86" i="2"/>
  <c r="V86" i="2"/>
  <c r="W86" i="2"/>
  <c r="X86" i="2"/>
  <c r="N87" i="2"/>
  <c r="O87" i="2"/>
  <c r="P87" i="2"/>
  <c r="Q87" i="2"/>
  <c r="R87" i="2"/>
  <c r="S87" i="2"/>
  <c r="T87" i="2"/>
  <c r="U87" i="2"/>
  <c r="V87" i="2"/>
  <c r="W87" i="2"/>
  <c r="X87" i="2"/>
  <c r="N88" i="2"/>
  <c r="O88" i="2"/>
  <c r="P88" i="2"/>
  <c r="Q88" i="2"/>
  <c r="R88" i="2"/>
  <c r="S88" i="2"/>
  <c r="T88" i="2"/>
  <c r="U88" i="2"/>
  <c r="V88" i="2"/>
  <c r="W88" i="2"/>
  <c r="X88" i="2"/>
  <c r="N89" i="2"/>
  <c r="O89" i="2"/>
  <c r="P89" i="2"/>
  <c r="Q89" i="2"/>
  <c r="R89" i="2"/>
  <c r="S89" i="2"/>
  <c r="T89" i="2"/>
  <c r="U89" i="2"/>
  <c r="V89" i="2"/>
  <c r="W89" i="2"/>
  <c r="X89" i="2"/>
  <c r="N90" i="2"/>
  <c r="O90" i="2"/>
  <c r="P90" i="2"/>
  <c r="Q90" i="2"/>
  <c r="R90" i="2"/>
  <c r="S90" i="2"/>
  <c r="T90" i="2"/>
  <c r="U90" i="2"/>
  <c r="V90" i="2"/>
  <c r="W90" i="2"/>
  <c r="X90" i="2"/>
  <c r="N91" i="2"/>
  <c r="O91" i="2"/>
  <c r="P91" i="2"/>
  <c r="Q91" i="2"/>
  <c r="R91" i="2"/>
  <c r="S91" i="2"/>
  <c r="T91" i="2"/>
  <c r="U91" i="2"/>
  <c r="V91" i="2"/>
  <c r="W91" i="2"/>
  <c r="X91" i="2"/>
  <c r="N92" i="2"/>
  <c r="O92" i="2"/>
  <c r="P92" i="2"/>
  <c r="Q92" i="2"/>
  <c r="R92" i="2"/>
  <c r="S92" i="2"/>
  <c r="T92" i="2"/>
  <c r="U92" i="2"/>
  <c r="V92" i="2"/>
  <c r="W92" i="2"/>
  <c r="X92" i="2"/>
  <c r="N93" i="2"/>
  <c r="O93" i="2"/>
  <c r="P93" i="2"/>
  <c r="Q93" i="2"/>
  <c r="R93" i="2"/>
  <c r="S93" i="2"/>
  <c r="T93" i="2"/>
  <c r="U93" i="2"/>
  <c r="V93" i="2"/>
  <c r="W93" i="2"/>
  <c r="X93" i="2"/>
  <c r="N94" i="2"/>
  <c r="O94" i="2"/>
  <c r="P94" i="2"/>
  <c r="Q94" i="2"/>
  <c r="R94" i="2"/>
  <c r="S94" i="2"/>
  <c r="T94" i="2"/>
  <c r="U94" i="2"/>
  <c r="V94" i="2"/>
  <c r="W94" i="2"/>
  <c r="X94" i="2"/>
  <c r="N95" i="2"/>
  <c r="O95" i="2"/>
  <c r="P95" i="2"/>
  <c r="Q95" i="2"/>
  <c r="R95" i="2"/>
  <c r="S95" i="2"/>
  <c r="T95" i="2"/>
  <c r="U95" i="2"/>
  <c r="V95" i="2"/>
  <c r="W95" i="2"/>
  <c r="X95" i="2"/>
  <c r="N96" i="2"/>
  <c r="O96" i="2"/>
  <c r="P96" i="2"/>
  <c r="Q96" i="2"/>
  <c r="R96" i="2"/>
  <c r="S96" i="2"/>
  <c r="T96" i="2"/>
  <c r="U96" i="2"/>
  <c r="V96" i="2"/>
  <c r="W96" i="2"/>
  <c r="X96" i="2"/>
  <c r="N97" i="2"/>
  <c r="O97" i="2"/>
  <c r="P97" i="2"/>
  <c r="Q97" i="2"/>
  <c r="R97" i="2"/>
  <c r="S97" i="2"/>
  <c r="T97" i="2"/>
  <c r="U97" i="2"/>
  <c r="V97" i="2"/>
  <c r="W97" i="2"/>
  <c r="X97" i="2"/>
  <c r="N98" i="2"/>
  <c r="O98" i="2"/>
  <c r="P98" i="2"/>
  <c r="Q98" i="2"/>
  <c r="R98" i="2"/>
  <c r="S98" i="2"/>
  <c r="T98" i="2"/>
  <c r="U98" i="2"/>
  <c r="V98" i="2"/>
  <c r="W98" i="2"/>
  <c r="X98" i="2"/>
  <c r="N99" i="2"/>
  <c r="O99" i="2"/>
  <c r="P99" i="2"/>
  <c r="Q99" i="2"/>
  <c r="R99" i="2"/>
  <c r="S99" i="2"/>
  <c r="T99" i="2"/>
  <c r="U99" i="2"/>
  <c r="V99" i="2"/>
  <c r="W99" i="2"/>
  <c r="X99" i="2"/>
  <c r="N100" i="2"/>
  <c r="O100" i="2"/>
  <c r="P100" i="2"/>
  <c r="Q100" i="2"/>
  <c r="R100" i="2"/>
  <c r="S100" i="2"/>
  <c r="T100" i="2"/>
  <c r="U100" i="2"/>
  <c r="V100" i="2"/>
  <c r="W100" i="2"/>
  <c r="X100" i="2"/>
  <c r="N101" i="2"/>
  <c r="O101" i="2"/>
  <c r="P101" i="2"/>
  <c r="Q101" i="2"/>
  <c r="R101" i="2"/>
  <c r="S101" i="2"/>
  <c r="T101" i="2"/>
  <c r="U101" i="2"/>
  <c r="V101" i="2"/>
  <c r="W101" i="2"/>
  <c r="X101" i="2"/>
  <c r="N102" i="2"/>
  <c r="O102" i="2"/>
  <c r="P102" i="2"/>
  <c r="Q102" i="2"/>
  <c r="R102" i="2"/>
  <c r="S102" i="2"/>
  <c r="T102" i="2"/>
  <c r="U102" i="2"/>
  <c r="V102" i="2"/>
  <c r="W102" i="2"/>
  <c r="X102" i="2"/>
  <c r="N103" i="2"/>
  <c r="O103" i="2"/>
  <c r="P103" i="2"/>
  <c r="Q103" i="2"/>
  <c r="R103" i="2"/>
  <c r="S103" i="2"/>
  <c r="T103" i="2"/>
  <c r="U103" i="2"/>
  <c r="V103" i="2"/>
  <c r="W103" i="2"/>
  <c r="X103" i="2"/>
  <c r="N104" i="2"/>
  <c r="O104" i="2"/>
  <c r="P104" i="2"/>
  <c r="Q104" i="2"/>
  <c r="R104" i="2"/>
  <c r="S104" i="2"/>
  <c r="T104" i="2"/>
  <c r="U104" i="2"/>
  <c r="V104" i="2"/>
  <c r="W104" i="2"/>
  <c r="X104" i="2"/>
  <c r="N105" i="2"/>
  <c r="O105" i="2"/>
  <c r="P105" i="2"/>
  <c r="Q105" i="2"/>
  <c r="R105" i="2"/>
  <c r="S105" i="2"/>
  <c r="T105" i="2"/>
  <c r="U105" i="2"/>
  <c r="V105" i="2"/>
  <c r="W105" i="2"/>
  <c r="X105" i="2"/>
  <c r="N106" i="2"/>
  <c r="O106" i="2"/>
  <c r="P106" i="2"/>
  <c r="Q106" i="2"/>
  <c r="R106" i="2"/>
  <c r="S106" i="2"/>
  <c r="T106" i="2"/>
  <c r="U106" i="2"/>
  <c r="V106" i="2"/>
  <c r="W106" i="2"/>
  <c r="X106" i="2"/>
  <c r="N107" i="2"/>
  <c r="O107" i="2"/>
  <c r="P107" i="2"/>
  <c r="Q107" i="2"/>
  <c r="R107" i="2"/>
  <c r="S107" i="2"/>
  <c r="T107" i="2"/>
  <c r="U107" i="2"/>
  <c r="V107" i="2"/>
  <c r="W107" i="2"/>
  <c r="X107" i="2"/>
  <c r="N108" i="2"/>
  <c r="O108" i="2"/>
  <c r="P108" i="2"/>
  <c r="Q108" i="2"/>
  <c r="R108" i="2"/>
  <c r="S108" i="2"/>
  <c r="T108" i="2"/>
  <c r="U108" i="2"/>
  <c r="V108" i="2"/>
  <c r="W108" i="2"/>
  <c r="X108" i="2"/>
  <c r="N109" i="2"/>
  <c r="O109" i="2"/>
  <c r="P109" i="2"/>
  <c r="Q109" i="2"/>
  <c r="R109" i="2"/>
  <c r="S109" i="2"/>
  <c r="T109" i="2"/>
  <c r="U109" i="2"/>
  <c r="V109" i="2"/>
  <c r="W109" i="2"/>
  <c r="X109" i="2"/>
  <c r="N110" i="2"/>
  <c r="O110" i="2"/>
  <c r="P110" i="2"/>
  <c r="Q110" i="2"/>
  <c r="R110" i="2"/>
  <c r="S110" i="2"/>
  <c r="T110" i="2"/>
  <c r="U110" i="2"/>
  <c r="V110" i="2"/>
  <c r="W110" i="2"/>
  <c r="X110" i="2"/>
  <c r="N111" i="2"/>
  <c r="O111" i="2"/>
  <c r="P111" i="2"/>
  <c r="Q111" i="2"/>
  <c r="R111" i="2"/>
  <c r="S111" i="2"/>
  <c r="T111" i="2"/>
  <c r="U111" i="2"/>
  <c r="V111" i="2"/>
  <c r="W111" i="2"/>
  <c r="X111" i="2"/>
  <c r="N112" i="2"/>
  <c r="O112" i="2"/>
  <c r="P112" i="2"/>
  <c r="Q112" i="2"/>
  <c r="R112" i="2"/>
  <c r="S112" i="2"/>
  <c r="T112" i="2"/>
  <c r="U112" i="2"/>
  <c r="V112" i="2"/>
  <c r="W112" i="2"/>
  <c r="X112" i="2"/>
  <c r="N113" i="2"/>
  <c r="O113" i="2"/>
  <c r="P113" i="2"/>
  <c r="Q113" i="2"/>
  <c r="R113" i="2"/>
  <c r="S113" i="2"/>
  <c r="T113" i="2"/>
  <c r="U113" i="2"/>
  <c r="V113" i="2"/>
  <c r="W113" i="2"/>
  <c r="X113" i="2"/>
  <c r="N114" i="2"/>
  <c r="O114" i="2"/>
  <c r="P114" i="2"/>
  <c r="Q114" i="2"/>
  <c r="R114" i="2"/>
  <c r="S114" i="2"/>
  <c r="T114" i="2"/>
  <c r="U114" i="2"/>
  <c r="V114" i="2"/>
  <c r="W114" i="2"/>
  <c r="X114" i="2"/>
  <c r="N115" i="2"/>
  <c r="O115" i="2"/>
  <c r="P115" i="2"/>
  <c r="Q115" i="2"/>
  <c r="R115" i="2"/>
  <c r="S115" i="2"/>
  <c r="T115" i="2"/>
  <c r="U115" i="2"/>
  <c r="V115" i="2"/>
  <c r="W115" i="2"/>
  <c r="X115" i="2"/>
  <c r="N116" i="2"/>
  <c r="O116" i="2"/>
  <c r="P116" i="2"/>
  <c r="Q116" i="2"/>
  <c r="R116" i="2"/>
  <c r="S116" i="2"/>
  <c r="T116" i="2"/>
  <c r="U116" i="2"/>
  <c r="V116" i="2"/>
  <c r="W116" i="2"/>
  <c r="X116" i="2"/>
  <c r="N117" i="2"/>
  <c r="O117" i="2"/>
  <c r="P117" i="2"/>
  <c r="Q117" i="2"/>
  <c r="R117" i="2"/>
  <c r="S117" i="2"/>
  <c r="T117" i="2"/>
  <c r="U117" i="2"/>
  <c r="V117" i="2"/>
  <c r="W117" i="2"/>
  <c r="X117" i="2"/>
  <c r="N118" i="2"/>
  <c r="O118" i="2"/>
  <c r="P118" i="2"/>
  <c r="Q118" i="2"/>
  <c r="R118" i="2"/>
  <c r="S118" i="2"/>
  <c r="T118" i="2"/>
  <c r="U118" i="2"/>
  <c r="V118" i="2"/>
  <c r="W118" i="2"/>
  <c r="X118" i="2"/>
  <c r="N119" i="2"/>
  <c r="O119" i="2"/>
  <c r="P119" i="2"/>
  <c r="Q119" i="2"/>
  <c r="R119" i="2"/>
  <c r="S119" i="2"/>
  <c r="T119" i="2"/>
  <c r="U119" i="2"/>
  <c r="V119" i="2"/>
  <c r="W119" i="2"/>
  <c r="X119" i="2"/>
  <c r="N120" i="2"/>
  <c r="O120" i="2"/>
  <c r="P120" i="2"/>
  <c r="Q120" i="2"/>
  <c r="R120" i="2"/>
  <c r="S120" i="2"/>
  <c r="T120" i="2"/>
  <c r="U120" i="2"/>
  <c r="V120" i="2"/>
  <c r="W120" i="2"/>
  <c r="X120" i="2"/>
  <c r="N121" i="2"/>
  <c r="O121" i="2"/>
  <c r="P121" i="2"/>
  <c r="Q121" i="2"/>
  <c r="R121" i="2"/>
  <c r="S121" i="2"/>
  <c r="T121" i="2"/>
  <c r="U121" i="2"/>
  <c r="V121" i="2"/>
  <c r="W121" i="2"/>
  <c r="X121" i="2"/>
  <c r="N122" i="2"/>
  <c r="O122" i="2"/>
  <c r="P122" i="2"/>
  <c r="Q122" i="2"/>
  <c r="R122" i="2"/>
  <c r="S122" i="2"/>
  <c r="T122" i="2"/>
  <c r="U122" i="2"/>
  <c r="V122" i="2"/>
  <c r="W122" i="2"/>
  <c r="X122" i="2"/>
  <c r="N123" i="2"/>
  <c r="O123" i="2"/>
  <c r="P123" i="2"/>
  <c r="Q123" i="2"/>
  <c r="R123" i="2"/>
  <c r="S123" i="2"/>
  <c r="T123" i="2"/>
  <c r="U123" i="2"/>
  <c r="V123" i="2"/>
  <c r="W123" i="2"/>
  <c r="X123" i="2"/>
  <c r="N124" i="2"/>
  <c r="O124" i="2"/>
  <c r="P124" i="2"/>
  <c r="Q124" i="2"/>
  <c r="R124" i="2"/>
  <c r="S124" i="2"/>
  <c r="T124" i="2"/>
  <c r="U124" i="2"/>
  <c r="V124" i="2"/>
  <c r="W124" i="2"/>
  <c r="X124" i="2"/>
  <c r="N125" i="2"/>
  <c r="O125" i="2"/>
  <c r="P125" i="2"/>
  <c r="Q125" i="2"/>
  <c r="R125" i="2"/>
  <c r="S125" i="2"/>
  <c r="T125" i="2"/>
  <c r="U125" i="2"/>
  <c r="V125" i="2"/>
  <c r="W125" i="2"/>
  <c r="X125" i="2"/>
  <c r="N126" i="2"/>
  <c r="O126" i="2"/>
  <c r="P126" i="2"/>
  <c r="Q126" i="2"/>
  <c r="R126" i="2"/>
  <c r="S126" i="2"/>
  <c r="T126" i="2"/>
  <c r="U126" i="2"/>
  <c r="V126" i="2"/>
  <c r="W126" i="2"/>
  <c r="X126" i="2"/>
  <c r="N127" i="2"/>
  <c r="O127" i="2"/>
  <c r="P127" i="2"/>
  <c r="Q127" i="2"/>
  <c r="R127" i="2"/>
  <c r="S127" i="2"/>
  <c r="T127" i="2"/>
  <c r="U127" i="2"/>
  <c r="V127" i="2"/>
  <c r="W127" i="2"/>
  <c r="X127" i="2"/>
  <c r="N128" i="2"/>
  <c r="O128" i="2"/>
  <c r="P128" i="2"/>
  <c r="Q128" i="2"/>
  <c r="R128" i="2"/>
  <c r="S128" i="2"/>
  <c r="T128" i="2"/>
  <c r="U128" i="2"/>
  <c r="V128" i="2"/>
  <c r="W128" i="2"/>
  <c r="X128" i="2"/>
  <c r="N129" i="2"/>
  <c r="O129" i="2"/>
  <c r="P129" i="2"/>
  <c r="Q129" i="2"/>
  <c r="R129" i="2"/>
  <c r="S129" i="2"/>
  <c r="T129" i="2"/>
  <c r="U129" i="2"/>
  <c r="V129" i="2"/>
  <c r="W129" i="2"/>
  <c r="X129" i="2"/>
  <c r="N130" i="2"/>
  <c r="O130" i="2"/>
  <c r="P130" i="2"/>
  <c r="Q130" i="2"/>
  <c r="R130" i="2"/>
  <c r="S130" i="2"/>
  <c r="T130" i="2"/>
  <c r="U130" i="2"/>
  <c r="V130" i="2"/>
  <c r="W130" i="2"/>
  <c r="X130" i="2"/>
  <c r="N131" i="2"/>
  <c r="O131" i="2"/>
  <c r="P131" i="2"/>
  <c r="Q131" i="2"/>
  <c r="R131" i="2"/>
  <c r="S131" i="2"/>
  <c r="T131" i="2"/>
  <c r="U131" i="2"/>
  <c r="V131" i="2"/>
  <c r="W131" i="2"/>
  <c r="X131" i="2"/>
  <c r="N132" i="2"/>
  <c r="O132" i="2"/>
  <c r="P132" i="2"/>
  <c r="Q132" i="2"/>
  <c r="R132" i="2"/>
  <c r="S132" i="2"/>
  <c r="T132" i="2"/>
  <c r="U132" i="2"/>
  <c r="V132" i="2"/>
  <c r="W132" i="2"/>
  <c r="X132" i="2"/>
  <c r="N133" i="2"/>
  <c r="O133" i="2"/>
  <c r="P133" i="2"/>
  <c r="Q133" i="2"/>
  <c r="R133" i="2"/>
  <c r="S133" i="2"/>
  <c r="T133" i="2"/>
  <c r="U133" i="2"/>
  <c r="V133" i="2"/>
  <c r="W133" i="2"/>
  <c r="X133" i="2"/>
  <c r="N134" i="2"/>
  <c r="O134" i="2"/>
  <c r="P134" i="2"/>
  <c r="Q134" i="2"/>
  <c r="R134" i="2"/>
  <c r="S134" i="2"/>
  <c r="T134" i="2"/>
  <c r="U134" i="2"/>
  <c r="V134" i="2"/>
  <c r="W134" i="2"/>
  <c r="X134" i="2"/>
  <c r="N135" i="2"/>
  <c r="O135" i="2"/>
  <c r="P135" i="2"/>
  <c r="Q135" i="2"/>
  <c r="R135" i="2"/>
  <c r="S135" i="2"/>
  <c r="T135" i="2"/>
  <c r="U135" i="2"/>
  <c r="V135" i="2"/>
  <c r="W135" i="2"/>
  <c r="X135" i="2"/>
  <c r="N136" i="2"/>
  <c r="O136" i="2"/>
  <c r="P136" i="2"/>
  <c r="Q136" i="2"/>
  <c r="R136" i="2"/>
  <c r="S136" i="2"/>
  <c r="T136" i="2"/>
  <c r="U136" i="2"/>
  <c r="V136" i="2"/>
  <c r="W136" i="2"/>
  <c r="X136" i="2"/>
  <c r="N137" i="2"/>
  <c r="O137" i="2"/>
  <c r="P137" i="2"/>
  <c r="Q137" i="2"/>
  <c r="R137" i="2"/>
  <c r="S137" i="2"/>
  <c r="T137" i="2"/>
  <c r="U137" i="2"/>
  <c r="V137" i="2"/>
  <c r="W137" i="2"/>
  <c r="X137" i="2"/>
  <c r="N138" i="2"/>
  <c r="O138" i="2"/>
  <c r="P138" i="2"/>
  <c r="Q138" i="2"/>
  <c r="R138" i="2"/>
  <c r="S138" i="2"/>
  <c r="T138" i="2"/>
  <c r="U138" i="2"/>
  <c r="V138" i="2"/>
  <c r="W138" i="2"/>
  <c r="X138" i="2"/>
  <c r="N139" i="2"/>
  <c r="O139" i="2"/>
  <c r="P139" i="2"/>
  <c r="Q139" i="2"/>
  <c r="R139" i="2"/>
  <c r="S139" i="2"/>
  <c r="T139" i="2"/>
  <c r="U139" i="2"/>
  <c r="V139" i="2"/>
  <c r="W139" i="2"/>
  <c r="X139" i="2"/>
  <c r="N140" i="2"/>
  <c r="O140" i="2"/>
  <c r="P140" i="2"/>
  <c r="Q140" i="2"/>
  <c r="R140" i="2"/>
  <c r="S140" i="2"/>
  <c r="T140" i="2"/>
  <c r="U140" i="2"/>
  <c r="V140" i="2"/>
  <c r="W140" i="2"/>
  <c r="X140" i="2"/>
  <c r="P1" i="2"/>
  <c r="Q1" i="2"/>
  <c r="R1" i="2"/>
  <c r="S1" i="2"/>
  <c r="T1" i="2"/>
  <c r="U1" i="2"/>
  <c r="V1" i="2"/>
  <c r="W1" i="2"/>
  <c r="X1" i="2"/>
  <c r="O1" i="2"/>
  <c r="N1" i="2"/>
  <c r="P1272" i="1" l="1"/>
  <c r="T1272" i="1" s="1"/>
  <c r="N1273" i="1"/>
  <c r="N1030" i="1"/>
  <c r="P1029" i="1"/>
  <c r="T1029" i="1" s="1"/>
  <c r="N834" i="1"/>
  <c r="P833" i="1"/>
  <c r="T833" i="1" s="1"/>
  <c r="P324" i="1"/>
  <c r="T324" i="1" s="1"/>
  <c r="P486" i="1"/>
  <c r="T486" i="1" s="1"/>
  <c r="P378" i="1"/>
  <c r="T378" i="1" s="1"/>
  <c r="P460" i="1"/>
  <c r="T460" i="1" s="1"/>
  <c r="P221" i="1"/>
  <c r="T221" i="1" s="1"/>
  <c r="N222" i="1"/>
  <c r="P222" i="1" s="1"/>
  <c r="T222" i="1" s="1"/>
  <c r="P432" i="1"/>
  <c r="T432" i="1" s="1"/>
  <c r="P274" i="1"/>
  <c r="T274" i="1" s="1"/>
  <c r="P195" i="1"/>
  <c r="T195" i="1" s="1"/>
  <c r="P194" i="1"/>
  <c r="T194" i="1" s="1"/>
  <c r="P168" i="1"/>
  <c r="T168" i="1" s="1"/>
  <c r="P247" i="1"/>
  <c r="T247" i="1" s="1"/>
  <c r="P352" i="1"/>
  <c r="T352" i="1" s="1"/>
  <c r="N379" i="1"/>
  <c r="P379" i="1" s="1"/>
  <c r="T379" i="1" s="1"/>
  <c r="P248" i="1"/>
  <c r="T248" i="1" s="1"/>
  <c r="P275" i="1"/>
  <c r="T275" i="1" s="1"/>
  <c r="N325" i="1"/>
  <c r="P325" i="1" s="1"/>
  <c r="T325" i="1" s="1"/>
  <c r="N433" i="1"/>
  <c r="P433" i="1" s="1"/>
  <c r="T433" i="1" s="1"/>
  <c r="N487" i="1"/>
  <c r="P487" i="1" s="1"/>
  <c r="T487" i="1" s="1"/>
  <c r="N169" i="1"/>
  <c r="P169" i="1" s="1"/>
  <c r="T169" i="1" s="1"/>
  <c r="P296" i="1"/>
  <c r="T296" i="1" s="1"/>
  <c r="P351" i="1"/>
  <c r="T351" i="1" s="1"/>
  <c r="P459" i="1"/>
  <c r="T459" i="1" s="1"/>
  <c r="N461" i="1"/>
  <c r="P458" i="1"/>
  <c r="T458" i="1" s="1"/>
  <c r="P431" i="1"/>
  <c r="T431" i="1" s="1"/>
  <c r="P377" i="1"/>
  <c r="T377" i="1" s="1"/>
  <c r="N354" i="1"/>
  <c r="P353" i="1"/>
  <c r="T353" i="1" s="1"/>
  <c r="P350" i="1"/>
  <c r="T350" i="1" s="1"/>
  <c r="P323" i="1"/>
  <c r="T323" i="1" s="1"/>
  <c r="N299" i="1"/>
  <c r="P297" i="1"/>
  <c r="T297" i="1" s="1"/>
  <c r="N276" i="1"/>
  <c r="P273" i="1"/>
  <c r="T273" i="1" s="1"/>
  <c r="N249" i="1"/>
  <c r="P246" i="1"/>
  <c r="T246" i="1" s="1"/>
  <c r="N196" i="1"/>
  <c r="P193" i="1"/>
  <c r="T193" i="1" s="1"/>
  <c r="P167" i="1"/>
  <c r="T167" i="1" s="1"/>
  <c r="N434" i="1" l="1"/>
  <c r="P434" i="1" s="1"/>
  <c r="T434" i="1" s="1"/>
  <c r="N1274" i="1"/>
  <c r="P1273" i="1"/>
  <c r="T1273" i="1" s="1"/>
  <c r="P1030" i="1"/>
  <c r="T1030" i="1" s="1"/>
  <c r="N1031" i="1"/>
  <c r="N835" i="1"/>
  <c r="P834" i="1"/>
  <c r="T834" i="1" s="1"/>
  <c r="N380" i="1"/>
  <c r="N381" i="1" s="1"/>
  <c r="N223" i="1"/>
  <c r="N224" i="1" s="1"/>
  <c r="N225" i="1" s="1"/>
  <c r="N226" i="1" s="1"/>
  <c r="N488" i="1"/>
  <c r="N489" i="1" s="1"/>
  <c r="N170" i="1"/>
  <c r="P170" i="1" s="1"/>
  <c r="T170" i="1" s="1"/>
  <c r="N326" i="1"/>
  <c r="N327" i="1" s="1"/>
  <c r="N462" i="1"/>
  <c r="P461" i="1"/>
  <c r="T461" i="1" s="1"/>
  <c r="P354" i="1"/>
  <c r="T354" i="1" s="1"/>
  <c r="N355" i="1"/>
  <c r="N300" i="1"/>
  <c r="P299" i="1"/>
  <c r="T299" i="1" s="1"/>
  <c r="N277" i="1"/>
  <c r="P276" i="1"/>
  <c r="T276" i="1" s="1"/>
  <c r="N250" i="1"/>
  <c r="P249" i="1"/>
  <c r="T249" i="1" s="1"/>
  <c r="N197" i="1"/>
  <c r="P196" i="1"/>
  <c r="T196" i="1" s="1"/>
  <c r="N435" i="1" l="1"/>
  <c r="P435" i="1" s="1"/>
  <c r="T435" i="1" s="1"/>
  <c r="P1274" i="1"/>
  <c r="T1274" i="1" s="1"/>
  <c r="N1275" i="1"/>
  <c r="N1032" i="1"/>
  <c r="P1031" i="1"/>
  <c r="T1031" i="1" s="1"/>
  <c r="P326" i="1"/>
  <c r="T326" i="1" s="1"/>
  <c r="P225" i="1"/>
  <c r="T225" i="1" s="1"/>
  <c r="N836" i="1"/>
  <c r="P835" i="1"/>
  <c r="T835" i="1" s="1"/>
  <c r="P380" i="1"/>
  <c r="T380" i="1" s="1"/>
  <c r="P223" i="1"/>
  <c r="T223" i="1" s="1"/>
  <c r="N171" i="1"/>
  <c r="N172" i="1" s="1"/>
  <c r="P224" i="1"/>
  <c r="T224" i="1" s="1"/>
  <c r="P488" i="1"/>
  <c r="T488" i="1" s="1"/>
  <c r="P489" i="1"/>
  <c r="T489" i="1" s="1"/>
  <c r="N490" i="1"/>
  <c r="P462" i="1"/>
  <c r="T462" i="1" s="1"/>
  <c r="N463" i="1"/>
  <c r="P381" i="1"/>
  <c r="T381" i="1" s="1"/>
  <c r="N382" i="1"/>
  <c r="N356" i="1"/>
  <c r="P355" i="1"/>
  <c r="T355" i="1" s="1"/>
  <c r="P327" i="1"/>
  <c r="T327" i="1" s="1"/>
  <c r="N328" i="1"/>
  <c r="P300" i="1"/>
  <c r="T300" i="1" s="1"/>
  <c r="N301" i="1"/>
  <c r="P277" i="1"/>
  <c r="T277" i="1" s="1"/>
  <c r="N278" i="1"/>
  <c r="P250" i="1"/>
  <c r="T250" i="1" s="1"/>
  <c r="N251" i="1"/>
  <c r="P226" i="1"/>
  <c r="T226" i="1" s="1"/>
  <c r="N227" i="1"/>
  <c r="P197" i="1"/>
  <c r="T197" i="1" s="1"/>
  <c r="N198" i="1"/>
  <c r="P171" i="1" l="1"/>
  <c r="T171" i="1" s="1"/>
  <c r="N436" i="1"/>
  <c r="N437" i="1" s="1"/>
  <c r="P1275" i="1"/>
  <c r="T1275" i="1" s="1"/>
  <c r="N1276" i="1"/>
  <c r="P1032" i="1"/>
  <c r="T1032" i="1" s="1"/>
  <c r="N1033" i="1"/>
  <c r="P836" i="1"/>
  <c r="T836" i="1" s="1"/>
  <c r="N491" i="1"/>
  <c r="P490" i="1"/>
  <c r="T490" i="1" s="1"/>
  <c r="N464" i="1"/>
  <c r="P463" i="1"/>
  <c r="T463" i="1" s="1"/>
  <c r="P436" i="1"/>
  <c r="T436" i="1" s="1"/>
  <c r="N383" i="1"/>
  <c r="P382" i="1"/>
  <c r="T382" i="1" s="1"/>
  <c r="P356" i="1"/>
  <c r="T356" i="1" s="1"/>
  <c r="N357" i="1"/>
  <c r="N329" i="1"/>
  <c r="P328" i="1"/>
  <c r="T328" i="1" s="1"/>
  <c r="N302" i="1"/>
  <c r="P301" i="1"/>
  <c r="T301" i="1" s="1"/>
  <c r="N279" i="1"/>
  <c r="P278" i="1"/>
  <c r="T278" i="1" s="1"/>
  <c r="P251" i="1"/>
  <c r="T251" i="1" s="1"/>
  <c r="N252" i="1"/>
  <c r="N228" i="1"/>
  <c r="P227" i="1"/>
  <c r="T227" i="1" s="1"/>
  <c r="N199" i="1"/>
  <c r="P198" i="1"/>
  <c r="T198" i="1" s="1"/>
  <c r="N173" i="1"/>
  <c r="P172" i="1"/>
  <c r="T172" i="1" s="1"/>
  <c r="P1276" i="1" l="1"/>
  <c r="T1276" i="1" s="1"/>
  <c r="N1277" i="1"/>
  <c r="N1034" i="1"/>
  <c r="P1033" i="1"/>
  <c r="T1033" i="1" s="1"/>
  <c r="N839" i="1"/>
  <c r="P838" i="1"/>
  <c r="T838" i="1" s="1"/>
  <c r="P491" i="1"/>
  <c r="T491" i="1" s="1"/>
  <c r="N492" i="1"/>
  <c r="P464" i="1"/>
  <c r="T464" i="1" s="1"/>
  <c r="N465" i="1"/>
  <c r="P437" i="1"/>
  <c r="T437" i="1" s="1"/>
  <c r="N438" i="1"/>
  <c r="P383" i="1"/>
  <c r="T383" i="1" s="1"/>
  <c r="N384" i="1"/>
  <c r="N358" i="1"/>
  <c r="P357" i="1"/>
  <c r="T357" i="1" s="1"/>
  <c r="P329" i="1"/>
  <c r="T329" i="1" s="1"/>
  <c r="N330" i="1"/>
  <c r="P302" i="1"/>
  <c r="T302" i="1" s="1"/>
  <c r="N303" i="1"/>
  <c r="P279" i="1"/>
  <c r="T279" i="1" s="1"/>
  <c r="N280" i="1"/>
  <c r="N253" i="1"/>
  <c r="P252" i="1"/>
  <c r="T252" i="1" s="1"/>
  <c r="P228" i="1"/>
  <c r="T228" i="1" s="1"/>
  <c r="N229" i="1"/>
  <c r="P199" i="1"/>
  <c r="T199" i="1" s="1"/>
  <c r="N200" i="1"/>
  <c r="P173" i="1"/>
  <c r="T173" i="1" s="1"/>
  <c r="N174" i="1"/>
  <c r="N1278" i="1" l="1"/>
  <c r="P1277" i="1"/>
  <c r="T1277" i="1" s="1"/>
  <c r="P1034" i="1"/>
  <c r="T1034" i="1" s="1"/>
  <c r="N1035" i="1"/>
  <c r="N840" i="1"/>
  <c r="P839" i="1"/>
  <c r="T839" i="1" s="1"/>
  <c r="N493" i="1"/>
  <c r="P492" i="1"/>
  <c r="T492" i="1" s="1"/>
  <c r="N466" i="1"/>
  <c r="P465" i="1"/>
  <c r="T465" i="1" s="1"/>
  <c r="N439" i="1"/>
  <c r="P438" i="1"/>
  <c r="T438" i="1" s="1"/>
  <c r="N385" i="1"/>
  <c r="P384" i="1"/>
  <c r="T384" i="1" s="1"/>
  <c r="P358" i="1"/>
  <c r="T358" i="1" s="1"/>
  <c r="N359" i="1"/>
  <c r="N331" i="1"/>
  <c r="P330" i="1"/>
  <c r="T330" i="1" s="1"/>
  <c r="N304" i="1"/>
  <c r="P303" i="1"/>
  <c r="T303" i="1" s="1"/>
  <c r="N281" i="1"/>
  <c r="P280" i="1"/>
  <c r="T280" i="1" s="1"/>
  <c r="N254" i="1"/>
  <c r="P253" i="1"/>
  <c r="T253" i="1" s="1"/>
  <c r="N230" i="1"/>
  <c r="P229" i="1"/>
  <c r="T229" i="1" s="1"/>
  <c r="N201" i="1"/>
  <c r="P200" i="1"/>
  <c r="T200" i="1" s="1"/>
  <c r="N175" i="1"/>
  <c r="P174" i="1"/>
  <c r="T174" i="1" s="1"/>
  <c r="P1278" i="1" l="1"/>
  <c r="T1278" i="1" s="1"/>
  <c r="N1279" i="1"/>
  <c r="N1036" i="1"/>
  <c r="P1035" i="1"/>
  <c r="T1035" i="1" s="1"/>
  <c r="N841" i="1"/>
  <c r="P840" i="1"/>
  <c r="T840" i="1" s="1"/>
  <c r="P493" i="1"/>
  <c r="T493" i="1" s="1"/>
  <c r="N494" i="1"/>
  <c r="P466" i="1"/>
  <c r="T466" i="1" s="1"/>
  <c r="N467" i="1"/>
  <c r="P439" i="1"/>
  <c r="T439" i="1" s="1"/>
  <c r="N440" i="1"/>
  <c r="P385" i="1"/>
  <c r="T385" i="1" s="1"/>
  <c r="N386" i="1"/>
  <c r="N360" i="1"/>
  <c r="P359" i="1"/>
  <c r="T359" i="1" s="1"/>
  <c r="P331" i="1"/>
  <c r="T331" i="1" s="1"/>
  <c r="N332" i="1"/>
  <c r="P304" i="1"/>
  <c r="T304" i="1" s="1"/>
  <c r="N305" i="1"/>
  <c r="P281" i="1"/>
  <c r="T281" i="1" s="1"/>
  <c r="N282" i="1"/>
  <c r="P254" i="1"/>
  <c r="T254" i="1" s="1"/>
  <c r="N255" i="1"/>
  <c r="P230" i="1"/>
  <c r="T230" i="1" s="1"/>
  <c r="N231" i="1"/>
  <c r="P201" i="1"/>
  <c r="T201" i="1" s="1"/>
  <c r="N202" i="1"/>
  <c r="P175" i="1"/>
  <c r="T175" i="1" s="1"/>
  <c r="N176" i="1"/>
  <c r="P1279" i="1" l="1"/>
  <c r="T1279" i="1" s="1"/>
  <c r="N1280" i="1"/>
  <c r="P1036" i="1"/>
  <c r="T1036" i="1" s="1"/>
  <c r="N1037" i="1"/>
  <c r="N842" i="1"/>
  <c r="P841" i="1"/>
  <c r="T841" i="1" s="1"/>
  <c r="N495" i="1"/>
  <c r="P494" i="1"/>
  <c r="T494" i="1" s="1"/>
  <c r="N468" i="1"/>
  <c r="P467" i="1"/>
  <c r="T467" i="1" s="1"/>
  <c r="N441" i="1"/>
  <c r="P440" i="1"/>
  <c r="T440" i="1" s="1"/>
  <c r="N387" i="1"/>
  <c r="P386" i="1"/>
  <c r="T386" i="1" s="1"/>
  <c r="P360" i="1"/>
  <c r="T360" i="1" s="1"/>
  <c r="N361" i="1"/>
  <c r="N333" i="1"/>
  <c r="P332" i="1"/>
  <c r="T332" i="1" s="1"/>
  <c r="N306" i="1"/>
  <c r="P305" i="1"/>
  <c r="T305" i="1" s="1"/>
  <c r="N283" i="1"/>
  <c r="P282" i="1"/>
  <c r="T282" i="1" s="1"/>
  <c r="N256" i="1"/>
  <c r="P255" i="1"/>
  <c r="T255" i="1" s="1"/>
  <c r="N232" i="1"/>
  <c r="P231" i="1"/>
  <c r="T231" i="1" s="1"/>
  <c r="N203" i="1"/>
  <c r="P202" i="1"/>
  <c r="T202" i="1" s="1"/>
  <c r="N177" i="1"/>
  <c r="P176" i="1"/>
  <c r="T176" i="1" s="1"/>
  <c r="P1280" i="1" l="1"/>
  <c r="T1280" i="1" s="1"/>
  <c r="N1281" i="1"/>
  <c r="N1038" i="1"/>
  <c r="P1037" i="1"/>
  <c r="T1037" i="1" s="1"/>
  <c r="N843" i="1"/>
  <c r="P842" i="1"/>
  <c r="T842" i="1" s="1"/>
  <c r="P495" i="1"/>
  <c r="T495" i="1" s="1"/>
  <c r="N496" i="1"/>
  <c r="P468" i="1"/>
  <c r="T468" i="1" s="1"/>
  <c r="N469" i="1"/>
  <c r="P441" i="1"/>
  <c r="T441" i="1" s="1"/>
  <c r="N442" i="1"/>
  <c r="P387" i="1"/>
  <c r="T387" i="1" s="1"/>
  <c r="N388" i="1"/>
  <c r="N362" i="1"/>
  <c r="P361" i="1"/>
  <c r="T361" i="1" s="1"/>
  <c r="P333" i="1"/>
  <c r="T333" i="1" s="1"/>
  <c r="N334" i="1"/>
  <c r="P306" i="1"/>
  <c r="T306" i="1" s="1"/>
  <c r="N307" i="1"/>
  <c r="P283" i="1"/>
  <c r="T283" i="1" s="1"/>
  <c r="N284" i="1"/>
  <c r="P256" i="1"/>
  <c r="T256" i="1" s="1"/>
  <c r="N257" i="1"/>
  <c r="P232" i="1"/>
  <c r="T232" i="1" s="1"/>
  <c r="N233" i="1"/>
  <c r="P203" i="1"/>
  <c r="T203" i="1" s="1"/>
  <c r="N204" i="1"/>
  <c r="P177" i="1"/>
  <c r="T177" i="1" s="1"/>
  <c r="N178" i="1"/>
  <c r="N1282" i="1" l="1"/>
  <c r="P1281" i="1"/>
  <c r="T1281" i="1" s="1"/>
  <c r="P1038" i="1"/>
  <c r="T1038" i="1" s="1"/>
  <c r="N1039" i="1"/>
  <c r="N844" i="1"/>
  <c r="P843" i="1"/>
  <c r="T843" i="1" s="1"/>
  <c r="N497" i="1"/>
  <c r="P496" i="1"/>
  <c r="T496" i="1" s="1"/>
  <c r="N470" i="1"/>
  <c r="P469" i="1"/>
  <c r="T469" i="1" s="1"/>
  <c r="N443" i="1"/>
  <c r="P442" i="1"/>
  <c r="T442" i="1" s="1"/>
  <c r="N389" i="1"/>
  <c r="P388" i="1"/>
  <c r="T388" i="1" s="1"/>
  <c r="P362" i="1"/>
  <c r="T362" i="1" s="1"/>
  <c r="N363" i="1"/>
  <c r="N335" i="1"/>
  <c r="P334" i="1"/>
  <c r="T334" i="1" s="1"/>
  <c r="N308" i="1"/>
  <c r="P307" i="1"/>
  <c r="T307" i="1" s="1"/>
  <c r="N285" i="1"/>
  <c r="P284" i="1"/>
  <c r="T284" i="1" s="1"/>
  <c r="N258" i="1"/>
  <c r="P257" i="1"/>
  <c r="T257" i="1" s="1"/>
  <c r="N234" i="1"/>
  <c r="P233" i="1"/>
  <c r="T233" i="1" s="1"/>
  <c r="N205" i="1"/>
  <c r="P204" i="1"/>
  <c r="T204" i="1" s="1"/>
  <c r="N179" i="1"/>
  <c r="P178" i="1"/>
  <c r="T178" i="1" s="1"/>
  <c r="P1282" i="1" l="1"/>
  <c r="T1282" i="1" s="1"/>
  <c r="N1283" i="1"/>
  <c r="N1040" i="1"/>
  <c r="P1039" i="1"/>
  <c r="T1039" i="1" s="1"/>
  <c r="N845" i="1"/>
  <c r="P844" i="1"/>
  <c r="T844" i="1" s="1"/>
  <c r="P497" i="1"/>
  <c r="T497" i="1" s="1"/>
  <c r="N498" i="1"/>
  <c r="P470" i="1"/>
  <c r="T470" i="1" s="1"/>
  <c r="N471" i="1"/>
  <c r="P443" i="1"/>
  <c r="T443" i="1" s="1"/>
  <c r="N444" i="1"/>
  <c r="P389" i="1"/>
  <c r="T389" i="1" s="1"/>
  <c r="N390" i="1"/>
  <c r="N364" i="1"/>
  <c r="P363" i="1"/>
  <c r="T363" i="1" s="1"/>
  <c r="P335" i="1"/>
  <c r="T335" i="1" s="1"/>
  <c r="N336" i="1"/>
  <c r="P308" i="1"/>
  <c r="T308" i="1" s="1"/>
  <c r="N309" i="1"/>
  <c r="P285" i="1"/>
  <c r="T285" i="1" s="1"/>
  <c r="N286" i="1"/>
  <c r="P258" i="1"/>
  <c r="T258" i="1" s="1"/>
  <c r="N259" i="1"/>
  <c r="P234" i="1"/>
  <c r="T234" i="1" s="1"/>
  <c r="N235" i="1"/>
  <c r="P205" i="1"/>
  <c r="T205" i="1" s="1"/>
  <c r="N206" i="1"/>
  <c r="P179" i="1"/>
  <c r="T179" i="1" s="1"/>
  <c r="N180" i="1"/>
  <c r="P1283" i="1" l="1"/>
  <c r="T1283" i="1" s="1"/>
  <c r="N1284" i="1"/>
  <c r="P1040" i="1"/>
  <c r="T1040" i="1" s="1"/>
  <c r="N1041" i="1"/>
  <c r="N846" i="1"/>
  <c r="P845" i="1"/>
  <c r="T845" i="1" s="1"/>
  <c r="P286" i="1"/>
  <c r="T286" i="1" s="1"/>
  <c r="N288" i="1"/>
  <c r="N499" i="1"/>
  <c r="P498" i="1"/>
  <c r="T498" i="1" s="1"/>
  <c r="N472" i="1"/>
  <c r="P471" i="1"/>
  <c r="T471" i="1" s="1"/>
  <c r="N445" i="1"/>
  <c r="P444" i="1"/>
  <c r="T444" i="1" s="1"/>
  <c r="N391" i="1"/>
  <c r="P390" i="1"/>
  <c r="T390" i="1" s="1"/>
  <c r="P364" i="1"/>
  <c r="T364" i="1" s="1"/>
  <c r="N365" i="1"/>
  <c r="N337" i="1"/>
  <c r="P336" i="1"/>
  <c r="T336" i="1" s="1"/>
  <c r="N310" i="1"/>
  <c r="P309" i="1"/>
  <c r="T309" i="1" s="1"/>
  <c r="N260" i="1"/>
  <c r="P259" i="1"/>
  <c r="T259" i="1" s="1"/>
  <c r="N236" i="1"/>
  <c r="P235" i="1"/>
  <c r="T235" i="1" s="1"/>
  <c r="N207" i="1"/>
  <c r="P206" i="1"/>
  <c r="T206" i="1" s="1"/>
  <c r="N181" i="1"/>
  <c r="P180" i="1"/>
  <c r="T180" i="1" s="1"/>
  <c r="P1284" i="1" l="1"/>
  <c r="T1284" i="1" s="1"/>
  <c r="N1285" i="1"/>
  <c r="N1042" i="1"/>
  <c r="P1041" i="1"/>
  <c r="T1041" i="1" s="1"/>
  <c r="N847" i="1"/>
  <c r="P846" i="1"/>
  <c r="T846" i="1" s="1"/>
  <c r="N289" i="1"/>
  <c r="P288" i="1"/>
  <c r="T288" i="1" s="1"/>
  <c r="P499" i="1"/>
  <c r="T499" i="1" s="1"/>
  <c r="N500" i="1"/>
  <c r="P472" i="1"/>
  <c r="T472" i="1" s="1"/>
  <c r="N473" i="1"/>
  <c r="P445" i="1"/>
  <c r="T445" i="1" s="1"/>
  <c r="N446" i="1"/>
  <c r="P391" i="1"/>
  <c r="T391" i="1" s="1"/>
  <c r="N392" i="1"/>
  <c r="N366" i="1"/>
  <c r="P365" i="1"/>
  <c r="T365" i="1" s="1"/>
  <c r="P337" i="1"/>
  <c r="T337" i="1" s="1"/>
  <c r="N338" i="1"/>
  <c r="P310" i="1"/>
  <c r="T310" i="1" s="1"/>
  <c r="N311" i="1"/>
  <c r="P260" i="1"/>
  <c r="T260" i="1" s="1"/>
  <c r="N261" i="1"/>
  <c r="P236" i="1"/>
  <c r="T236" i="1" s="1"/>
  <c r="N237" i="1"/>
  <c r="P207" i="1"/>
  <c r="T207" i="1" s="1"/>
  <c r="N208" i="1"/>
  <c r="P181" i="1"/>
  <c r="T181" i="1" s="1"/>
  <c r="N182" i="1"/>
  <c r="P1285" i="1" l="1"/>
  <c r="T1285" i="1" s="1"/>
  <c r="N1286" i="1"/>
  <c r="P1042" i="1"/>
  <c r="T1042" i="1" s="1"/>
  <c r="N1043" i="1"/>
  <c r="N848" i="1"/>
  <c r="N849" i="1" s="1"/>
  <c r="P847" i="1"/>
  <c r="T847" i="1" s="1"/>
  <c r="N290" i="1"/>
  <c r="P289" i="1"/>
  <c r="T289" i="1" s="1"/>
  <c r="N501" i="1"/>
  <c r="P500" i="1"/>
  <c r="T500" i="1" s="1"/>
  <c r="N474" i="1"/>
  <c r="P473" i="1"/>
  <c r="T473" i="1" s="1"/>
  <c r="N447" i="1"/>
  <c r="P446" i="1"/>
  <c r="T446" i="1" s="1"/>
  <c r="N393" i="1"/>
  <c r="P392" i="1"/>
  <c r="T392" i="1" s="1"/>
  <c r="P366" i="1"/>
  <c r="T366" i="1" s="1"/>
  <c r="N367" i="1"/>
  <c r="N339" i="1"/>
  <c r="P338" i="1"/>
  <c r="T338" i="1" s="1"/>
  <c r="N312" i="1"/>
  <c r="P311" i="1"/>
  <c r="T311" i="1" s="1"/>
  <c r="N262" i="1"/>
  <c r="P261" i="1"/>
  <c r="T261" i="1" s="1"/>
  <c r="P237" i="1"/>
  <c r="T237" i="1" s="1"/>
  <c r="N238" i="1"/>
  <c r="N209" i="1"/>
  <c r="P208" i="1"/>
  <c r="T208" i="1" s="1"/>
  <c r="N183" i="1"/>
  <c r="P182" i="1"/>
  <c r="T182" i="1" s="1"/>
  <c r="P1286" i="1" l="1"/>
  <c r="T1286" i="1" s="1"/>
  <c r="N1287" i="1"/>
  <c r="N850" i="1"/>
  <c r="P849" i="1"/>
  <c r="T849" i="1" s="1"/>
  <c r="N1044" i="1"/>
  <c r="P1043" i="1"/>
  <c r="T1043" i="1" s="1"/>
  <c r="P848" i="1"/>
  <c r="T848" i="1" s="1"/>
  <c r="P290" i="1"/>
  <c r="T290" i="1" s="1"/>
  <c r="N291" i="1"/>
  <c r="P501" i="1"/>
  <c r="T501" i="1" s="1"/>
  <c r="N502" i="1"/>
  <c r="P474" i="1"/>
  <c r="T474" i="1" s="1"/>
  <c r="N475" i="1"/>
  <c r="P447" i="1"/>
  <c r="T447" i="1" s="1"/>
  <c r="N448" i="1"/>
  <c r="P393" i="1"/>
  <c r="T393" i="1" s="1"/>
  <c r="N394" i="1"/>
  <c r="N368" i="1"/>
  <c r="P367" i="1"/>
  <c r="T367" i="1" s="1"/>
  <c r="P339" i="1"/>
  <c r="T339" i="1" s="1"/>
  <c r="N340" i="1"/>
  <c r="P312" i="1"/>
  <c r="T312" i="1" s="1"/>
  <c r="N313" i="1"/>
  <c r="P262" i="1"/>
  <c r="T262" i="1" s="1"/>
  <c r="N263" i="1"/>
  <c r="P238" i="1"/>
  <c r="T238" i="1" s="1"/>
  <c r="N239" i="1"/>
  <c r="P209" i="1"/>
  <c r="T209" i="1" s="1"/>
  <c r="N210" i="1"/>
  <c r="P183" i="1"/>
  <c r="T183" i="1" s="1"/>
  <c r="N184" i="1"/>
  <c r="P1287" i="1" l="1"/>
  <c r="T1287" i="1" s="1"/>
  <c r="N1288" i="1"/>
  <c r="P850" i="1"/>
  <c r="T850" i="1" s="1"/>
  <c r="N851" i="1"/>
  <c r="P1044" i="1"/>
  <c r="T1044" i="1" s="1"/>
  <c r="N1045" i="1"/>
  <c r="P291" i="1"/>
  <c r="T291" i="1" s="1"/>
  <c r="N292" i="1"/>
  <c r="N503" i="1"/>
  <c r="P502" i="1"/>
  <c r="T502" i="1" s="1"/>
  <c r="N476" i="1"/>
  <c r="P475" i="1"/>
  <c r="T475" i="1" s="1"/>
  <c r="N449" i="1"/>
  <c r="P448" i="1"/>
  <c r="T448" i="1" s="1"/>
  <c r="N395" i="1"/>
  <c r="P394" i="1"/>
  <c r="T394" i="1" s="1"/>
  <c r="P368" i="1"/>
  <c r="T368" i="1" s="1"/>
  <c r="N369" i="1"/>
  <c r="N341" i="1"/>
  <c r="P340" i="1"/>
  <c r="T340" i="1" s="1"/>
  <c r="N314" i="1"/>
  <c r="P313" i="1"/>
  <c r="T313" i="1" s="1"/>
  <c r="N264" i="1"/>
  <c r="P263" i="1"/>
  <c r="T263" i="1" s="1"/>
  <c r="N240" i="1"/>
  <c r="P239" i="1"/>
  <c r="T239" i="1" s="1"/>
  <c r="N211" i="1"/>
  <c r="P210" i="1"/>
  <c r="T210" i="1" s="1"/>
  <c r="N185" i="1"/>
  <c r="P184" i="1"/>
  <c r="T184" i="1" s="1"/>
  <c r="P1288" i="1" l="1"/>
  <c r="T1288" i="1" s="1"/>
  <c r="N1289" i="1"/>
  <c r="N852" i="1"/>
  <c r="P851" i="1"/>
  <c r="T851" i="1" s="1"/>
  <c r="N1046" i="1"/>
  <c r="P1045" i="1"/>
  <c r="T1045" i="1" s="1"/>
  <c r="N293" i="1"/>
  <c r="P292" i="1"/>
  <c r="T292" i="1" s="1"/>
  <c r="P503" i="1"/>
  <c r="T503" i="1" s="1"/>
  <c r="N504" i="1"/>
  <c r="P476" i="1"/>
  <c r="T476" i="1" s="1"/>
  <c r="N477" i="1"/>
  <c r="P449" i="1"/>
  <c r="T449" i="1" s="1"/>
  <c r="N450" i="1"/>
  <c r="P395" i="1"/>
  <c r="T395" i="1" s="1"/>
  <c r="N396" i="1"/>
  <c r="N370" i="1"/>
  <c r="P369" i="1"/>
  <c r="T369" i="1" s="1"/>
  <c r="P341" i="1"/>
  <c r="T341" i="1" s="1"/>
  <c r="N342" i="1"/>
  <c r="P314" i="1"/>
  <c r="T314" i="1" s="1"/>
  <c r="N315" i="1"/>
  <c r="P264" i="1"/>
  <c r="T264" i="1" s="1"/>
  <c r="N265" i="1"/>
  <c r="P240" i="1"/>
  <c r="T240" i="1" s="1"/>
  <c r="N241" i="1"/>
  <c r="P211" i="1"/>
  <c r="T211" i="1" s="1"/>
  <c r="N212" i="1"/>
  <c r="P185" i="1"/>
  <c r="T185" i="1" s="1"/>
  <c r="N186" i="1"/>
  <c r="N1290" i="1" l="1"/>
  <c r="P1289" i="1"/>
  <c r="T1289" i="1" s="1"/>
  <c r="P852" i="1"/>
  <c r="T852" i="1" s="1"/>
  <c r="N853" i="1"/>
  <c r="P1046" i="1"/>
  <c r="T1046" i="1" s="1"/>
  <c r="N1047" i="1"/>
  <c r="P293" i="1"/>
  <c r="T293" i="1" s="1"/>
  <c r="N294" i="1"/>
  <c r="P294" i="1" s="1"/>
  <c r="T294" i="1" s="1"/>
  <c r="N505" i="1"/>
  <c r="P504" i="1"/>
  <c r="T504" i="1" s="1"/>
  <c r="N478" i="1"/>
  <c r="P477" i="1"/>
  <c r="T477" i="1" s="1"/>
  <c r="N451" i="1"/>
  <c r="P450" i="1"/>
  <c r="T450" i="1" s="1"/>
  <c r="N397" i="1"/>
  <c r="P396" i="1"/>
  <c r="T396" i="1" s="1"/>
  <c r="P370" i="1"/>
  <c r="T370" i="1" s="1"/>
  <c r="N371" i="1"/>
  <c r="N343" i="1"/>
  <c r="P342" i="1"/>
  <c r="T342" i="1" s="1"/>
  <c r="N316" i="1"/>
  <c r="P315" i="1"/>
  <c r="T315" i="1" s="1"/>
  <c r="N266" i="1"/>
  <c r="P265" i="1"/>
  <c r="T265" i="1" s="1"/>
  <c r="N242" i="1"/>
  <c r="P241" i="1"/>
  <c r="T241" i="1" s="1"/>
  <c r="N213" i="1"/>
  <c r="P212" i="1"/>
  <c r="T212" i="1" s="1"/>
  <c r="N187" i="1"/>
  <c r="P186" i="1"/>
  <c r="T186" i="1" s="1"/>
  <c r="P1290" i="1" l="1"/>
  <c r="T1290" i="1" s="1"/>
  <c r="N1291" i="1"/>
  <c r="N1294" i="1" s="1"/>
  <c r="P1294" i="1" s="1"/>
  <c r="T1294" i="1" s="1"/>
  <c r="N854" i="1"/>
  <c r="P853" i="1"/>
  <c r="T853" i="1" s="1"/>
  <c r="N1048" i="1"/>
  <c r="P1047" i="1"/>
  <c r="T1047" i="1" s="1"/>
  <c r="P505" i="1"/>
  <c r="T505" i="1" s="1"/>
  <c r="N506" i="1"/>
  <c r="P478" i="1"/>
  <c r="T478" i="1" s="1"/>
  <c r="N479" i="1"/>
  <c r="P451" i="1"/>
  <c r="T451" i="1" s="1"/>
  <c r="N452" i="1"/>
  <c r="P397" i="1"/>
  <c r="T397" i="1" s="1"/>
  <c r="N398" i="1"/>
  <c r="N372" i="1"/>
  <c r="P371" i="1"/>
  <c r="T371" i="1" s="1"/>
  <c r="P343" i="1"/>
  <c r="T343" i="1" s="1"/>
  <c r="N344" i="1"/>
  <c r="P316" i="1"/>
  <c r="T316" i="1" s="1"/>
  <c r="N317" i="1"/>
  <c r="P266" i="1"/>
  <c r="T266" i="1" s="1"/>
  <c r="N267" i="1"/>
  <c r="P242" i="1"/>
  <c r="T242" i="1" s="1"/>
  <c r="N243" i="1"/>
  <c r="P213" i="1"/>
  <c r="T213" i="1" s="1"/>
  <c r="N214" i="1"/>
  <c r="P187" i="1"/>
  <c r="T187" i="1" s="1"/>
  <c r="N188" i="1"/>
  <c r="P1291" i="1" l="1"/>
  <c r="T1291" i="1" s="1"/>
  <c r="N1292" i="1"/>
  <c r="P854" i="1"/>
  <c r="T854" i="1" s="1"/>
  <c r="N855" i="1"/>
  <c r="P1048" i="1"/>
  <c r="T1048" i="1" s="1"/>
  <c r="N1049" i="1"/>
  <c r="N507" i="1"/>
  <c r="P506" i="1"/>
  <c r="T506" i="1" s="1"/>
  <c r="N480" i="1"/>
  <c r="P479" i="1"/>
  <c r="T479" i="1" s="1"/>
  <c r="N453" i="1"/>
  <c r="P452" i="1"/>
  <c r="T452" i="1" s="1"/>
  <c r="N399" i="1"/>
  <c r="P398" i="1"/>
  <c r="T398" i="1" s="1"/>
  <c r="P372" i="1"/>
  <c r="T372" i="1" s="1"/>
  <c r="N373" i="1"/>
  <c r="N345" i="1"/>
  <c r="P344" i="1"/>
  <c r="T344" i="1" s="1"/>
  <c r="N318" i="1"/>
  <c r="P317" i="1"/>
  <c r="T317" i="1" s="1"/>
  <c r="N268" i="1"/>
  <c r="P267" i="1"/>
  <c r="T267" i="1" s="1"/>
  <c r="N244" i="1"/>
  <c r="P243" i="1"/>
  <c r="T243" i="1" s="1"/>
  <c r="N215" i="1"/>
  <c r="P214" i="1"/>
  <c r="T214" i="1" s="1"/>
  <c r="N189" i="1"/>
  <c r="P188" i="1"/>
  <c r="T188" i="1" s="1"/>
  <c r="P1292" i="1" l="1"/>
  <c r="T1292" i="1" s="1"/>
  <c r="N1293" i="1"/>
  <c r="N856" i="1"/>
  <c r="P855" i="1"/>
  <c r="T855" i="1" s="1"/>
  <c r="N1050" i="1"/>
  <c r="P1049" i="1"/>
  <c r="T1049" i="1" s="1"/>
  <c r="P507" i="1"/>
  <c r="T507" i="1" s="1"/>
  <c r="N508" i="1"/>
  <c r="P480" i="1"/>
  <c r="T480" i="1" s="1"/>
  <c r="N481" i="1"/>
  <c r="P453" i="1"/>
  <c r="T453" i="1" s="1"/>
  <c r="N454" i="1"/>
  <c r="P399" i="1"/>
  <c r="T399" i="1" s="1"/>
  <c r="N400" i="1"/>
  <c r="N374" i="1"/>
  <c r="P373" i="1"/>
  <c r="T373" i="1" s="1"/>
  <c r="P345" i="1"/>
  <c r="T345" i="1" s="1"/>
  <c r="N346" i="1"/>
  <c r="P318" i="1"/>
  <c r="T318" i="1" s="1"/>
  <c r="N319" i="1"/>
  <c r="P268" i="1"/>
  <c r="T268" i="1" s="1"/>
  <c r="N269" i="1"/>
  <c r="P244" i="1"/>
  <c r="T244" i="1" s="1"/>
  <c r="P215" i="1"/>
  <c r="T215" i="1" s="1"/>
  <c r="N216" i="1"/>
  <c r="P189" i="1"/>
  <c r="T189" i="1" s="1"/>
  <c r="N190" i="1"/>
  <c r="P1293" i="1" l="1"/>
  <c r="T1293" i="1" s="1"/>
  <c r="N857" i="1"/>
  <c r="P856" i="1"/>
  <c r="T856" i="1" s="1"/>
  <c r="N1051" i="1"/>
  <c r="P1050" i="1"/>
  <c r="T1050" i="1" s="1"/>
  <c r="N509" i="1"/>
  <c r="P508" i="1"/>
  <c r="T508" i="1" s="1"/>
  <c r="N482" i="1"/>
  <c r="P481" i="1"/>
  <c r="T481" i="1" s="1"/>
  <c r="N455" i="1"/>
  <c r="P454" i="1"/>
  <c r="T454" i="1" s="1"/>
  <c r="N401" i="1"/>
  <c r="P400" i="1"/>
  <c r="T400" i="1" s="1"/>
  <c r="P374" i="1"/>
  <c r="T374" i="1" s="1"/>
  <c r="N375" i="1"/>
  <c r="P375" i="1" s="1"/>
  <c r="T375" i="1" s="1"/>
  <c r="N347" i="1"/>
  <c r="P346" i="1"/>
  <c r="T346" i="1" s="1"/>
  <c r="N320" i="1"/>
  <c r="P319" i="1"/>
  <c r="T319" i="1" s="1"/>
  <c r="N270" i="1"/>
  <c r="P269" i="1"/>
  <c r="T269" i="1" s="1"/>
  <c r="N217" i="1"/>
  <c r="P216" i="1"/>
  <c r="T216" i="1" s="1"/>
  <c r="N191" i="1"/>
  <c r="P190" i="1"/>
  <c r="T190" i="1" s="1"/>
  <c r="P1296" i="1" l="1"/>
  <c r="T1296" i="1" s="1"/>
  <c r="N1297" i="1"/>
  <c r="N858" i="1"/>
  <c r="P857" i="1"/>
  <c r="T857" i="1" s="1"/>
  <c r="N1052" i="1"/>
  <c r="P1051" i="1"/>
  <c r="T1051" i="1" s="1"/>
  <c r="P509" i="1"/>
  <c r="T509" i="1" s="1"/>
  <c r="N510" i="1"/>
  <c r="P510" i="1" s="1"/>
  <c r="T510" i="1" s="1"/>
  <c r="P482" i="1"/>
  <c r="T482" i="1" s="1"/>
  <c r="N483" i="1"/>
  <c r="P483" i="1" s="1"/>
  <c r="T483" i="1" s="1"/>
  <c r="P455" i="1"/>
  <c r="T455" i="1" s="1"/>
  <c r="N456" i="1"/>
  <c r="P456" i="1" s="1"/>
  <c r="T456" i="1" s="1"/>
  <c r="P401" i="1"/>
  <c r="T401" i="1" s="1"/>
  <c r="N402" i="1"/>
  <c r="P347" i="1"/>
  <c r="T347" i="1" s="1"/>
  <c r="N348" i="1"/>
  <c r="P348" i="1" s="1"/>
  <c r="T348" i="1" s="1"/>
  <c r="P320" i="1"/>
  <c r="T320" i="1" s="1"/>
  <c r="N321" i="1"/>
  <c r="P321" i="1" s="1"/>
  <c r="T321" i="1" s="1"/>
  <c r="P270" i="1"/>
  <c r="T270" i="1" s="1"/>
  <c r="N271" i="1"/>
  <c r="P271" i="1" s="1"/>
  <c r="T271" i="1" s="1"/>
  <c r="P217" i="1"/>
  <c r="T217" i="1" s="1"/>
  <c r="N218" i="1"/>
  <c r="P218" i="1" s="1"/>
  <c r="T218" i="1" s="1"/>
  <c r="P191" i="1"/>
  <c r="T191" i="1" s="1"/>
  <c r="P1297" i="1" l="1"/>
  <c r="T1297" i="1" s="1"/>
  <c r="N1298" i="1"/>
  <c r="P858" i="1"/>
  <c r="T858" i="1" s="1"/>
  <c r="N859" i="1"/>
  <c r="P1052" i="1"/>
  <c r="T1052" i="1" s="1"/>
  <c r="P402" i="1"/>
  <c r="T402" i="1" s="1"/>
  <c r="P1298" i="1" l="1"/>
  <c r="T1298" i="1" s="1"/>
  <c r="N1299" i="1"/>
  <c r="N860" i="1"/>
  <c r="P859" i="1"/>
  <c r="T859" i="1" s="1"/>
  <c r="N1055" i="1"/>
  <c r="P1054" i="1"/>
  <c r="T1054" i="1" s="1"/>
  <c r="N405" i="1"/>
  <c r="P404" i="1"/>
  <c r="T404" i="1" s="1"/>
  <c r="N1300" i="1" l="1"/>
  <c r="P1299" i="1"/>
  <c r="T1299" i="1" s="1"/>
  <c r="P860" i="1"/>
  <c r="T860" i="1" s="1"/>
  <c r="N861" i="1"/>
  <c r="N1056" i="1"/>
  <c r="P1055" i="1"/>
  <c r="T1055" i="1" s="1"/>
  <c r="P405" i="1"/>
  <c r="T405" i="1" s="1"/>
  <c r="N406" i="1"/>
  <c r="P1300" i="1" l="1"/>
  <c r="T1300" i="1" s="1"/>
  <c r="N1301" i="1"/>
  <c r="P861" i="1"/>
  <c r="T861" i="1" s="1"/>
  <c r="N862" i="1"/>
  <c r="N1057" i="1"/>
  <c r="P1056" i="1"/>
  <c r="T1056" i="1" s="1"/>
  <c r="N407" i="1"/>
  <c r="P406" i="1"/>
  <c r="T406" i="1" s="1"/>
  <c r="P1301" i="1" l="1"/>
  <c r="T1301" i="1" s="1"/>
  <c r="N1302" i="1"/>
  <c r="P862" i="1"/>
  <c r="T862" i="1" s="1"/>
  <c r="N863" i="1"/>
  <c r="P863" i="1" s="1"/>
  <c r="T863" i="1" s="1"/>
  <c r="N1058" i="1"/>
  <c r="P1057" i="1"/>
  <c r="T1057" i="1" s="1"/>
  <c r="P407" i="1"/>
  <c r="T407" i="1" s="1"/>
  <c r="N408" i="1"/>
  <c r="P1302" i="1" l="1"/>
  <c r="T1302" i="1" s="1"/>
  <c r="N1303" i="1"/>
  <c r="N1059" i="1"/>
  <c r="P1058" i="1"/>
  <c r="T1058" i="1" s="1"/>
  <c r="N409" i="1"/>
  <c r="P408" i="1"/>
  <c r="T408" i="1" s="1"/>
  <c r="P1303" i="1" l="1"/>
  <c r="T1303" i="1" s="1"/>
  <c r="N1304" i="1"/>
  <c r="N1060" i="1"/>
  <c r="P1059" i="1"/>
  <c r="T1059" i="1" s="1"/>
  <c r="P409" i="1"/>
  <c r="T409" i="1" s="1"/>
  <c r="N410" i="1"/>
  <c r="N1305" i="1" l="1"/>
  <c r="P1304" i="1"/>
  <c r="T1304" i="1" s="1"/>
  <c r="P1060" i="1"/>
  <c r="T1060" i="1" s="1"/>
  <c r="N1061" i="1"/>
  <c r="N411" i="1"/>
  <c r="P410" i="1"/>
  <c r="T410" i="1" s="1"/>
  <c r="N1306" i="1" l="1"/>
  <c r="P1305" i="1"/>
  <c r="T1305" i="1" s="1"/>
  <c r="N1062" i="1"/>
  <c r="P1061" i="1"/>
  <c r="T1061" i="1" s="1"/>
  <c r="P411" i="1"/>
  <c r="T411" i="1" s="1"/>
  <c r="N412" i="1"/>
  <c r="P1306" i="1" l="1"/>
  <c r="T1306" i="1" s="1"/>
  <c r="N1307" i="1"/>
  <c r="P1062" i="1"/>
  <c r="T1062" i="1" s="1"/>
  <c r="N1063" i="1"/>
  <c r="N413" i="1"/>
  <c r="P412" i="1"/>
  <c r="T412" i="1" s="1"/>
  <c r="P1307" i="1" l="1"/>
  <c r="T1307" i="1" s="1"/>
  <c r="N1308" i="1"/>
  <c r="N1064" i="1"/>
  <c r="P1063" i="1"/>
  <c r="T1063" i="1" s="1"/>
  <c r="P413" i="1"/>
  <c r="T413" i="1" s="1"/>
  <c r="N414" i="1"/>
  <c r="P1308" i="1" l="1"/>
  <c r="T1308" i="1" s="1"/>
  <c r="N1309" i="1"/>
  <c r="N1065" i="1"/>
  <c r="P1064" i="1"/>
  <c r="T1064" i="1" s="1"/>
  <c r="P414" i="1"/>
  <c r="T414" i="1" s="1"/>
  <c r="N415" i="1"/>
  <c r="P1309" i="1" l="1"/>
  <c r="T1309" i="1" s="1"/>
  <c r="N1310" i="1"/>
  <c r="N1066" i="1"/>
  <c r="P1065" i="1"/>
  <c r="T1065" i="1" s="1"/>
  <c r="P415" i="1"/>
  <c r="T415" i="1" s="1"/>
  <c r="N416" i="1"/>
  <c r="N1311" i="1" l="1"/>
  <c r="P1310" i="1"/>
  <c r="T1310" i="1" s="1"/>
  <c r="N1067" i="1"/>
  <c r="P1066" i="1"/>
  <c r="T1066" i="1" s="1"/>
  <c r="N417" i="1"/>
  <c r="P416" i="1"/>
  <c r="T416" i="1" s="1"/>
  <c r="N1312" i="1" l="1"/>
  <c r="P1311" i="1"/>
  <c r="T1311" i="1" s="1"/>
  <c r="P1067" i="1"/>
  <c r="T1067" i="1" s="1"/>
  <c r="N1068" i="1"/>
  <c r="P417" i="1"/>
  <c r="T417" i="1" s="1"/>
  <c r="N418" i="1"/>
  <c r="N1313" i="1" l="1"/>
  <c r="P1312" i="1"/>
  <c r="T1312" i="1" s="1"/>
  <c r="N1069" i="1"/>
  <c r="P1068" i="1"/>
  <c r="T1068" i="1" s="1"/>
  <c r="N419" i="1"/>
  <c r="P418" i="1"/>
  <c r="T418" i="1" s="1"/>
  <c r="P1313" i="1" l="1"/>
  <c r="T1313" i="1" s="1"/>
  <c r="N1314" i="1"/>
  <c r="N1070" i="1"/>
  <c r="P1069" i="1"/>
  <c r="T1069" i="1" s="1"/>
  <c r="P419" i="1"/>
  <c r="T419" i="1" s="1"/>
  <c r="N420" i="1"/>
  <c r="N1315" i="1" l="1"/>
  <c r="P1314" i="1"/>
  <c r="T1314" i="1" s="1"/>
  <c r="N1071" i="1"/>
  <c r="P1070" i="1"/>
  <c r="T1070" i="1" s="1"/>
  <c r="N421" i="1"/>
  <c r="P420" i="1"/>
  <c r="T420" i="1" s="1"/>
  <c r="N1316" i="1" l="1"/>
  <c r="P1315" i="1"/>
  <c r="T1315" i="1" s="1"/>
  <c r="N1072" i="1"/>
  <c r="P1071" i="1"/>
  <c r="T1071" i="1" s="1"/>
  <c r="P421" i="1"/>
  <c r="T421" i="1" s="1"/>
  <c r="N422" i="1"/>
  <c r="N1317" i="1" l="1"/>
  <c r="P1316" i="1"/>
  <c r="T1316" i="1" s="1"/>
  <c r="P1072" i="1"/>
  <c r="T1072" i="1" s="1"/>
  <c r="N1073" i="1"/>
  <c r="N423" i="1"/>
  <c r="P422" i="1"/>
  <c r="T422" i="1" s="1"/>
  <c r="P1317" i="1" l="1"/>
  <c r="T1317" i="1" s="1"/>
  <c r="N1318" i="1"/>
  <c r="N1074" i="1"/>
  <c r="P1073" i="1"/>
  <c r="T1073" i="1" s="1"/>
  <c r="P423" i="1"/>
  <c r="T423" i="1" s="1"/>
  <c r="N424" i="1"/>
  <c r="P1318" i="1" l="1"/>
  <c r="T1318" i="1" s="1"/>
  <c r="N1319" i="1"/>
  <c r="P1074" i="1"/>
  <c r="T1074" i="1" s="1"/>
  <c r="N1075" i="1"/>
  <c r="N425" i="1"/>
  <c r="P424" i="1"/>
  <c r="T424" i="1" s="1"/>
  <c r="N1320" i="1" l="1"/>
  <c r="P1319" i="1"/>
  <c r="T1319" i="1" s="1"/>
  <c r="N1076" i="1"/>
  <c r="N1079" i="1" s="1"/>
  <c r="P1079" i="1" s="1"/>
  <c r="T1079" i="1" s="1"/>
  <c r="P1075" i="1"/>
  <c r="T1075" i="1" s="1"/>
  <c r="P425" i="1"/>
  <c r="T425" i="1" s="1"/>
  <c r="N426" i="1"/>
  <c r="N1321" i="1" l="1"/>
  <c r="P1320" i="1"/>
  <c r="T1320" i="1" s="1"/>
  <c r="N1077" i="1"/>
  <c r="P1076" i="1"/>
  <c r="T1076" i="1" s="1"/>
  <c r="N427" i="1"/>
  <c r="P426" i="1"/>
  <c r="T426" i="1" s="1"/>
  <c r="P1321" i="1" l="1"/>
  <c r="T1321" i="1" s="1"/>
  <c r="N1322" i="1"/>
  <c r="N1078" i="1"/>
  <c r="P1077" i="1"/>
  <c r="T1077" i="1" s="1"/>
  <c r="P427" i="1"/>
  <c r="T427" i="1" s="1"/>
  <c r="N428" i="1"/>
  <c r="P1322" i="1" l="1"/>
  <c r="T1322" i="1" s="1"/>
  <c r="N1323" i="1"/>
  <c r="P1078" i="1"/>
  <c r="T1078" i="1" s="1"/>
  <c r="N429" i="1"/>
  <c r="P429" i="1" s="1"/>
  <c r="T429" i="1" s="1"/>
  <c r="P428" i="1"/>
  <c r="T428" i="1" s="1"/>
  <c r="P1323" i="1" l="1"/>
  <c r="T1323" i="1" s="1"/>
  <c r="N1082" i="1"/>
  <c r="P1081" i="1"/>
  <c r="T1081" i="1" s="1"/>
  <c r="N141" i="1"/>
  <c r="N142" i="1" s="1"/>
  <c r="P140" i="1"/>
  <c r="T140" i="1" s="1"/>
  <c r="P2" i="1"/>
  <c r="T2" i="1" s="1"/>
  <c r="N3" i="1"/>
  <c r="N4" i="1" s="1"/>
  <c r="N5" i="1" s="1"/>
  <c r="P5" i="1" s="1"/>
  <c r="T5" i="1" s="1"/>
  <c r="N1326" i="1" l="1"/>
  <c r="P1325" i="1"/>
  <c r="T1325" i="1" s="1"/>
  <c r="N1083" i="1"/>
  <c r="P1082" i="1"/>
  <c r="T1082" i="1" s="1"/>
  <c r="P142" i="1"/>
  <c r="T142" i="1" s="1"/>
  <c r="N143" i="1"/>
  <c r="P141" i="1"/>
  <c r="T141" i="1" s="1"/>
  <c r="P4" i="1"/>
  <c r="T4" i="1" s="1"/>
  <c r="P3" i="1"/>
  <c r="T3" i="1" s="1"/>
  <c r="N6" i="1"/>
  <c r="P6" i="1" s="1"/>
  <c r="T6" i="1" s="1"/>
  <c r="P1326" i="1" l="1"/>
  <c r="T1326" i="1" s="1"/>
  <c r="N1327" i="1"/>
  <c r="P1083" i="1"/>
  <c r="T1083" i="1" s="1"/>
  <c r="N1084" i="1"/>
  <c r="N144" i="1"/>
  <c r="P143" i="1"/>
  <c r="T143" i="1" s="1"/>
  <c r="N7" i="1"/>
  <c r="P7" i="1" s="1"/>
  <c r="T7" i="1" s="1"/>
  <c r="P1327" i="1" l="1"/>
  <c r="T1327" i="1" s="1"/>
  <c r="N1328" i="1"/>
  <c r="P1084" i="1"/>
  <c r="T1084" i="1" s="1"/>
  <c r="N1085" i="1"/>
  <c r="P144" i="1"/>
  <c r="T144" i="1" s="1"/>
  <c r="N145" i="1"/>
  <c r="N8" i="1"/>
  <c r="P8" i="1" s="1"/>
  <c r="T8" i="1" s="1"/>
  <c r="P1328" i="1" l="1"/>
  <c r="T1328" i="1" s="1"/>
  <c r="N1329" i="1"/>
  <c r="N1086" i="1"/>
  <c r="P1085" i="1"/>
  <c r="T1085" i="1" s="1"/>
  <c r="N146" i="1"/>
  <c r="P145" i="1"/>
  <c r="T145" i="1" s="1"/>
  <c r="N9" i="1"/>
  <c r="P9" i="1" s="1"/>
  <c r="T9" i="1" s="1"/>
  <c r="P1329" i="1" l="1"/>
  <c r="T1329" i="1" s="1"/>
  <c r="N1330" i="1"/>
  <c r="P1086" i="1"/>
  <c r="T1086" i="1" s="1"/>
  <c r="N1087" i="1"/>
  <c r="P146" i="1"/>
  <c r="T146" i="1" s="1"/>
  <c r="N147" i="1"/>
  <c r="N10" i="1"/>
  <c r="P10" i="1" s="1"/>
  <c r="T10" i="1" s="1"/>
  <c r="P1330" i="1" l="1"/>
  <c r="T1330" i="1" s="1"/>
  <c r="N1331" i="1"/>
  <c r="N1088" i="1"/>
  <c r="P1087" i="1"/>
  <c r="T1087" i="1" s="1"/>
  <c r="N148" i="1"/>
  <c r="P147" i="1"/>
  <c r="T147" i="1" s="1"/>
  <c r="N11" i="1"/>
  <c r="P11" i="1" s="1"/>
  <c r="T11" i="1" s="1"/>
  <c r="N1332" i="1" l="1"/>
  <c r="P1331" i="1"/>
  <c r="T1331" i="1" s="1"/>
  <c r="N1089" i="1"/>
  <c r="P1088" i="1"/>
  <c r="T1088" i="1" s="1"/>
  <c r="P148" i="1"/>
  <c r="T148" i="1" s="1"/>
  <c r="N149" i="1"/>
  <c r="N12" i="1"/>
  <c r="P12" i="1" s="1"/>
  <c r="T12" i="1" s="1"/>
  <c r="P1332" i="1" l="1"/>
  <c r="T1332" i="1" s="1"/>
  <c r="N1333" i="1"/>
  <c r="N1090" i="1"/>
  <c r="P1089" i="1"/>
  <c r="T1089" i="1" s="1"/>
  <c r="N150" i="1"/>
  <c r="P149" i="1"/>
  <c r="T149" i="1" s="1"/>
  <c r="N13" i="1"/>
  <c r="P13" i="1" s="1"/>
  <c r="T13" i="1" s="1"/>
  <c r="P1333" i="1" l="1"/>
  <c r="T1333" i="1" s="1"/>
  <c r="N1334" i="1"/>
  <c r="N1091" i="1"/>
  <c r="P1090" i="1"/>
  <c r="T1090" i="1" s="1"/>
  <c r="P150" i="1"/>
  <c r="T150" i="1" s="1"/>
  <c r="N151" i="1"/>
  <c r="N14" i="1"/>
  <c r="P14" i="1" s="1"/>
  <c r="T14" i="1" s="1"/>
  <c r="P1334" i="1" l="1"/>
  <c r="T1334" i="1" s="1"/>
  <c r="N1335" i="1"/>
  <c r="N1092" i="1"/>
  <c r="P1091" i="1"/>
  <c r="T1091" i="1" s="1"/>
  <c r="N152" i="1"/>
  <c r="P151" i="1"/>
  <c r="T151" i="1" s="1"/>
  <c r="N15" i="1"/>
  <c r="P15" i="1" s="1"/>
  <c r="T15" i="1" s="1"/>
  <c r="N1336" i="1" l="1"/>
  <c r="P1335" i="1"/>
  <c r="T1335" i="1" s="1"/>
  <c r="N1093" i="1"/>
  <c r="P1092" i="1"/>
  <c r="T1092" i="1" s="1"/>
  <c r="P152" i="1"/>
  <c r="T152" i="1" s="1"/>
  <c r="N153" i="1"/>
  <c r="N16" i="1"/>
  <c r="P16" i="1" s="1"/>
  <c r="T16" i="1" s="1"/>
  <c r="P1336" i="1" l="1"/>
  <c r="T1336" i="1" s="1"/>
  <c r="N1337" i="1"/>
  <c r="N1094" i="1"/>
  <c r="P1093" i="1"/>
  <c r="T1093" i="1" s="1"/>
  <c r="N154" i="1"/>
  <c r="P153" i="1"/>
  <c r="T153" i="1" s="1"/>
  <c r="N17" i="1"/>
  <c r="P17" i="1" s="1"/>
  <c r="T17" i="1" s="1"/>
  <c r="P1337" i="1" l="1"/>
  <c r="T1337" i="1" s="1"/>
  <c r="N1338" i="1"/>
  <c r="P1094" i="1"/>
  <c r="T1094" i="1" s="1"/>
  <c r="N1095" i="1"/>
  <c r="P154" i="1"/>
  <c r="T154" i="1" s="1"/>
  <c r="N155" i="1"/>
  <c r="N18" i="1"/>
  <c r="P18" i="1" s="1"/>
  <c r="T18" i="1" s="1"/>
  <c r="N1339" i="1" l="1"/>
  <c r="P1338" i="1"/>
  <c r="T1338" i="1" s="1"/>
  <c r="N1096" i="1"/>
  <c r="P1095" i="1"/>
  <c r="T1095" i="1" s="1"/>
  <c r="N156" i="1"/>
  <c r="P155" i="1"/>
  <c r="T155" i="1" s="1"/>
  <c r="N19" i="1"/>
  <c r="P19" i="1" s="1"/>
  <c r="T19" i="1" s="1"/>
  <c r="P1339" i="1" l="1"/>
  <c r="T1339" i="1" s="1"/>
  <c r="N1340" i="1"/>
  <c r="N1097" i="1"/>
  <c r="P1096" i="1"/>
  <c r="T1096" i="1" s="1"/>
  <c r="N157" i="1"/>
  <c r="P156" i="1"/>
  <c r="T156" i="1" s="1"/>
  <c r="N20" i="1"/>
  <c r="P20" i="1" s="1"/>
  <c r="T20" i="1" s="1"/>
  <c r="P1340" i="1" l="1"/>
  <c r="T1340" i="1" s="1"/>
  <c r="N1341" i="1"/>
  <c r="P1097" i="1"/>
  <c r="T1097" i="1" s="1"/>
  <c r="N1098" i="1"/>
  <c r="N158" i="1"/>
  <c r="P157" i="1"/>
  <c r="T157" i="1" s="1"/>
  <c r="N21" i="1"/>
  <c r="P21" i="1" s="1"/>
  <c r="T21" i="1" s="1"/>
  <c r="P1341" i="1" l="1"/>
  <c r="T1341" i="1" s="1"/>
  <c r="N1342" i="1"/>
  <c r="P1098" i="1"/>
  <c r="T1098" i="1" s="1"/>
  <c r="N1099" i="1"/>
  <c r="P158" i="1"/>
  <c r="T158" i="1" s="1"/>
  <c r="N159" i="1"/>
  <c r="N22" i="1"/>
  <c r="P22" i="1" s="1"/>
  <c r="T22" i="1" s="1"/>
  <c r="N1343" i="1" l="1"/>
  <c r="P1342" i="1"/>
  <c r="T1342" i="1" s="1"/>
  <c r="N1100" i="1"/>
  <c r="P1099" i="1"/>
  <c r="T1099" i="1" s="1"/>
  <c r="N160" i="1"/>
  <c r="P159" i="1"/>
  <c r="T159" i="1" s="1"/>
  <c r="N23" i="1"/>
  <c r="P23" i="1" s="1"/>
  <c r="T23" i="1" s="1"/>
  <c r="N1344" i="1" l="1"/>
  <c r="P1343" i="1"/>
  <c r="T1343" i="1" s="1"/>
  <c r="N1101" i="1"/>
  <c r="P1100" i="1"/>
  <c r="T1100" i="1" s="1"/>
  <c r="P160" i="1"/>
  <c r="T160" i="1" s="1"/>
  <c r="N161" i="1"/>
  <c r="N24" i="1"/>
  <c r="P1344" i="1" l="1"/>
  <c r="T1344" i="1" s="1"/>
  <c r="N1345" i="1"/>
  <c r="N1102" i="1"/>
  <c r="P1101" i="1"/>
  <c r="T1101" i="1" s="1"/>
  <c r="P161" i="1"/>
  <c r="T161" i="1" s="1"/>
  <c r="N162" i="1"/>
  <c r="N27" i="1"/>
  <c r="P27" i="1" s="1"/>
  <c r="T27" i="1" s="1"/>
  <c r="P24" i="1"/>
  <c r="T24" i="1" s="1"/>
  <c r="N25" i="1"/>
  <c r="P25" i="1" s="1"/>
  <c r="T25" i="1" s="1"/>
  <c r="N1346" i="1" l="1"/>
  <c r="P1345" i="1"/>
  <c r="T1345" i="1" s="1"/>
  <c r="N1103" i="1"/>
  <c r="P1102" i="1"/>
  <c r="T1102" i="1" s="1"/>
  <c r="N163" i="1"/>
  <c r="P162" i="1"/>
  <c r="T162" i="1" s="1"/>
  <c r="N26" i="1"/>
  <c r="P26" i="1" s="1"/>
  <c r="T26" i="1" s="1"/>
  <c r="P1346" i="1" l="1"/>
  <c r="T1346" i="1" s="1"/>
  <c r="N1347" i="1"/>
  <c r="N1350" i="1" s="1"/>
  <c r="P1350" i="1" s="1"/>
  <c r="T1350" i="1" s="1"/>
  <c r="N1104" i="1"/>
  <c r="P1103" i="1"/>
  <c r="T1103" i="1" s="1"/>
  <c r="P163" i="1"/>
  <c r="T163" i="1" s="1"/>
  <c r="N164" i="1"/>
  <c r="P29" i="1"/>
  <c r="T29" i="1" s="1"/>
  <c r="N30" i="1"/>
  <c r="P1347" i="1" l="1"/>
  <c r="T1347" i="1" s="1"/>
  <c r="N1348" i="1"/>
  <c r="P1104" i="1"/>
  <c r="T1104" i="1" s="1"/>
  <c r="N1105" i="1"/>
  <c r="P164" i="1"/>
  <c r="T164" i="1" s="1"/>
  <c r="N165" i="1"/>
  <c r="P165" i="1" s="1"/>
  <c r="T165" i="1" s="1"/>
  <c r="N31" i="1"/>
  <c r="P30" i="1"/>
  <c r="T30" i="1" s="1"/>
  <c r="P1348" i="1" l="1"/>
  <c r="T1348" i="1" s="1"/>
  <c r="N1349" i="1"/>
  <c r="P1105" i="1"/>
  <c r="T1105" i="1" s="1"/>
  <c r="N1106" i="1"/>
  <c r="P1106" i="1" s="1"/>
  <c r="T1106" i="1" s="1"/>
  <c r="P31" i="1"/>
  <c r="T31" i="1" s="1"/>
  <c r="N32" i="1"/>
  <c r="P1349" i="1" l="1"/>
  <c r="T1349" i="1" s="1"/>
  <c r="N33" i="1"/>
  <c r="P32" i="1"/>
  <c r="T32" i="1" s="1"/>
  <c r="P1352" i="1" l="1"/>
  <c r="T1352" i="1" s="1"/>
  <c r="N1353" i="1"/>
  <c r="P33" i="1"/>
  <c r="T33" i="1" s="1"/>
  <c r="N34" i="1"/>
  <c r="P1353" i="1" l="1"/>
  <c r="T1353" i="1" s="1"/>
  <c r="N1354" i="1"/>
  <c r="N35" i="1"/>
  <c r="P34" i="1"/>
  <c r="T34" i="1" s="1"/>
  <c r="N1355" i="1" l="1"/>
  <c r="P1354" i="1"/>
  <c r="T1354" i="1" s="1"/>
  <c r="P35" i="1"/>
  <c r="T35" i="1" s="1"/>
  <c r="N36" i="1"/>
  <c r="P1355" i="1" l="1"/>
  <c r="T1355" i="1" s="1"/>
  <c r="N1356" i="1"/>
  <c r="N37" i="1"/>
  <c r="P36" i="1"/>
  <c r="T36" i="1" s="1"/>
  <c r="P1356" i="1" l="1"/>
  <c r="T1356" i="1" s="1"/>
  <c r="N1357" i="1"/>
  <c r="P37" i="1"/>
  <c r="T37" i="1" s="1"/>
  <c r="N38" i="1"/>
  <c r="N1358" i="1" l="1"/>
  <c r="P1357" i="1"/>
  <c r="T1357" i="1" s="1"/>
  <c r="N39" i="1"/>
  <c r="P38" i="1"/>
  <c r="T38" i="1" s="1"/>
  <c r="P1358" i="1" l="1"/>
  <c r="T1358" i="1" s="1"/>
  <c r="N1359" i="1"/>
  <c r="P39" i="1"/>
  <c r="T39" i="1" s="1"/>
  <c r="N40" i="1"/>
  <c r="P1359" i="1" l="1"/>
  <c r="T1359" i="1" s="1"/>
  <c r="N1360" i="1"/>
  <c r="N41" i="1"/>
  <c r="P40" i="1"/>
  <c r="T40" i="1" s="1"/>
  <c r="P1360" i="1" l="1"/>
  <c r="T1360" i="1" s="1"/>
  <c r="N1361" i="1"/>
  <c r="P41" i="1"/>
  <c r="T41" i="1" s="1"/>
  <c r="N42" i="1"/>
  <c r="P1361" i="1" l="1"/>
  <c r="T1361" i="1" s="1"/>
  <c r="N1362" i="1"/>
  <c r="N43" i="1"/>
  <c r="P42" i="1"/>
  <c r="T42" i="1" s="1"/>
  <c r="N1363" i="1" l="1"/>
  <c r="P1362" i="1"/>
  <c r="T1362" i="1" s="1"/>
  <c r="P43" i="1"/>
  <c r="T43" i="1" s="1"/>
  <c r="N44" i="1"/>
  <c r="P1363" i="1" l="1"/>
  <c r="T1363" i="1" s="1"/>
  <c r="N1364" i="1"/>
  <c r="N45" i="1"/>
  <c r="P44" i="1"/>
  <c r="T44" i="1" s="1"/>
  <c r="P1364" i="1" l="1"/>
  <c r="T1364" i="1" s="1"/>
  <c r="N1365" i="1"/>
  <c r="P45" i="1"/>
  <c r="T45" i="1" s="1"/>
  <c r="N46" i="1"/>
  <c r="P1365" i="1" l="1"/>
  <c r="T1365" i="1" s="1"/>
  <c r="N1366" i="1"/>
  <c r="N47" i="1"/>
  <c r="P46" i="1"/>
  <c r="T46" i="1" s="1"/>
  <c r="N1367" i="1" l="1"/>
  <c r="P1366" i="1"/>
  <c r="T1366" i="1" s="1"/>
  <c r="P47" i="1"/>
  <c r="T47" i="1" s="1"/>
  <c r="N48" i="1"/>
  <c r="P1367" i="1" l="1"/>
  <c r="T1367" i="1" s="1"/>
  <c r="N1368" i="1"/>
  <c r="N49" i="1"/>
  <c r="P48" i="1"/>
  <c r="T48" i="1" s="1"/>
  <c r="P1368" i="1" l="1"/>
  <c r="T1368" i="1" s="1"/>
  <c r="N1369" i="1"/>
  <c r="P49" i="1"/>
  <c r="T49" i="1" s="1"/>
  <c r="N50" i="1"/>
  <c r="N1370" i="1" l="1"/>
  <c r="P1369" i="1"/>
  <c r="T1369" i="1" s="1"/>
  <c r="N51" i="1"/>
  <c r="N54" i="1" s="1"/>
  <c r="P54" i="1" s="1"/>
  <c r="T54" i="1" s="1"/>
  <c r="P50" i="1"/>
  <c r="T50" i="1" s="1"/>
  <c r="N1371" i="1" l="1"/>
  <c r="P1370" i="1"/>
  <c r="T1370" i="1" s="1"/>
  <c r="P51" i="1"/>
  <c r="T51" i="1" s="1"/>
  <c r="N52" i="1"/>
  <c r="P1371" i="1" l="1"/>
  <c r="T1371" i="1" s="1"/>
  <c r="N1372" i="1"/>
  <c r="N53" i="1"/>
  <c r="P52" i="1"/>
  <c r="T52" i="1" s="1"/>
  <c r="P1372" i="1" l="1"/>
  <c r="T1372" i="1" s="1"/>
  <c r="N1373" i="1"/>
  <c r="P53" i="1"/>
  <c r="T53" i="1" s="1"/>
  <c r="P1373" i="1" l="1"/>
  <c r="T1373" i="1" s="1"/>
  <c r="N1374" i="1"/>
  <c r="N1377" i="1" s="1"/>
  <c r="P1377" i="1" s="1"/>
  <c r="T1377" i="1" s="1"/>
  <c r="N57" i="1"/>
  <c r="P56" i="1"/>
  <c r="T56" i="1" s="1"/>
  <c r="P1374" i="1" l="1"/>
  <c r="T1374" i="1" s="1"/>
  <c r="N1375" i="1"/>
  <c r="P57" i="1"/>
  <c r="T57" i="1" s="1"/>
  <c r="N58" i="1"/>
  <c r="P1375" i="1" l="1"/>
  <c r="T1375" i="1" s="1"/>
  <c r="N1376" i="1"/>
  <c r="N59" i="1"/>
  <c r="P58" i="1"/>
  <c r="T58" i="1" s="1"/>
  <c r="P1376" i="1" l="1"/>
  <c r="T1376" i="1" s="1"/>
  <c r="P59" i="1"/>
  <c r="T59" i="1" s="1"/>
  <c r="N60" i="1"/>
  <c r="N1380" i="1" l="1"/>
  <c r="P1379" i="1"/>
  <c r="T1379" i="1" s="1"/>
  <c r="N61" i="1"/>
  <c r="P60" i="1"/>
  <c r="T60" i="1" s="1"/>
  <c r="P1380" i="1" l="1"/>
  <c r="T1380" i="1" s="1"/>
  <c r="N1381" i="1"/>
  <c r="P61" i="1"/>
  <c r="T61" i="1" s="1"/>
  <c r="N62" i="1"/>
  <c r="P1381" i="1" l="1"/>
  <c r="T1381" i="1" s="1"/>
  <c r="N1382" i="1"/>
  <c r="N63" i="1"/>
  <c r="P62" i="1"/>
  <c r="T62" i="1" s="1"/>
  <c r="P1382" i="1" l="1"/>
  <c r="T1382" i="1" s="1"/>
  <c r="N1383" i="1"/>
  <c r="P63" i="1"/>
  <c r="T63" i="1" s="1"/>
  <c r="N64" i="1"/>
  <c r="P1383" i="1" l="1"/>
  <c r="T1383" i="1" s="1"/>
  <c r="N1384" i="1"/>
  <c r="N65" i="1"/>
  <c r="P64" i="1"/>
  <c r="T64" i="1" s="1"/>
  <c r="N1385" i="1" l="1"/>
  <c r="P1384" i="1"/>
  <c r="T1384" i="1" s="1"/>
  <c r="P65" i="1"/>
  <c r="T65" i="1" s="1"/>
  <c r="N66" i="1"/>
  <c r="P1385" i="1" l="1"/>
  <c r="T1385" i="1" s="1"/>
  <c r="N1386" i="1"/>
  <c r="N67" i="1"/>
  <c r="P66" i="1"/>
  <c r="T66" i="1" s="1"/>
  <c r="N1387" i="1" l="1"/>
  <c r="P1386" i="1"/>
  <c r="T1386" i="1" s="1"/>
  <c r="P67" i="1"/>
  <c r="T67" i="1" s="1"/>
  <c r="N68" i="1"/>
  <c r="N1388" i="1" l="1"/>
  <c r="P1387" i="1"/>
  <c r="T1387" i="1" s="1"/>
  <c r="N69" i="1"/>
  <c r="P68" i="1"/>
  <c r="T68" i="1" s="1"/>
  <c r="N1389" i="1" l="1"/>
  <c r="P1388" i="1"/>
  <c r="T1388" i="1" s="1"/>
  <c r="P69" i="1"/>
  <c r="T69" i="1" s="1"/>
  <c r="N70" i="1"/>
  <c r="P1389" i="1" l="1"/>
  <c r="T1389" i="1" s="1"/>
  <c r="N1390" i="1"/>
  <c r="N71" i="1"/>
  <c r="P70" i="1"/>
  <c r="T70" i="1" s="1"/>
  <c r="N1391" i="1" l="1"/>
  <c r="P1390" i="1"/>
  <c r="T1390" i="1" s="1"/>
  <c r="P71" i="1"/>
  <c r="T71" i="1" s="1"/>
  <c r="N72" i="1"/>
  <c r="P1391" i="1" l="1"/>
  <c r="T1391" i="1" s="1"/>
  <c r="N1392" i="1"/>
  <c r="N73" i="1"/>
  <c r="P72" i="1"/>
  <c r="T72" i="1" s="1"/>
  <c r="N1393" i="1" l="1"/>
  <c r="P1392" i="1"/>
  <c r="T1392" i="1" s="1"/>
  <c r="P73" i="1"/>
  <c r="T73" i="1" s="1"/>
  <c r="N74" i="1"/>
  <c r="P1393" i="1" l="1"/>
  <c r="T1393" i="1" s="1"/>
  <c r="N1394" i="1"/>
  <c r="N75" i="1"/>
  <c r="P74" i="1"/>
  <c r="T74" i="1" s="1"/>
  <c r="P1394" i="1" l="1"/>
  <c r="T1394" i="1" s="1"/>
  <c r="N1395" i="1"/>
  <c r="P75" i="1"/>
  <c r="T75" i="1" s="1"/>
  <c r="N76" i="1"/>
  <c r="N1396" i="1" l="1"/>
  <c r="P1395" i="1"/>
  <c r="T1395" i="1" s="1"/>
  <c r="N77" i="1"/>
  <c r="P76" i="1"/>
  <c r="T76" i="1" s="1"/>
  <c r="N1397" i="1" l="1"/>
  <c r="P1396" i="1"/>
  <c r="T1396" i="1" s="1"/>
  <c r="P77" i="1"/>
  <c r="T77" i="1" s="1"/>
  <c r="N78" i="1"/>
  <c r="N81" i="1" s="1"/>
  <c r="P81" i="1" s="1"/>
  <c r="T81" i="1" s="1"/>
  <c r="N1398" i="1" l="1"/>
  <c r="P1397" i="1"/>
  <c r="T1397" i="1" s="1"/>
  <c r="N79" i="1"/>
  <c r="P78" i="1"/>
  <c r="T78" i="1" s="1"/>
  <c r="P1398" i="1" l="1"/>
  <c r="T1398" i="1" s="1"/>
  <c r="N1399" i="1"/>
  <c r="P79" i="1"/>
  <c r="T79" i="1" s="1"/>
  <c r="N80" i="1"/>
  <c r="N1400" i="1" l="1"/>
  <c r="P1399" i="1"/>
  <c r="T1399" i="1" s="1"/>
  <c r="P80" i="1"/>
  <c r="T80" i="1" s="1"/>
  <c r="P1400" i="1" l="1"/>
  <c r="T1400" i="1" s="1"/>
  <c r="N1401" i="1"/>
  <c r="N1404" i="1" s="1"/>
  <c r="P1404" i="1" s="1"/>
  <c r="T1404" i="1" s="1"/>
  <c r="P83" i="1"/>
  <c r="T83" i="1" s="1"/>
  <c r="N84" i="1"/>
  <c r="N1402" i="1" l="1"/>
  <c r="P1401" i="1"/>
  <c r="T1401" i="1" s="1"/>
  <c r="N85" i="1"/>
  <c r="P84" i="1"/>
  <c r="T84" i="1" s="1"/>
  <c r="N1403" i="1" l="1"/>
  <c r="P1402" i="1"/>
  <c r="T1402" i="1" s="1"/>
  <c r="P85" i="1"/>
  <c r="T85" i="1" s="1"/>
  <c r="N86" i="1"/>
  <c r="P1403" i="1" l="1"/>
  <c r="T1403" i="1" s="1"/>
  <c r="N87" i="1"/>
  <c r="P86" i="1"/>
  <c r="T86" i="1" s="1"/>
  <c r="P1406" i="1" l="1"/>
  <c r="T1406" i="1" s="1"/>
  <c r="N1407" i="1"/>
  <c r="P87" i="1"/>
  <c r="T87" i="1" s="1"/>
  <c r="N88" i="1"/>
  <c r="N1408" i="1" l="1"/>
  <c r="P1407" i="1"/>
  <c r="T1407" i="1" s="1"/>
  <c r="N89" i="1"/>
  <c r="P88" i="1"/>
  <c r="T88" i="1" s="1"/>
  <c r="P1408" i="1" l="1"/>
  <c r="T1408" i="1" s="1"/>
  <c r="N1409" i="1"/>
  <c r="P89" i="1"/>
  <c r="T89" i="1" s="1"/>
  <c r="N90" i="1"/>
  <c r="N1410" i="1" l="1"/>
  <c r="P1409" i="1"/>
  <c r="T1409" i="1" s="1"/>
  <c r="N91" i="1"/>
  <c r="P90" i="1"/>
  <c r="T90" i="1" s="1"/>
  <c r="P1410" i="1" l="1"/>
  <c r="T1410" i="1" s="1"/>
  <c r="N1411" i="1"/>
  <c r="P91" i="1"/>
  <c r="T91" i="1" s="1"/>
  <c r="N92" i="1"/>
  <c r="N1412" i="1" l="1"/>
  <c r="P1411" i="1"/>
  <c r="T1411" i="1" s="1"/>
  <c r="N93" i="1"/>
  <c r="P92" i="1"/>
  <c r="T92" i="1" s="1"/>
  <c r="P1412" i="1" l="1"/>
  <c r="T1412" i="1" s="1"/>
  <c r="N1413" i="1"/>
  <c r="P93" i="1"/>
  <c r="T93" i="1" s="1"/>
  <c r="N94" i="1"/>
  <c r="N1414" i="1" l="1"/>
  <c r="P1413" i="1"/>
  <c r="T1413" i="1" s="1"/>
  <c r="N95" i="1"/>
  <c r="P94" i="1"/>
  <c r="T94" i="1" s="1"/>
  <c r="P1414" i="1" l="1"/>
  <c r="T1414" i="1" s="1"/>
  <c r="N1415" i="1"/>
  <c r="P95" i="1"/>
  <c r="T95" i="1" s="1"/>
  <c r="N96" i="1"/>
  <c r="N1416" i="1" l="1"/>
  <c r="P1415" i="1"/>
  <c r="T1415" i="1" s="1"/>
  <c r="N97" i="1"/>
  <c r="P96" i="1"/>
  <c r="T96" i="1" s="1"/>
  <c r="P1416" i="1" l="1"/>
  <c r="T1416" i="1" s="1"/>
  <c r="N1417" i="1"/>
  <c r="P97" i="1"/>
  <c r="T97" i="1" s="1"/>
  <c r="N98" i="1"/>
  <c r="N1418" i="1" l="1"/>
  <c r="P1417" i="1"/>
  <c r="T1417" i="1" s="1"/>
  <c r="N99" i="1"/>
  <c r="P98" i="1"/>
  <c r="T98" i="1" s="1"/>
  <c r="P1418" i="1" l="1"/>
  <c r="T1418" i="1" s="1"/>
  <c r="N1419" i="1"/>
  <c r="P99" i="1"/>
  <c r="T99" i="1" s="1"/>
  <c r="N100" i="1"/>
  <c r="N1420" i="1" l="1"/>
  <c r="P1419" i="1"/>
  <c r="T1419" i="1" s="1"/>
  <c r="N101" i="1"/>
  <c r="P100" i="1"/>
  <c r="T100" i="1" s="1"/>
  <c r="P1420" i="1" l="1"/>
  <c r="T1420" i="1" s="1"/>
  <c r="N1421" i="1"/>
  <c r="P101" i="1"/>
  <c r="T101" i="1" s="1"/>
  <c r="N102" i="1"/>
  <c r="N1422" i="1" l="1"/>
  <c r="P1421" i="1"/>
  <c r="T1421" i="1" s="1"/>
  <c r="N103" i="1"/>
  <c r="P102" i="1"/>
  <c r="T102" i="1" s="1"/>
  <c r="P1422" i="1" l="1"/>
  <c r="T1422" i="1" s="1"/>
  <c r="N1423" i="1"/>
  <c r="P103" i="1"/>
  <c r="T103" i="1" s="1"/>
  <c r="N104" i="1"/>
  <c r="N1424" i="1" l="1"/>
  <c r="P1423" i="1"/>
  <c r="T1423" i="1" s="1"/>
  <c r="N105" i="1"/>
  <c r="N108" i="1" s="1"/>
  <c r="P108" i="1" s="1"/>
  <c r="T108" i="1" s="1"/>
  <c r="P104" i="1"/>
  <c r="T104" i="1" s="1"/>
  <c r="P1424" i="1" l="1"/>
  <c r="T1424" i="1" s="1"/>
  <c r="N1425" i="1"/>
  <c r="P105" i="1"/>
  <c r="T105" i="1" s="1"/>
  <c r="N106" i="1"/>
  <c r="N1426" i="1" l="1"/>
  <c r="P1425" i="1"/>
  <c r="T1425" i="1" s="1"/>
  <c r="N107" i="1"/>
  <c r="P106" i="1"/>
  <c r="T106" i="1" s="1"/>
  <c r="P1426" i="1" l="1"/>
  <c r="T1426" i="1" s="1"/>
  <c r="N1427" i="1"/>
  <c r="P107" i="1"/>
  <c r="T107" i="1" s="1"/>
  <c r="N1428" i="1" l="1"/>
  <c r="P1427" i="1"/>
  <c r="T1427" i="1" s="1"/>
  <c r="N111" i="1"/>
  <c r="P110" i="1"/>
  <c r="T110" i="1" s="1"/>
  <c r="P1428" i="1" l="1"/>
  <c r="T1428" i="1" s="1"/>
  <c r="N1429" i="1"/>
  <c r="P111" i="1"/>
  <c r="T111" i="1" s="1"/>
  <c r="N112" i="1"/>
  <c r="N1430" i="1" l="1"/>
  <c r="P1429" i="1"/>
  <c r="T1429" i="1" s="1"/>
  <c r="N113" i="1"/>
  <c r="P112" i="1"/>
  <c r="T112" i="1" s="1"/>
  <c r="P1430" i="1" l="1"/>
  <c r="T1430" i="1" s="1"/>
  <c r="N1431" i="1"/>
  <c r="P113" i="1"/>
  <c r="T113" i="1" s="1"/>
  <c r="N114" i="1"/>
  <c r="N1432" i="1" l="1"/>
  <c r="P1431" i="1"/>
  <c r="T1431" i="1" s="1"/>
  <c r="N115" i="1"/>
  <c r="P114" i="1"/>
  <c r="T114" i="1" s="1"/>
  <c r="P1432" i="1" l="1"/>
  <c r="T1432" i="1" s="1"/>
  <c r="P115" i="1"/>
  <c r="T115" i="1" s="1"/>
  <c r="N116" i="1"/>
  <c r="N1435" i="1" l="1"/>
  <c r="P1434" i="1"/>
  <c r="T1434" i="1" s="1"/>
  <c r="N117" i="1"/>
  <c r="P116" i="1"/>
  <c r="T116" i="1" s="1"/>
  <c r="P1435" i="1" l="1"/>
  <c r="T1435" i="1" s="1"/>
  <c r="N1436" i="1"/>
  <c r="P117" i="1"/>
  <c r="T117" i="1" s="1"/>
  <c r="N118" i="1"/>
  <c r="N1437" i="1" l="1"/>
  <c r="P1436" i="1"/>
  <c r="T1436" i="1" s="1"/>
  <c r="N119" i="1"/>
  <c r="P118" i="1"/>
  <c r="T118" i="1" s="1"/>
  <c r="P1437" i="1" l="1"/>
  <c r="T1437" i="1" s="1"/>
  <c r="N1438" i="1"/>
  <c r="P119" i="1"/>
  <c r="T119" i="1" s="1"/>
  <c r="N120" i="1"/>
  <c r="N1439" i="1" l="1"/>
  <c r="P1438" i="1"/>
  <c r="T1438" i="1" s="1"/>
  <c r="N121" i="1"/>
  <c r="P120" i="1"/>
  <c r="T120" i="1" s="1"/>
  <c r="P1439" i="1" l="1"/>
  <c r="T1439" i="1" s="1"/>
  <c r="N1440" i="1"/>
  <c r="P121" i="1"/>
  <c r="T121" i="1" s="1"/>
  <c r="N122" i="1"/>
  <c r="N1441" i="1" l="1"/>
  <c r="P1440" i="1"/>
  <c r="T1440" i="1" s="1"/>
  <c r="N123" i="1"/>
  <c r="P122" i="1"/>
  <c r="T122" i="1" s="1"/>
  <c r="P1441" i="1" l="1"/>
  <c r="T1441" i="1" s="1"/>
  <c r="N1442" i="1"/>
  <c r="P123" i="1"/>
  <c r="T123" i="1" s="1"/>
  <c r="N124" i="1"/>
  <c r="N1443" i="1" l="1"/>
  <c r="P1442" i="1"/>
  <c r="T1442" i="1" s="1"/>
  <c r="N125" i="1"/>
  <c r="P124" i="1"/>
  <c r="T124" i="1" s="1"/>
  <c r="P1443" i="1" l="1"/>
  <c r="T1443" i="1" s="1"/>
  <c r="N1444" i="1"/>
  <c r="P125" i="1"/>
  <c r="T125" i="1" s="1"/>
  <c r="N126" i="1"/>
  <c r="N1445" i="1" l="1"/>
  <c r="P1444" i="1"/>
  <c r="T1444" i="1" s="1"/>
  <c r="N127" i="1"/>
  <c r="P126" i="1"/>
  <c r="T126" i="1" s="1"/>
  <c r="P1445" i="1" l="1"/>
  <c r="T1445" i="1" s="1"/>
  <c r="N1446" i="1"/>
  <c r="P127" i="1"/>
  <c r="T127" i="1" s="1"/>
  <c r="N128" i="1"/>
  <c r="N1447" i="1" l="1"/>
  <c r="P1446" i="1"/>
  <c r="T1446" i="1" s="1"/>
  <c r="N129" i="1"/>
  <c r="P128" i="1"/>
  <c r="T128" i="1" s="1"/>
  <c r="P1447" i="1" l="1"/>
  <c r="T1447" i="1" s="1"/>
  <c r="N1448" i="1"/>
  <c r="P129" i="1"/>
  <c r="T129" i="1" s="1"/>
  <c r="N130" i="1"/>
  <c r="N1449" i="1" l="1"/>
  <c r="P1448" i="1"/>
  <c r="T1448" i="1" s="1"/>
  <c r="N131" i="1"/>
  <c r="P130" i="1"/>
  <c r="T130" i="1" s="1"/>
  <c r="P1449" i="1" l="1"/>
  <c r="T1449" i="1" s="1"/>
  <c r="N1450" i="1"/>
  <c r="P131" i="1"/>
  <c r="T131" i="1" s="1"/>
  <c r="N132" i="1"/>
  <c r="N1451" i="1" l="1"/>
  <c r="P1450" i="1"/>
  <c r="T1450" i="1" s="1"/>
  <c r="N133" i="1"/>
  <c r="P132" i="1"/>
  <c r="T132" i="1" s="1"/>
  <c r="P1451" i="1" l="1"/>
  <c r="T1451" i="1" s="1"/>
  <c r="N1452" i="1"/>
  <c r="P133" i="1"/>
  <c r="T133" i="1" s="1"/>
  <c r="N134" i="1"/>
  <c r="N1453" i="1" l="1"/>
  <c r="P1452" i="1"/>
  <c r="T1452" i="1" s="1"/>
  <c r="N135" i="1"/>
  <c r="P134" i="1"/>
  <c r="T134" i="1" s="1"/>
  <c r="P1453" i="1" l="1"/>
  <c r="T1453" i="1" s="1"/>
  <c r="N1454" i="1"/>
  <c r="P135" i="1"/>
  <c r="T135" i="1" s="1"/>
  <c r="N136" i="1"/>
  <c r="N1455" i="1" l="1"/>
  <c r="P1454" i="1"/>
  <c r="T1454" i="1" s="1"/>
  <c r="N137" i="1"/>
  <c r="P136" i="1"/>
  <c r="T136" i="1" s="1"/>
  <c r="P1455" i="1" l="1"/>
  <c r="T1455" i="1" s="1"/>
  <c r="N1456" i="1"/>
  <c r="N1459" i="1" s="1"/>
  <c r="P1459" i="1" s="1"/>
  <c r="T1459" i="1" s="1"/>
  <c r="P137" i="1"/>
  <c r="T137" i="1" s="1"/>
  <c r="N138" i="1"/>
  <c r="P138" i="1" s="1"/>
  <c r="T138" i="1" s="1"/>
  <c r="P1456" i="1" l="1"/>
  <c r="T1456" i="1" s="1"/>
  <c r="N1457" i="1"/>
  <c r="P1457" i="1" l="1"/>
  <c r="T1457" i="1" s="1"/>
  <c r="N1458" i="1"/>
  <c r="P1458" i="1" l="1"/>
  <c r="T1458" i="1" s="1"/>
  <c r="P1461" i="1" l="1"/>
  <c r="T1461" i="1" s="1"/>
  <c r="N1462" i="1"/>
  <c r="N1463" i="1" l="1"/>
  <c r="P1462" i="1"/>
  <c r="T1462" i="1" s="1"/>
  <c r="P1463" i="1" l="1"/>
  <c r="T1463" i="1" s="1"/>
  <c r="N1464" i="1"/>
  <c r="P1464" i="1" l="1"/>
  <c r="T1464" i="1" s="1"/>
  <c r="N1465" i="1"/>
  <c r="P1465" i="1" l="1"/>
  <c r="T1465" i="1" s="1"/>
  <c r="N1466" i="1"/>
  <c r="P1466" i="1" l="1"/>
  <c r="T1466" i="1" s="1"/>
  <c r="N1467" i="1"/>
  <c r="P1467" i="1" l="1"/>
  <c r="T1467" i="1" s="1"/>
  <c r="N1468" i="1"/>
  <c r="N1469" i="1" l="1"/>
  <c r="P1468" i="1"/>
  <c r="T1468" i="1" s="1"/>
  <c r="P1469" i="1" l="1"/>
  <c r="T1469" i="1" s="1"/>
  <c r="N1470" i="1"/>
  <c r="P1470" i="1" l="1"/>
  <c r="T1470" i="1" s="1"/>
  <c r="N1471" i="1"/>
  <c r="P1471" i="1" l="1"/>
  <c r="T1471" i="1" s="1"/>
  <c r="N1472" i="1"/>
  <c r="P1472" i="1" l="1"/>
  <c r="T1472" i="1" s="1"/>
  <c r="N1473" i="1"/>
  <c r="P1473" i="1" l="1"/>
  <c r="T1473" i="1" s="1"/>
  <c r="N1474" i="1"/>
  <c r="P1474" i="1" l="1"/>
  <c r="T1474" i="1" s="1"/>
  <c r="N1475" i="1"/>
  <c r="P1475" i="1" l="1"/>
  <c r="T1475" i="1" s="1"/>
  <c r="N1476" i="1"/>
  <c r="P1476" i="1" l="1"/>
  <c r="T1476" i="1" s="1"/>
  <c r="N1477" i="1"/>
  <c r="P1477" i="1" l="1"/>
  <c r="T1477" i="1" s="1"/>
  <c r="N1478" i="1"/>
  <c r="N1479" i="1" l="1"/>
  <c r="P1478" i="1"/>
  <c r="T1478" i="1" s="1"/>
  <c r="P1479" i="1" l="1"/>
  <c r="T1479" i="1" s="1"/>
  <c r="N1480" i="1"/>
  <c r="P1480" i="1" l="1"/>
  <c r="T1480" i="1" s="1"/>
  <c r="N1481" i="1"/>
  <c r="P1481" i="1" l="1"/>
  <c r="T1481" i="1" s="1"/>
  <c r="N1482" i="1"/>
  <c r="P1482" i="1" l="1"/>
  <c r="T1482" i="1" s="1"/>
  <c r="N1483" i="1"/>
  <c r="P1483" i="1" l="1"/>
  <c r="T1483" i="1" s="1"/>
  <c r="N1484" i="1"/>
  <c r="N1485" i="1" l="1"/>
  <c r="P1484" i="1"/>
  <c r="T1484" i="1" s="1"/>
  <c r="P1485" i="1" l="1"/>
  <c r="T1485" i="1" s="1"/>
  <c r="N1486" i="1"/>
  <c r="P1486" i="1" l="1"/>
  <c r="T1486" i="1" s="1"/>
  <c r="P1488" i="1" l="1"/>
  <c r="T1488" i="1" s="1"/>
  <c r="N1489" i="1"/>
  <c r="P1489" i="1" l="1"/>
  <c r="T1489" i="1" s="1"/>
  <c r="N1490" i="1"/>
  <c r="P1490" i="1" l="1"/>
  <c r="T1490" i="1" s="1"/>
  <c r="N1491" i="1"/>
  <c r="N1492" i="1" l="1"/>
  <c r="P1491" i="1"/>
  <c r="T1491" i="1" s="1"/>
  <c r="P1492" i="1" l="1"/>
  <c r="T1492" i="1" s="1"/>
  <c r="N1493" i="1"/>
  <c r="P1493" i="1" l="1"/>
  <c r="T1493" i="1" s="1"/>
  <c r="N1494" i="1"/>
  <c r="P1494" i="1" l="1"/>
  <c r="T1494" i="1" s="1"/>
  <c r="N1495" i="1"/>
  <c r="P1495" i="1" l="1"/>
  <c r="T1495" i="1" s="1"/>
  <c r="N1496" i="1"/>
  <c r="P1496" i="1" l="1"/>
  <c r="T1496" i="1" s="1"/>
  <c r="N1497" i="1"/>
  <c r="P1497" i="1" l="1"/>
  <c r="T1497" i="1" s="1"/>
  <c r="N1498" i="1"/>
  <c r="P1498" i="1" l="1"/>
  <c r="T1498" i="1" s="1"/>
  <c r="N1499" i="1"/>
  <c r="N1500" i="1" l="1"/>
  <c r="P1499" i="1"/>
  <c r="T1499" i="1" s="1"/>
  <c r="P1500" i="1" l="1"/>
  <c r="T1500" i="1" s="1"/>
  <c r="N1501" i="1"/>
  <c r="P1501" i="1" l="1"/>
  <c r="T1501" i="1" s="1"/>
  <c r="N1502" i="1"/>
  <c r="P1502" i="1" l="1"/>
  <c r="T1502" i="1" s="1"/>
  <c r="N1503" i="1"/>
  <c r="P1503" i="1" l="1"/>
  <c r="T1503" i="1" s="1"/>
  <c r="N1504" i="1"/>
  <c r="P1504" i="1" l="1"/>
  <c r="T1504" i="1" s="1"/>
  <c r="N1505" i="1"/>
  <c r="P1505" i="1" l="1"/>
  <c r="T1505" i="1" s="1"/>
  <c r="N1506" i="1"/>
  <c r="P1506" i="1" l="1"/>
  <c r="T1506" i="1" s="1"/>
  <c r="N1507" i="1"/>
  <c r="N1508" i="1" l="1"/>
  <c r="P1507" i="1"/>
  <c r="T1507" i="1" s="1"/>
  <c r="P1508" i="1" l="1"/>
  <c r="T1508" i="1" s="1"/>
  <c r="N1509" i="1"/>
  <c r="P1509" i="1" l="1"/>
  <c r="T1509" i="1" s="1"/>
  <c r="N1510" i="1"/>
  <c r="P1510" i="1" l="1"/>
  <c r="T1510" i="1" s="1"/>
  <c r="N1511" i="1"/>
  <c r="P1511" i="1" l="1"/>
  <c r="T1511" i="1" s="1"/>
  <c r="N1512" i="1"/>
  <c r="P1512" i="1" l="1"/>
  <c r="T1512" i="1" s="1"/>
  <c r="N1513" i="1"/>
  <c r="P1513" i="1" l="1"/>
  <c r="T1513" i="1" s="1"/>
  <c r="P1516" i="1" l="1"/>
  <c r="T1516" i="1" s="1"/>
  <c r="P1517" i="1" l="1"/>
  <c r="T1517" i="1" s="1"/>
  <c r="P1518" i="1" l="1"/>
  <c r="T1518" i="1" s="1"/>
  <c r="P1519" i="1" l="1"/>
  <c r="T1519" i="1" s="1"/>
  <c r="P1520" i="1" l="1"/>
  <c r="T1520" i="1" s="1"/>
  <c r="P1521" i="1" l="1"/>
  <c r="T1521" i="1" s="1"/>
  <c r="P1522" i="1" l="1"/>
  <c r="T1522" i="1" s="1"/>
  <c r="P1523" i="1" l="1"/>
  <c r="T1523" i="1" s="1"/>
  <c r="P1524" i="1" l="1"/>
  <c r="T1524" i="1" s="1"/>
  <c r="P1525" i="1" l="1"/>
  <c r="T1525" i="1" s="1"/>
  <c r="P1526" i="1" l="1"/>
  <c r="T1526" i="1" s="1"/>
  <c r="P1527" i="1" l="1"/>
  <c r="T1527" i="1" s="1"/>
  <c r="P1528" i="1" l="1"/>
  <c r="T1528" i="1" s="1"/>
  <c r="P1529" i="1" l="1"/>
  <c r="T1529" i="1" s="1"/>
  <c r="P1530" i="1" l="1"/>
  <c r="T1530" i="1" s="1"/>
  <c r="P1531" i="1" l="1"/>
  <c r="T1531" i="1" s="1"/>
  <c r="P1532" i="1" l="1"/>
  <c r="T1532" i="1" s="1"/>
  <c r="P1533" i="1" l="1"/>
  <c r="T1533" i="1" s="1"/>
  <c r="P1534" i="1" l="1"/>
  <c r="T1534" i="1" s="1"/>
  <c r="P1535" i="1" l="1"/>
  <c r="T1535" i="1" s="1"/>
  <c r="P1536" i="1" l="1"/>
  <c r="T1536" i="1" s="1"/>
  <c r="P1537" i="1" l="1"/>
  <c r="T1537" i="1" s="1"/>
  <c r="P1538" i="1" l="1"/>
  <c r="T1538" i="1" s="1"/>
  <c r="P1539" i="1" l="1"/>
  <c r="T1539" i="1" s="1"/>
  <c r="P1540" i="1" l="1"/>
  <c r="T1540" i="1" s="1"/>
  <c r="P1543" i="1" l="1"/>
  <c r="T1543" i="1" s="1"/>
  <c r="P1544" i="1" l="1"/>
  <c r="T1544" i="1" s="1"/>
  <c r="P1545" i="1" l="1"/>
  <c r="T1545" i="1" s="1"/>
  <c r="P1546" i="1" l="1"/>
  <c r="T1546" i="1" s="1"/>
  <c r="P1547" i="1" l="1"/>
  <c r="T1547" i="1" s="1"/>
  <c r="P1548" i="1" l="1"/>
  <c r="T1548" i="1" s="1"/>
  <c r="P1549" i="1" l="1"/>
  <c r="T1549" i="1" s="1"/>
  <c r="P1550" i="1" l="1"/>
  <c r="T1550" i="1" s="1"/>
  <c r="P1551" i="1" l="1"/>
  <c r="T1551" i="1" s="1"/>
  <c r="P1552" i="1" l="1"/>
  <c r="T1552" i="1" s="1"/>
  <c r="P1553" i="1" l="1"/>
  <c r="T1553" i="1" s="1"/>
  <c r="P1554" i="1" l="1"/>
  <c r="T1554" i="1" s="1"/>
  <c r="P1555" i="1" l="1"/>
  <c r="T1555" i="1" s="1"/>
  <c r="P1556" i="1" l="1"/>
  <c r="T1556" i="1" s="1"/>
  <c r="P1557" i="1" l="1"/>
  <c r="T1557" i="1" s="1"/>
  <c r="P1558" i="1" l="1"/>
  <c r="T1558" i="1" s="1"/>
  <c r="P1559" i="1" l="1"/>
  <c r="T1559" i="1" s="1"/>
  <c r="P1560" i="1" l="1"/>
  <c r="T1560" i="1" s="1"/>
  <c r="P1561" i="1" l="1"/>
  <c r="T1561" i="1" s="1"/>
  <c r="P1562" i="1" l="1"/>
  <c r="T1562" i="1" s="1"/>
  <c r="P1563" i="1" l="1"/>
  <c r="T1563" i="1" s="1"/>
  <c r="P1564" i="1" l="1"/>
  <c r="T1564" i="1" s="1"/>
  <c r="P1565" i="1" l="1"/>
  <c r="T1565" i="1" s="1"/>
  <c r="P1566" i="1" l="1"/>
  <c r="T1566" i="1" s="1"/>
  <c r="P1569" i="1" l="1"/>
  <c r="T1569" i="1" s="1"/>
  <c r="P1570" i="1" l="1"/>
  <c r="T1570" i="1" s="1"/>
  <c r="P1571" i="1" l="1"/>
  <c r="T1571" i="1" s="1"/>
  <c r="P1572" i="1" l="1"/>
  <c r="T1572" i="1" s="1"/>
  <c r="P1573" i="1" l="1"/>
  <c r="T1573" i="1" s="1"/>
  <c r="P1574" i="1" l="1"/>
  <c r="T1574" i="1" s="1"/>
  <c r="P1575" i="1" l="1"/>
  <c r="T1575" i="1" s="1"/>
  <c r="P1576" i="1" l="1"/>
  <c r="T1576" i="1" s="1"/>
  <c r="P1577" i="1" l="1"/>
  <c r="T1577" i="1" s="1"/>
  <c r="P1578" i="1" l="1"/>
  <c r="T1578" i="1" s="1"/>
  <c r="P1579" i="1" l="1"/>
  <c r="T1579" i="1" s="1"/>
  <c r="P1580" i="1" l="1"/>
  <c r="T1580" i="1" s="1"/>
  <c r="P1581" i="1" l="1"/>
  <c r="T1581" i="1" s="1"/>
  <c r="P1582" i="1" l="1"/>
  <c r="T1582" i="1" s="1"/>
  <c r="P1583" i="1" l="1"/>
  <c r="T1583" i="1" s="1"/>
  <c r="P1584" i="1" l="1"/>
  <c r="T1584" i="1" s="1"/>
  <c r="P1585" i="1" l="1"/>
  <c r="T1585" i="1" s="1"/>
  <c r="P1586" i="1" l="1"/>
  <c r="T1586" i="1" s="1"/>
  <c r="P1587" i="1" l="1"/>
  <c r="T1587" i="1" s="1"/>
  <c r="P1588" i="1" l="1"/>
  <c r="T1588" i="1" s="1"/>
  <c r="P1589" i="1" l="1"/>
  <c r="T1589" i="1" s="1"/>
  <c r="P1590" i="1" l="1"/>
  <c r="T1590" i="1" s="1"/>
  <c r="P1591" i="1" l="1"/>
  <c r="T1591" i="1" s="1"/>
  <c r="P1592" i="1" l="1"/>
  <c r="T1592" i="1" s="1"/>
  <c r="P1593" i="1" l="1"/>
  <c r="T1593" i="1" s="1"/>
  <c r="P1594" i="1" l="1"/>
  <c r="T1594" i="1" s="1"/>
  <c r="P1596" i="1" l="1"/>
  <c r="T1596" i="1" s="1"/>
  <c r="P1597" i="1" l="1"/>
  <c r="T1597" i="1" s="1"/>
  <c r="P1598" i="1" l="1"/>
  <c r="T1598" i="1" s="1"/>
  <c r="P1599" i="1" l="1"/>
  <c r="T1599" i="1" s="1"/>
  <c r="P1600" i="1" l="1"/>
  <c r="T1600" i="1" s="1"/>
  <c r="P1601" i="1" l="1"/>
  <c r="T1601" i="1" s="1"/>
  <c r="P1602" i="1" l="1"/>
  <c r="T1602" i="1" s="1"/>
  <c r="P1603" i="1" l="1"/>
  <c r="T1603" i="1" s="1"/>
  <c r="P1604" i="1" l="1"/>
  <c r="T1604" i="1" s="1"/>
  <c r="P1605" i="1" l="1"/>
  <c r="T1605" i="1" s="1"/>
  <c r="P1606" i="1" l="1"/>
  <c r="T1606" i="1" s="1"/>
  <c r="P1607" i="1" l="1"/>
  <c r="T1607" i="1" s="1"/>
  <c r="P1608" i="1" l="1"/>
  <c r="T1608" i="1" s="1"/>
  <c r="P1609" i="1" l="1"/>
  <c r="T1609" i="1" s="1"/>
  <c r="P1610" i="1" l="1"/>
  <c r="T1610" i="1" s="1"/>
  <c r="P1611" i="1" l="1"/>
  <c r="T1611" i="1" s="1"/>
  <c r="P1612" i="1" l="1"/>
  <c r="T1612" i="1" s="1"/>
  <c r="P1613" i="1" l="1"/>
  <c r="T1613" i="1" s="1"/>
  <c r="P1614" i="1" l="1"/>
  <c r="T1614" i="1" s="1"/>
  <c r="P1615" i="1" l="1"/>
  <c r="T1615" i="1" s="1"/>
  <c r="P1616" i="1" l="1"/>
  <c r="T1616" i="1" s="1"/>
  <c r="P1617" i="1" l="1"/>
  <c r="T1617" i="1" s="1"/>
  <c r="P1618" i="1" l="1"/>
  <c r="T1618" i="1" s="1"/>
  <c r="P1619" i="1" l="1"/>
  <c r="T1619" i="1" s="1"/>
  <c r="P1620" i="1" l="1"/>
  <c r="T1620" i="1" s="1"/>
  <c r="P1623" i="1" l="1"/>
  <c r="T1623" i="1" s="1"/>
  <c r="P1624" i="1" l="1"/>
  <c r="T1624" i="1" s="1"/>
  <c r="P1625" i="1" l="1"/>
  <c r="T1625" i="1" s="1"/>
  <c r="P1626" i="1" l="1"/>
  <c r="T1626" i="1" s="1"/>
  <c r="P1627" i="1" l="1"/>
  <c r="T1627" i="1" s="1"/>
  <c r="P1628" i="1" l="1"/>
  <c r="T1628" i="1" s="1"/>
  <c r="P1629" i="1" l="1"/>
  <c r="T1629" i="1" s="1"/>
  <c r="P1630" i="1" l="1"/>
  <c r="T1630" i="1" s="1"/>
  <c r="P1631" i="1" l="1"/>
  <c r="T1631" i="1" s="1"/>
  <c r="P1632" i="1" l="1"/>
  <c r="T1632" i="1" s="1"/>
  <c r="P1633" i="1" l="1"/>
  <c r="T1633" i="1" s="1"/>
  <c r="P1634" i="1" l="1"/>
  <c r="T1634" i="1" s="1"/>
  <c r="P1635" i="1" l="1"/>
  <c r="T1635" i="1" s="1"/>
  <c r="P1636" i="1" l="1"/>
  <c r="T1636" i="1" s="1"/>
  <c r="P1637" i="1" l="1"/>
  <c r="T1637" i="1" s="1"/>
  <c r="P1638" i="1" l="1"/>
  <c r="T1638" i="1" s="1"/>
  <c r="P1639" i="1" l="1"/>
  <c r="T1639" i="1" s="1"/>
  <c r="P1640" i="1" l="1"/>
  <c r="T1640" i="1" s="1"/>
  <c r="P1641" i="1" l="1"/>
  <c r="T1641" i="1" s="1"/>
  <c r="P1642" i="1" l="1"/>
  <c r="T1642" i="1" s="1"/>
  <c r="P1643" i="1" l="1"/>
  <c r="T1643" i="1" s="1"/>
  <c r="P1644" i="1" l="1"/>
  <c r="T1644" i="1" s="1"/>
  <c r="P1645" i="1" l="1"/>
  <c r="T1645" i="1" s="1"/>
  <c r="P1646" i="1" l="1"/>
  <c r="T1646" i="1" s="1"/>
  <c r="P1647" i="1" l="1"/>
  <c r="T1647" i="1" s="1"/>
  <c r="P1650" i="1" l="1"/>
  <c r="T1650" i="1" s="1"/>
  <c r="P1651" i="1" l="1"/>
  <c r="T1651" i="1" s="1"/>
  <c r="P1652" i="1" l="1"/>
  <c r="T1652" i="1" s="1"/>
  <c r="P1653" i="1" l="1"/>
  <c r="T1653" i="1" s="1"/>
  <c r="P1654" i="1" l="1"/>
  <c r="T1654" i="1" s="1"/>
  <c r="P1655" i="1" l="1"/>
  <c r="T1655" i="1" s="1"/>
  <c r="P1656" i="1" l="1"/>
  <c r="T1656" i="1" s="1"/>
  <c r="P1657" i="1" l="1"/>
  <c r="T1657" i="1" s="1"/>
  <c r="P1658" i="1" l="1"/>
  <c r="T1658" i="1" s="1"/>
  <c r="P1659" i="1" l="1"/>
  <c r="T1659" i="1" s="1"/>
  <c r="P1660" i="1" l="1"/>
  <c r="T1660" i="1" s="1"/>
  <c r="P1661" i="1" l="1"/>
  <c r="T1661" i="1" s="1"/>
  <c r="P1662" i="1" l="1"/>
  <c r="T1662" i="1" s="1"/>
  <c r="P1663" i="1" l="1"/>
  <c r="T1663" i="1" s="1"/>
  <c r="P1664" i="1" l="1"/>
  <c r="T1664" i="1" s="1"/>
  <c r="P1665" i="1" l="1"/>
  <c r="T1665" i="1" s="1"/>
  <c r="P1666" i="1" l="1"/>
  <c r="T1666" i="1" s="1"/>
  <c r="P1667" i="1" l="1"/>
  <c r="T1667" i="1" s="1"/>
  <c r="P1668" i="1" l="1"/>
  <c r="T1668" i="1" s="1"/>
  <c r="P1669" i="1" l="1"/>
  <c r="T1669" i="1" s="1"/>
  <c r="P1670" i="1" l="1"/>
  <c r="T1670" i="1" s="1"/>
  <c r="P1671" i="1" l="1"/>
  <c r="T1671" i="1" s="1"/>
  <c r="P1672" i="1" l="1"/>
  <c r="T1672" i="1" s="1"/>
  <c r="P1673" i="1" l="1"/>
  <c r="T1673" i="1" s="1"/>
  <c r="P1674" i="1" l="1"/>
  <c r="T1674" i="1" s="1"/>
  <c r="P1677" i="1" l="1"/>
  <c r="T1677" i="1" s="1"/>
  <c r="P1678" i="1" l="1"/>
  <c r="T1678" i="1" s="1"/>
  <c r="P1679" i="1" l="1"/>
  <c r="T1679" i="1" s="1"/>
  <c r="P1680" i="1" l="1"/>
  <c r="T1680" i="1" s="1"/>
  <c r="P1681" i="1" l="1"/>
  <c r="T1681" i="1" s="1"/>
  <c r="P1682" i="1" l="1"/>
  <c r="T1682" i="1" s="1"/>
  <c r="P1683" i="1" l="1"/>
  <c r="T1683" i="1" s="1"/>
  <c r="P1684" i="1" l="1"/>
  <c r="T1684" i="1" s="1"/>
  <c r="P1685" i="1" l="1"/>
  <c r="T1685" i="1" s="1"/>
  <c r="P1686" i="1" l="1"/>
  <c r="T1686" i="1" s="1"/>
  <c r="P1687" i="1" l="1"/>
  <c r="T1687" i="1" s="1"/>
  <c r="P1688" i="1" l="1"/>
  <c r="T1688" i="1" s="1"/>
  <c r="P1689" i="1" l="1"/>
  <c r="T1689" i="1" s="1"/>
  <c r="P1690" i="1" l="1"/>
  <c r="T1690" i="1" s="1"/>
  <c r="P1691" i="1" l="1"/>
  <c r="T1691" i="1" s="1"/>
  <c r="P1692" i="1" l="1"/>
  <c r="T1692" i="1" s="1"/>
  <c r="P1693" i="1" l="1"/>
  <c r="T1693" i="1" s="1"/>
  <c r="P1694" i="1" l="1"/>
  <c r="T1694" i="1" s="1"/>
  <c r="P1695" i="1" l="1"/>
  <c r="T1695" i="1" s="1"/>
  <c r="P1696" i="1" l="1"/>
  <c r="T1696" i="1" s="1"/>
  <c r="P1697" i="1" l="1"/>
  <c r="T1697" i="1" s="1"/>
  <c r="P1698" i="1" l="1"/>
  <c r="T1698" i="1" s="1"/>
  <c r="P1699" i="1" l="1"/>
  <c r="T1699" i="1" s="1"/>
  <c r="P1700" i="1" l="1"/>
  <c r="T1700" i="1" s="1"/>
  <c r="P1701" i="1" l="1"/>
  <c r="T1701" i="1" s="1"/>
  <c r="P1704" i="1" l="1"/>
  <c r="T1704" i="1" s="1"/>
  <c r="P1705" i="1" l="1"/>
  <c r="T1705" i="1" s="1"/>
  <c r="P1706" i="1" l="1"/>
  <c r="T1706" i="1" s="1"/>
  <c r="P1707" i="1" l="1"/>
  <c r="T1707" i="1" s="1"/>
  <c r="P1708" i="1" l="1"/>
  <c r="T1708" i="1" s="1"/>
  <c r="P1709" i="1" l="1"/>
  <c r="T1709" i="1" s="1"/>
  <c r="P1710" i="1" l="1"/>
  <c r="T1710" i="1" s="1"/>
  <c r="P1711" i="1" l="1"/>
  <c r="T1711" i="1" s="1"/>
  <c r="P1712" i="1" l="1"/>
  <c r="T1712" i="1" s="1"/>
  <c r="P1713" i="1" l="1"/>
  <c r="T1713" i="1" s="1"/>
  <c r="P1714" i="1" l="1"/>
  <c r="T1714" i="1" s="1"/>
  <c r="P1715" i="1" l="1"/>
  <c r="T1715" i="1" s="1"/>
  <c r="P1716" i="1" l="1"/>
  <c r="T1716" i="1" s="1"/>
  <c r="P1717" i="1" l="1"/>
  <c r="T1717" i="1" s="1"/>
  <c r="P1718" i="1" l="1"/>
  <c r="T1718" i="1" s="1"/>
  <c r="P1719" i="1" l="1"/>
  <c r="T1719" i="1" s="1"/>
  <c r="P1720" i="1" l="1"/>
  <c r="T1720" i="1" s="1"/>
  <c r="P1721" i="1" l="1"/>
  <c r="T1721" i="1" s="1"/>
  <c r="P1722" i="1" l="1"/>
  <c r="T1722" i="1" s="1"/>
  <c r="P1723" i="1" l="1"/>
  <c r="T1723" i="1" s="1"/>
  <c r="P1724" i="1" l="1"/>
  <c r="T1724" i="1" s="1"/>
  <c r="P1725" i="1" l="1"/>
  <c r="T1725" i="1" s="1"/>
  <c r="P1726" i="1" l="1"/>
  <c r="T1726" i="1" s="1"/>
  <c r="P1727" i="1" l="1"/>
  <c r="T1727" i="1" s="1"/>
  <c r="P1728" i="1" l="1"/>
  <c r="T1728" i="1" s="1"/>
  <c r="P1729" i="1" l="1"/>
  <c r="T1729" i="1" s="1"/>
  <c r="P1732" i="1" l="1"/>
  <c r="T1732" i="1" s="1"/>
  <c r="P1733" i="1" l="1"/>
  <c r="T1733" i="1" s="1"/>
  <c r="P1734" i="1" l="1"/>
  <c r="T1734" i="1" s="1"/>
  <c r="P1735" i="1" l="1"/>
  <c r="T1735" i="1" s="1"/>
  <c r="P1736" i="1" l="1"/>
  <c r="T1736" i="1" s="1"/>
  <c r="P1737" i="1" l="1"/>
  <c r="T1737" i="1" s="1"/>
  <c r="P1738" i="1" l="1"/>
  <c r="T1738" i="1" s="1"/>
  <c r="P1739" i="1" l="1"/>
  <c r="T1739" i="1" s="1"/>
  <c r="P1740" i="1" l="1"/>
  <c r="T1740" i="1" s="1"/>
  <c r="P1741" i="1" l="1"/>
  <c r="T1741" i="1" s="1"/>
  <c r="P1742" i="1" l="1"/>
  <c r="T1742" i="1" s="1"/>
  <c r="P1743" i="1" l="1"/>
  <c r="T1743" i="1" s="1"/>
  <c r="P1744" i="1" l="1"/>
  <c r="T1744" i="1" s="1"/>
  <c r="P1745" i="1" l="1"/>
  <c r="T1745" i="1" s="1"/>
  <c r="P1746" i="1" l="1"/>
  <c r="T1746" i="1" s="1"/>
  <c r="P1747" i="1" l="1"/>
  <c r="T1747" i="1" s="1"/>
  <c r="P1748" i="1" l="1"/>
  <c r="T1748" i="1" s="1"/>
  <c r="P1749" i="1" l="1"/>
  <c r="T1749" i="1" s="1"/>
  <c r="P1750" i="1" l="1"/>
  <c r="T1750" i="1" s="1"/>
  <c r="P1751" i="1" l="1"/>
  <c r="T1751" i="1" s="1"/>
  <c r="P1752" i="1" l="1"/>
  <c r="T1752" i="1" s="1"/>
  <c r="P1753" i="1" l="1"/>
  <c r="T1753" i="1" s="1"/>
  <c r="P1754" i="1" l="1"/>
  <c r="T1754" i="1" s="1"/>
  <c r="P1755" i="1" l="1"/>
  <c r="T1755" i="1" s="1"/>
  <c r="P1756" i="1" l="1"/>
  <c r="T1756" i="1" s="1"/>
  <c r="P1759" i="1" l="1"/>
  <c r="T1759" i="1" s="1"/>
  <c r="P1760" i="1" l="1"/>
  <c r="T1760" i="1" s="1"/>
  <c r="P1761" i="1" l="1"/>
  <c r="T1761" i="1" s="1"/>
  <c r="P1762" i="1" l="1"/>
  <c r="T1762" i="1" s="1"/>
  <c r="P1763" i="1" l="1"/>
  <c r="T1763" i="1" s="1"/>
  <c r="P1764" i="1" l="1"/>
  <c r="T1764" i="1" s="1"/>
  <c r="P1765" i="1" l="1"/>
  <c r="T1765" i="1" s="1"/>
  <c r="P1766" i="1" l="1"/>
  <c r="T1766" i="1" s="1"/>
  <c r="P1767" i="1" l="1"/>
  <c r="T1767" i="1" s="1"/>
  <c r="P1768" i="1" l="1"/>
  <c r="T1768" i="1" s="1"/>
  <c r="P1769" i="1" l="1"/>
  <c r="T1769" i="1" s="1"/>
  <c r="P1770" i="1" l="1"/>
  <c r="T1770" i="1" s="1"/>
  <c r="P1771" i="1" l="1"/>
  <c r="T1771" i="1" s="1"/>
  <c r="P1772" i="1" l="1"/>
  <c r="T1772" i="1" s="1"/>
  <c r="P1773" i="1" l="1"/>
  <c r="T1773" i="1" s="1"/>
  <c r="P1774" i="1" l="1"/>
  <c r="T1774" i="1" s="1"/>
  <c r="P1775" i="1" l="1"/>
  <c r="T1775" i="1" s="1"/>
  <c r="P1776" i="1" l="1"/>
  <c r="T1776" i="1" s="1"/>
  <c r="P1777" i="1" l="1"/>
  <c r="T1777" i="1" s="1"/>
  <c r="P1778" i="1" l="1"/>
  <c r="T1778" i="1" s="1"/>
  <c r="P1779" i="1" l="1"/>
  <c r="T1779" i="1" s="1"/>
  <c r="P1780" i="1" l="1"/>
  <c r="T1780" i="1" s="1"/>
  <c r="P1781" i="1" l="1"/>
  <c r="T1781" i="1" s="1"/>
  <c r="P1782" i="1" l="1"/>
  <c r="T1782" i="1" s="1"/>
  <c r="P1783" i="1" l="1"/>
  <c r="T1783" i="1" s="1"/>
  <c r="P1786" i="1" l="1"/>
  <c r="T1786" i="1" s="1"/>
  <c r="P1787" i="1" l="1"/>
  <c r="T1787" i="1" s="1"/>
  <c r="P1788" i="1" l="1"/>
  <c r="T1788" i="1" s="1"/>
  <c r="P1789" i="1" l="1"/>
  <c r="T1789" i="1" s="1"/>
  <c r="P1790" i="1" l="1"/>
  <c r="T1790" i="1" s="1"/>
  <c r="P1791" i="1" l="1"/>
  <c r="T1791" i="1" s="1"/>
  <c r="P1792" i="1" l="1"/>
  <c r="T1792" i="1" s="1"/>
  <c r="P1793" i="1" l="1"/>
  <c r="T1793" i="1" s="1"/>
  <c r="P1794" i="1" l="1"/>
  <c r="T1794" i="1" s="1"/>
  <c r="P1795" i="1" l="1"/>
  <c r="T1795" i="1" s="1"/>
  <c r="P1796" i="1" l="1"/>
  <c r="T1796" i="1" s="1"/>
  <c r="P1797" i="1" l="1"/>
  <c r="T1797" i="1" s="1"/>
  <c r="P1798" i="1" l="1"/>
  <c r="T1798" i="1" s="1"/>
  <c r="P1799" i="1" l="1"/>
  <c r="T1799" i="1" s="1"/>
  <c r="P1800" i="1" l="1"/>
  <c r="T1800" i="1" s="1"/>
  <c r="P1801" i="1" l="1"/>
  <c r="T1801" i="1" s="1"/>
  <c r="P1802" i="1" l="1"/>
  <c r="T1802" i="1" s="1"/>
  <c r="P1803" i="1" l="1"/>
  <c r="T1803" i="1" s="1"/>
  <c r="P1804" i="1" l="1"/>
  <c r="T1804" i="1" s="1"/>
  <c r="P1805" i="1" l="1"/>
  <c r="T1805" i="1" s="1"/>
  <c r="P1806" i="1" l="1"/>
  <c r="T1806" i="1" s="1"/>
  <c r="P1807" i="1" l="1"/>
  <c r="T1807" i="1" s="1"/>
  <c r="P1808" i="1" l="1"/>
  <c r="T1808" i="1" s="1"/>
  <c r="P1809" i="1" l="1"/>
  <c r="T1809" i="1" s="1"/>
  <c r="P1810" i="1" l="1"/>
  <c r="T1810" i="1" s="1"/>
  <c r="P1813" i="1" l="1"/>
  <c r="T1813" i="1" s="1"/>
  <c r="P1814" i="1" l="1"/>
  <c r="T1814" i="1" s="1"/>
  <c r="P1815" i="1" l="1"/>
  <c r="T1815" i="1" s="1"/>
  <c r="P1816" i="1" l="1"/>
  <c r="T1816" i="1" s="1"/>
  <c r="P1817" i="1" l="1"/>
  <c r="T1817" i="1" s="1"/>
  <c r="P1818" i="1" l="1"/>
  <c r="T1818" i="1" s="1"/>
  <c r="P1819" i="1" l="1"/>
  <c r="T1819" i="1" s="1"/>
  <c r="P1820" i="1" l="1"/>
  <c r="T1820" i="1" s="1"/>
  <c r="P1821" i="1" l="1"/>
  <c r="T1821" i="1" s="1"/>
  <c r="P1822" i="1" l="1"/>
  <c r="T1822" i="1" s="1"/>
  <c r="P1823" i="1" l="1"/>
  <c r="T1823" i="1" s="1"/>
  <c r="P1824" i="1" l="1"/>
  <c r="T1824" i="1" s="1"/>
  <c r="P1825" i="1" l="1"/>
  <c r="T1825" i="1" s="1"/>
  <c r="P1826" i="1" l="1"/>
  <c r="T1826" i="1" s="1"/>
  <c r="P1827" i="1" l="1"/>
  <c r="T1827" i="1" s="1"/>
  <c r="P1828" i="1" l="1"/>
  <c r="T1828" i="1" s="1"/>
  <c r="P1829" i="1" l="1"/>
  <c r="T1829" i="1" s="1"/>
  <c r="P1830" i="1" l="1"/>
  <c r="T1830" i="1" s="1"/>
  <c r="P1831" i="1" l="1"/>
  <c r="T1831" i="1" s="1"/>
  <c r="P1832" i="1" l="1"/>
  <c r="T1832" i="1" s="1"/>
  <c r="P1833" i="1" l="1"/>
  <c r="T1833" i="1" s="1"/>
  <c r="P1834" i="1" l="1"/>
  <c r="T1834" i="1" s="1"/>
  <c r="P1835" i="1" l="1"/>
  <c r="T1835" i="1" s="1"/>
  <c r="P1836" i="1" l="1"/>
  <c r="T1836" i="1" s="1"/>
  <c r="P1837" i="1" l="1"/>
  <c r="T1837" i="1" s="1"/>
  <c r="P1840" i="1" l="1"/>
  <c r="T1840" i="1" s="1"/>
  <c r="P1841" i="1" l="1"/>
  <c r="T1841" i="1" s="1"/>
  <c r="P1842" i="1" l="1"/>
  <c r="T1842" i="1" s="1"/>
  <c r="P1843" i="1" l="1"/>
  <c r="T1843" i="1" s="1"/>
  <c r="P1844" i="1" l="1"/>
  <c r="T1844" i="1" s="1"/>
  <c r="P1845" i="1" l="1"/>
  <c r="T1845" i="1" s="1"/>
  <c r="P1846" i="1" l="1"/>
  <c r="T1846" i="1" s="1"/>
  <c r="P1847" i="1" l="1"/>
  <c r="T1847" i="1" s="1"/>
  <c r="P1848" i="1" l="1"/>
  <c r="T1848" i="1" s="1"/>
  <c r="P1849" i="1" l="1"/>
  <c r="T1849" i="1" s="1"/>
  <c r="P1850" i="1" l="1"/>
  <c r="T1850" i="1" s="1"/>
  <c r="P1851" i="1" l="1"/>
  <c r="T1851" i="1" s="1"/>
  <c r="P1852" i="1" l="1"/>
  <c r="T1852" i="1" s="1"/>
  <c r="P1853" i="1" l="1"/>
  <c r="T1853" i="1" s="1"/>
  <c r="P1854" i="1" l="1"/>
  <c r="T1854" i="1" s="1"/>
  <c r="P1855" i="1" l="1"/>
  <c r="T1855" i="1" s="1"/>
  <c r="P1856" i="1" l="1"/>
  <c r="T1856" i="1" s="1"/>
  <c r="P1857" i="1" l="1"/>
  <c r="T1857" i="1" s="1"/>
  <c r="P1858" i="1" l="1"/>
  <c r="T1858" i="1" s="1"/>
  <c r="P1859" i="1" l="1"/>
  <c r="T1859" i="1" s="1"/>
  <c r="P1860" i="1" l="1"/>
  <c r="T1860" i="1" s="1"/>
  <c r="P1861" i="1" l="1"/>
  <c r="T1861" i="1" s="1"/>
  <c r="P1862" i="1" l="1"/>
  <c r="T1862" i="1" s="1"/>
  <c r="P1863" i="1" l="1"/>
  <c r="T1863" i="1" s="1"/>
  <c r="P1864" i="1" l="1"/>
  <c r="T1864" i="1" s="1"/>
  <c r="P1865" i="1" l="1"/>
  <c r="T1865" i="1" s="1"/>
  <c r="P1867" i="1" l="1"/>
  <c r="T1867" i="1" s="1"/>
  <c r="P1868" i="1" l="1"/>
  <c r="T1868" i="1" s="1"/>
  <c r="P1869" i="1" l="1"/>
  <c r="T1869" i="1" s="1"/>
  <c r="P1870" i="1" l="1"/>
  <c r="T1870" i="1" s="1"/>
  <c r="P1871" i="1" l="1"/>
  <c r="T1871" i="1" s="1"/>
  <c r="P1872" i="1" l="1"/>
  <c r="T1872" i="1" s="1"/>
  <c r="P1873" i="1" l="1"/>
  <c r="T1873" i="1" s="1"/>
  <c r="P1874" i="1" l="1"/>
  <c r="T1874" i="1" s="1"/>
  <c r="P1875" i="1" l="1"/>
  <c r="T1875" i="1" s="1"/>
  <c r="P1876" i="1" l="1"/>
  <c r="T1876" i="1" s="1"/>
  <c r="P1877" i="1" l="1"/>
  <c r="T1877" i="1" s="1"/>
  <c r="P1878" i="1" l="1"/>
  <c r="T1878" i="1" s="1"/>
  <c r="P1879" i="1" l="1"/>
  <c r="T1879" i="1" s="1"/>
  <c r="P1880" i="1" l="1"/>
  <c r="T1880" i="1" s="1"/>
  <c r="P1881" i="1" l="1"/>
  <c r="T1881" i="1" s="1"/>
  <c r="P1882" i="1" l="1"/>
  <c r="T1882" i="1" s="1"/>
  <c r="P1883" i="1" l="1"/>
  <c r="T1883" i="1" s="1"/>
  <c r="P1884" i="1" l="1"/>
  <c r="T1884" i="1" s="1"/>
  <c r="P1885" i="1" l="1"/>
  <c r="T1885" i="1" s="1"/>
  <c r="P1886" i="1" l="1"/>
  <c r="T1886" i="1" s="1"/>
  <c r="P1887" i="1" l="1"/>
  <c r="T1887" i="1" s="1"/>
  <c r="P1888" i="1" l="1"/>
  <c r="T1888" i="1" s="1"/>
  <c r="P1889" i="1" l="1"/>
  <c r="T1889" i="1" s="1"/>
  <c r="P1890" i="1" l="1"/>
  <c r="T1890" i="1" s="1"/>
  <c r="P1891" i="1" l="1"/>
  <c r="T1891" i="1" s="1"/>
  <c r="P1894" i="1" l="1"/>
  <c r="T1894" i="1" s="1"/>
  <c r="P1895" i="1" l="1"/>
  <c r="T1895" i="1" s="1"/>
  <c r="P1896" i="1" l="1"/>
  <c r="T1896" i="1" s="1"/>
  <c r="P1897" i="1" l="1"/>
  <c r="T1897" i="1" s="1"/>
  <c r="P1898" i="1" l="1"/>
  <c r="T1898" i="1" s="1"/>
  <c r="P1899" i="1" l="1"/>
  <c r="T1899" i="1" s="1"/>
  <c r="P1900" i="1" l="1"/>
  <c r="T1900" i="1" s="1"/>
  <c r="P1901" i="1" l="1"/>
  <c r="T1901" i="1" s="1"/>
  <c r="P1902" i="1" l="1"/>
  <c r="T1902" i="1" s="1"/>
  <c r="P1903" i="1" l="1"/>
  <c r="T1903" i="1" s="1"/>
  <c r="P1904" i="1" l="1"/>
  <c r="T1904" i="1" s="1"/>
  <c r="P1905" i="1" l="1"/>
  <c r="T1905" i="1" s="1"/>
  <c r="P1906" i="1" l="1"/>
  <c r="T1906" i="1" s="1"/>
  <c r="P1907" i="1" l="1"/>
  <c r="T1907" i="1" s="1"/>
  <c r="P1908" i="1" l="1"/>
  <c r="T1908" i="1" s="1"/>
  <c r="P1909" i="1" l="1"/>
  <c r="T1909" i="1" s="1"/>
  <c r="P1910" i="1" l="1"/>
  <c r="T1910" i="1" s="1"/>
  <c r="P1911" i="1" l="1"/>
  <c r="T1911" i="1" s="1"/>
  <c r="P1912" i="1" l="1"/>
  <c r="T1912" i="1" s="1"/>
  <c r="P1913" i="1" l="1"/>
  <c r="T1913" i="1" s="1"/>
  <c r="P1914" i="1" l="1"/>
  <c r="T1914" i="1" s="1"/>
  <c r="P1915" i="1" l="1"/>
  <c r="T1915" i="1" s="1"/>
  <c r="P1916" i="1" l="1"/>
  <c r="T1916" i="1" s="1"/>
  <c r="P1917" i="1" l="1"/>
  <c r="T1917" i="1" s="1"/>
  <c r="P1918" i="1" l="1"/>
  <c r="T1918" i="1" s="1"/>
  <c r="P1921" i="1" l="1"/>
  <c r="T1921" i="1" s="1"/>
  <c r="P1922" i="1" l="1"/>
  <c r="T1922" i="1" s="1"/>
  <c r="P1923" i="1" l="1"/>
  <c r="T1923" i="1" s="1"/>
  <c r="P1924" i="1" l="1"/>
  <c r="T1924" i="1" s="1"/>
  <c r="P1925" i="1" l="1"/>
  <c r="T1925" i="1" s="1"/>
  <c r="P1926" i="1" l="1"/>
  <c r="T1926" i="1" s="1"/>
  <c r="P1927" i="1" l="1"/>
  <c r="T1927" i="1" s="1"/>
  <c r="P1928" i="1" l="1"/>
  <c r="T1928" i="1" s="1"/>
  <c r="P1929" i="1" l="1"/>
  <c r="T1929" i="1" s="1"/>
  <c r="P1930" i="1" l="1"/>
  <c r="T1930" i="1" s="1"/>
  <c r="P1931" i="1" l="1"/>
  <c r="T1931" i="1" s="1"/>
  <c r="P1932" i="1" l="1"/>
  <c r="T1932" i="1" s="1"/>
  <c r="P1933" i="1" l="1"/>
  <c r="T1933" i="1" s="1"/>
  <c r="P1934" i="1" l="1"/>
  <c r="T1934" i="1" s="1"/>
  <c r="P1935" i="1" l="1"/>
  <c r="T1935" i="1" s="1"/>
  <c r="P1936" i="1" l="1"/>
  <c r="T1936" i="1" s="1"/>
  <c r="P1937" i="1" l="1"/>
  <c r="T1937" i="1" s="1"/>
  <c r="P1938" i="1" l="1"/>
  <c r="T1938" i="1" s="1"/>
  <c r="P1939" i="1" l="1"/>
  <c r="T1939" i="1" s="1"/>
  <c r="P1940" i="1" l="1"/>
  <c r="T1940" i="1" s="1"/>
  <c r="P1941" i="1" l="1"/>
  <c r="T1941" i="1" s="1"/>
  <c r="P1942" i="1" l="1"/>
  <c r="T1942" i="1" s="1"/>
  <c r="P1943" i="1" l="1"/>
  <c r="T1943" i="1" s="1"/>
  <c r="P1944" i="1" l="1"/>
  <c r="T1944" i="1" s="1"/>
  <c r="P1945" i="1" l="1"/>
  <c r="T1945" i="1" s="1"/>
  <c r="P1948" i="1" l="1"/>
  <c r="T1948" i="1" s="1"/>
  <c r="P1949" i="1" l="1"/>
  <c r="T1949" i="1" s="1"/>
  <c r="P1950" i="1" l="1"/>
  <c r="T1950" i="1" s="1"/>
  <c r="P1951" i="1" l="1"/>
  <c r="T1951" i="1" s="1"/>
  <c r="P1952" i="1" l="1"/>
  <c r="T1952" i="1" s="1"/>
  <c r="P1953" i="1" l="1"/>
  <c r="T1953" i="1" s="1"/>
  <c r="P1954" i="1" l="1"/>
  <c r="T1954" i="1" s="1"/>
  <c r="P1955" i="1" l="1"/>
  <c r="T1955" i="1" s="1"/>
  <c r="P1956" i="1" l="1"/>
  <c r="T1956" i="1" s="1"/>
  <c r="P1957" i="1" l="1"/>
  <c r="T1957" i="1" s="1"/>
  <c r="P1958" i="1" l="1"/>
  <c r="T1958" i="1" s="1"/>
  <c r="P1959" i="1" l="1"/>
  <c r="T1959" i="1" s="1"/>
  <c r="P1960" i="1" l="1"/>
  <c r="T1960" i="1" s="1"/>
  <c r="P1961" i="1" l="1"/>
  <c r="T1961" i="1" s="1"/>
  <c r="P1962" i="1" l="1"/>
  <c r="T1962" i="1" s="1"/>
  <c r="P1963" i="1" l="1"/>
  <c r="T1963" i="1" s="1"/>
  <c r="P1964" i="1" l="1"/>
  <c r="T1964" i="1" s="1"/>
  <c r="P1965" i="1" l="1"/>
  <c r="T1965" i="1" s="1"/>
  <c r="P1966" i="1" l="1"/>
  <c r="T1966" i="1" s="1"/>
  <c r="P1967" i="1" l="1"/>
  <c r="T1967" i="1" s="1"/>
  <c r="P1968" i="1" l="1"/>
  <c r="T1968" i="1" s="1"/>
  <c r="P1969" i="1" l="1"/>
  <c r="T1969" i="1" s="1"/>
  <c r="P1970" i="1" l="1"/>
  <c r="T1970" i="1" s="1"/>
  <c r="P1972" i="1" l="1"/>
  <c r="T1972" i="1" s="1"/>
  <c r="P1973" i="1" l="1"/>
  <c r="T1973" i="1" s="1"/>
  <c r="P1974" i="1" l="1"/>
  <c r="T1974" i="1" s="1"/>
  <c r="P1975" i="1" l="1"/>
  <c r="T1975" i="1" s="1"/>
  <c r="P1976" i="1" l="1"/>
  <c r="T1976" i="1" s="1"/>
  <c r="P1977" i="1" l="1"/>
  <c r="T1977" i="1" s="1"/>
  <c r="P1978" i="1" l="1"/>
  <c r="T1978" i="1" s="1"/>
  <c r="P1979" i="1" l="1"/>
  <c r="T1979" i="1" s="1"/>
  <c r="P1980" i="1" l="1"/>
  <c r="T1980" i="1" s="1"/>
  <c r="P1981" i="1" l="1"/>
  <c r="T1981" i="1" s="1"/>
  <c r="P1982" i="1" l="1"/>
  <c r="T1982" i="1" s="1"/>
  <c r="P1983" i="1" l="1"/>
  <c r="T1983" i="1" s="1"/>
  <c r="P1984" i="1" l="1"/>
  <c r="T1984" i="1" s="1"/>
  <c r="P1985" i="1" l="1"/>
  <c r="T1985" i="1" s="1"/>
  <c r="P1986" i="1" l="1"/>
  <c r="T1986" i="1" s="1"/>
  <c r="P1987" i="1" l="1"/>
  <c r="T1987" i="1" s="1"/>
  <c r="P1988" i="1" l="1"/>
  <c r="T1988" i="1" s="1"/>
  <c r="P1989" i="1" l="1"/>
  <c r="T1989" i="1" s="1"/>
  <c r="P1990" i="1" l="1"/>
  <c r="T1990" i="1" s="1"/>
  <c r="P1991" i="1" l="1"/>
  <c r="T1991" i="1" s="1"/>
  <c r="P1992" i="1" l="1"/>
  <c r="T1992" i="1" s="1"/>
  <c r="P1993" i="1" l="1"/>
  <c r="T1993" i="1" s="1"/>
  <c r="P1994" i="1" l="1"/>
  <c r="T1994" i="1" s="1"/>
  <c r="P1995" i="1" l="1"/>
  <c r="T1995" i="1" s="1"/>
  <c r="P1996" i="1" l="1"/>
  <c r="T1996" i="1" s="1"/>
  <c r="P1999" i="1" l="1"/>
  <c r="T1999" i="1" s="1"/>
  <c r="P2000" i="1" l="1"/>
  <c r="T2000" i="1" s="1"/>
  <c r="P2001" i="1" l="1"/>
  <c r="T2001" i="1" s="1"/>
  <c r="P2002" i="1" l="1"/>
  <c r="T2002" i="1" s="1"/>
  <c r="P2003" i="1" l="1"/>
  <c r="T2003" i="1" s="1"/>
  <c r="P2004" i="1" l="1"/>
  <c r="T2004" i="1" s="1"/>
  <c r="P2005" i="1" l="1"/>
  <c r="T2005" i="1" s="1"/>
  <c r="P2006" i="1" l="1"/>
  <c r="T2006" i="1" s="1"/>
  <c r="P2007" i="1" l="1"/>
  <c r="T2007" i="1" s="1"/>
  <c r="P2008" i="1" l="1"/>
  <c r="T2008" i="1" s="1"/>
  <c r="P2009" i="1" l="1"/>
  <c r="T2009" i="1" s="1"/>
  <c r="P2010" i="1" l="1"/>
  <c r="T2010" i="1" s="1"/>
  <c r="P2011" i="1" l="1"/>
  <c r="T2011" i="1" s="1"/>
  <c r="P2012" i="1" l="1"/>
  <c r="T2012" i="1" s="1"/>
  <c r="P2013" i="1" l="1"/>
  <c r="T2013" i="1" s="1"/>
  <c r="P2014" i="1" l="1"/>
  <c r="T2014" i="1" s="1"/>
  <c r="P2015" i="1" l="1"/>
  <c r="T2015" i="1" s="1"/>
  <c r="P2016" i="1" l="1"/>
  <c r="T2016" i="1" s="1"/>
  <c r="P2017" i="1" l="1"/>
  <c r="T2017" i="1" s="1"/>
  <c r="P2018" i="1" l="1"/>
  <c r="T2018" i="1" s="1"/>
  <c r="P2019" i="1" l="1"/>
  <c r="T2019" i="1" s="1"/>
  <c r="P2020" i="1" l="1"/>
  <c r="T2020" i="1" s="1"/>
  <c r="P2021" i="1" l="1"/>
  <c r="T2021" i="1" s="1"/>
  <c r="P2022" i="1" l="1"/>
  <c r="T2022" i="1" s="1"/>
  <c r="P2023" i="1" l="1"/>
  <c r="T2023" i="1" s="1"/>
  <c r="P2024" i="1" l="1"/>
  <c r="T2024" i="1" s="1"/>
  <c r="P2025" i="1" l="1"/>
  <c r="T2025" i="1" s="1"/>
  <c r="P2026" i="1" l="1"/>
  <c r="T2026" i="1" s="1"/>
  <c r="P2027" i="1" l="1"/>
  <c r="T2027" i="1" s="1"/>
  <c r="P2028" i="1" l="1"/>
  <c r="T2028" i="1" s="1"/>
  <c r="P2029" i="1" l="1"/>
  <c r="T2029" i="1" s="1"/>
  <c r="P2031" i="1" l="1"/>
  <c r="T2031" i="1" s="1"/>
  <c r="P2032" i="1" l="1"/>
  <c r="T2032" i="1" s="1"/>
  <c r="P2033" i="1" l="1"/>
  <c r="T2033" i="1" s="1"/>
  <c r="P2034" i="1" l="1"/>
  <c r="T2034" i="1" s="1"/>
  <c r="P2035" i="1" l="1"/>
  <c r="T2035" i="1" s="1"/>
  <c r="P2036" i="1" l="1"/>
  <c r="T2036" i="1" s="1"/>
  <c r="P2037" i="1" l="1"/>
  <c r="T2037" i="1" s="1"/>
  <c r="P2038" i="1" l="1"/>
  <c r="T2038" i="1" s="1"/>
  <c r="P2039" i="1" l="1"/>
  <c r="T2039" i="1" s="1"/>
  <c r="P2040" i="1" l="1"/>
  <c r="T2040" i="1" s="1"/>
  <c r="P2041" i="1" l="1"/>
  <c r="T2041" i="1" s="1"/>
  <c r="P2042" i="1" l="1"/>
  <c r="T2042" i="1" s="1"/>
  <c r="P2043" i="1" l="1"/>
  <c r="T2043" i="1" s="1"/>
  <c r="P2044" i="1" l="1"/>
  <c r="T2044" i="1" s="1"/>
  <c r="P2045" i="1" l="1"/>
  <c r="T2045" i="1" s="1"/>
  <c r="P2046" i="1" l="1"/>
  <c r="T2046" i="1" s="1"/>
  <c r="P2047" i="1" l="1"/>
  <c r="T2047" i="1" s="1"/>
  <c r="P2048" i="1" l="1"/>
  <c r="T2048" i="1" s="1"/>
  <c r="P2049" i="1" l="1"/>
  <c r="T2049" i="1" s="1"/>
  <c r="P2050" i="1" l="1"/>
  <c r="T2050" i="1" s="1"/>
  <c r="P2051" i="1" l="1"/>
  <c r="T2051" i="1" s="1"/>
  <c r="P2052" i="1" l="1"/>
  <c r="T2052" i="1" s="1"/>
  <c r="P2053" i="1" l="1"/>
  <c r="T2053" i="1" s="1"/>
  <c r="P2054" i="1" l="1"/>
  <c r="T2054" i="1" s="1"/>
  <c r="P2055" i="1" l="1"/>
  <c r="T2055" i="1" s="1"/>
  <c r="P2056" i="1" l="1"/>
  <c r="T2056" i="1" s="1"/>
  <c r="P2058" i="1" l="1"/>
  <c r="T2058" i="1" s="1"/>
  <c r="P2059" i="1" l="1"/>
  <c r="T2059" i="1" s="1"/>
  <c r="P2060" i="1" l="1"/>
  <c r="T2060" i="1" s="1"/>
  <c r="P2061" i="1" l="1"/>
  <c r="T2061" i="1" s="1"/>
  <c r="P2062" i="1" l="1"/>
  <c r="T2062" i="1" s="1"/>
  <c r="P2063" i="1" l="1"/>
  <c r="T2063" i="1" s="1"/>
  <c r="P2064" i="1" l="1"/>
  <c r="T2064" i="1" s="1"/>
  <c r="P2065" i="1" l="1"/>
  <c r="T2065" i="1" s="1"/>
  <c r="P2066" i="1" l="1"/>
  <c r="T2066" i="1" s="1"/>
  <c r="P2067" i="1" l="1"/>
  <c r="T2067" i="1" s="1"/>
  <c r="P2068" i="1" l="1"/>
  <c r="T2068" i="1" s="1"/>
  <c r="P2069" i="1" l="1"/>
  <c r="T2069" i="1" s="1"/>
  <c r="P2070" i="1" l="1"/>
  <c r="T2070" i="1" s="1"/>
  <c r="P2071" i="1" l="1"/>
  <c r="T2071" i="1" s="1"/>
  <c r="P2072" i="1" l="1"/>
  <c r="T2072" i="1" s="1"/>
  <c r="P2073" i="1" l="1"/>
  <c r="T2073" i="1" s="1"/>
  <c r="P2074" i="1" l="1"/>
  <c r="T2074" i="1" s="1"/>
  <c r="P2075" i="1" l="1"/>
  <c r="T2075" i="1" s="1"/>
  <c r="P2076" i="1" l="1"/>
  <c r="T2076" i="1" s="1"/>
  <c r="P2077" i="1" l="1"/>
  <c r="T2077" i="1" s="1"/>
  <c r="P2078" i="1" l="1"/>
  <c r="T2078" i="1" s="1"/>
  <c r="P2079" i="1" l="1"/>
  <c r="T2079" i="1" s="1"/>
  <c r="P2080" i="1" l="1"/>
  <c r="T2080" i="1" s="1"/>
  <c r="P2081" i="1" l="1"/>
  <c r="T2081" i="1" s="1"/>
  <c r="P2082" i="1" l="1"/>
  <c r="T2082" i="1" s="1"/>
  <c r="P2083" i="1" l="1"/>
  <c r="T2083" i="1" s="1"/>
  <c r="P2084" i="1" l="1"/>
  <c r="T2084" i="1" s="1"/>
  <c r="P2086" i="1" l="1"/>
  <c r="T2086" i="1" s="1"/>
  <c r="P2087" i="1" l="1"/>
  <c r="T2087" i="1" s="1"/>
  <c r="P2088" i="1" l="1"/>
  <c r="T2088" i="1" s="1"/>
  <c r="P2089" i="1" l="1"/>
  <c r="T2089" i="1" s="1"/>
  <c r="P2090" i="1" l="1"/>
  <c r="T2090" i="1" s="1"/>
  <c r="P2091" i="1" l="1"/>
  <c r="T2091" i="1" s="1"/>
  <c r="P2092" i="1" l="1"/>
  <c r="T2092" i="1" s="1"/>
  <c r="P2093" i="1" l="1"/>
  <c r="T2093" i="1" s="1"/>
  <c r="P2094" i="1" l="1"/>
  <c r="T2094" i="1" s="1"/>
  <c r="P2095" i="1" l="1"/>
  <c r="T2095" i="1" s="1"/>
  <c r="P2096" i="1" l="1"/>
  <c r="T2096" i="1" s="1"/>
  <c r="P2097" i="1" l="1"/>
  <c r="T2097" i="1" s="1"/>
  <c r="P2098" i="1" l="1"/>
  <c r="T2098" i="1" s="1"/>
  <c r="P2099" i="1" l="1"/>
  <c r="T2099" i="1" s="1"/>
  <c r="P2100" i="1" l="1"/>
  <c r="T2100" i="1" s="1"/>
  <c r="P2101" i="1" l="1"/>
  <c r="T2101" i="1" s="1"/>
  <c r="P2102" i="1" l="1"/>
  <c r="T2102" i="1" s="1"/>
  <c r="P2103" i="1" l="1"/>
  <c r="T2103" i="1" s="1"/>
  <c r="P2104" i="1" l="1"/>
  <c r="T2104" i="1" s="1"/>
  <c r="P2105" i="1" l="1"/>
  <c r="T2105" i="1" s="1"/>
  <c r="P2106" i="1" l="1"/>
  <c r="T2106" i="1" s="1"/>
  <c r="P2107" i="1" l="1"/>
  <c r="T2107" i="1" s="1"/>
  <c r="P2108" i="1" l="1"/>
  <c r="T2108" i="1" s="1"/>
  <c r="P2109" i="1" l="1"/>
  <c r="T2109" i="1" s="1"/>
  <c r="P2110" i="1" l="1"/>
  <c r="T2110" i="1" s="1"/>
  <c r="P2113" i="1" l="1"/>
  <c r="T2113" i="1" s="1"/>
  <c r="P2114" i="1" l="1"/>
  <c r="T2114" i="1" s="1"/>
  <c r="P2115" i="1" l="1"/>
  <c r="T2115" i="1" s="1"/>
  <c r="P2116" i="1" l="1"/>
  <c r="T2116" i="1" s="1"/>
  <c r="P2117" i="1" l="1"/>
  <c r="T2117" i="1" s="1"/>
  <c r="P2118" i="1" l="1"/>
  <c r="T2118" i="1" s="1"/>
  <c r="P2119" i="1" l="1"/>
  <c r="T2119" i="1" s="1"/>
  <c r="P2120" i="1" l="1"/>
  <c r="T2120" i="1" s="1"/>
  <c r="P2121" i="1" l="1"/>
  <c r="T2121" i="1" s="1"/>
  <c r="P2122" i="1" l="1"/>
  <c r="T2122" i="1" s="1"/>
  <c r="P2123" i="1" l="1"/>
  <c r="T2123" i="1" s="1"/>
  <c r="P2124" i="1" l="1"/>
  <c r="T2124" i="1" s="1"/>
  <c r="P2125" i="1" l="1"/>
  <c r="T2125" i="1" s="1"/>
  <c r="P2126" i="1" l="1"/>
  <c r="T2126" i="1" s="1"/>
  <c r="P2127" i="1" l="1"/>
  <c r="T2127" i="1" s="1"/>
  <c r="P2128" i="1" l="1"/>
  <c r="T2128" i="1" s="1"/>
  <c r="P2129" i="1" l="1"/>
  <c r="T2129" i="1" s="1"/>
  <c r="P2130" i="1" l="1"/>
  <c r="T2130" i="1" s="1"/>
  <c r="P2131" i="1" l="1"/>
  <c r="T2131" i="1" s="1"/>
  <c r="P2132" i="1" l="1"/>
  <c r="T2132" i="1" s="1"/>
  <c r="P2133" i="1" l="1"/>
  <c r="T2133" i="1" s="1"/>
  <c r="P2134" i="1" l="1"/>
  <c r="T2134" i="1" s="1"/>
  <c r="P2135" i="1" l="1"/>
  <c r="T2135" i="1" s="1"/>
  <c r="P2136" i="1" l="1"/>
  <c r="T2136" i="1" s="1"/>
  <c r="P2138" i="1" l="1"/>
  <c r="T2138" i="1" s="1"/>
  <c r="P2139" i="1" l="1"/>
  <c r="T2139" i="1" s="1"/>
  <c r="P2140" i="1" l="1"/>
  <c r="T2140" i="1" s="1"/>
  <c r="P2141" i="1" l="1"/>
  <c r="T2141" i="1" s="1"/>
  <c r="P2142" i="1" l="1"/>
  <c r="T2142" i="1" s="1"/>
  <c r="P2143" i="1" l="1"/>
  <c r="T2143" i="1" s="1"/>
  <c r="P2144" i="1" l="1"/>
  <c r="T2144" i="1" s="1"/>
  <c r="P2145" i="1" l="1"/>
  <c r="T2145" i="1" s="1"/>
  <c r="P2146" i="1" l="1"/>
  <c r="T2146" i="1" s="1"/>
  <c r="P2147" i="1" l="1"/>
  <c r="T2147" i="1" s="1"/>
  <c r="P2148" i="1" l="1"/>
  <c r="T2148" i="1" s="1"/>
  <c r="P2149" i="1" l="1"/>
  <c r="T2149" i="1" s="1"/>
  <c r="P2150" i="1" l="1"/>
  <c r="T2150" i="1" s="1"/>
  <c r="P2151" i="1" l="1"/>
  <c r="T2151" i="1" s="1"/>
  <c r="P2152" i="1" l="1"/>
  <c r="T2152" i="1" s="1"/>
  <c r="P2153" i="1" l="1"/>
  <c r="T2153" i="1" s="1"/>
  <c r="P2154" i="1" l="1"/>
  <c r="T2154" i="1" s="1"/>
  <c r="P2155" i="1" l="1"/>
  <c r="T2155" i="1" s="1"/>
  <c r="P2156" i="1" l="1"/>
  <c r="T2156" i="1" s="1"/>
  <c r="P2157" i="1" l="1"/>
  <c r="T2157" i="1" s="1"/>
  <c r="P2158" i="1" l="1"/>
  <c r="T2158" i="1" s="1"/>
  <c r="P2159" i="1" l="1"/>
  <c r="T2159" i="1" s="1"/>
  <c r="P2160" i="1" l="1"/>
  <c r="T2160" i="1" s="1"/>
  <c r="P2161" i="1" l="1"/>
  <c r="T2161" i="1" s="1"/>
  <c r="P2162" i="1" l="1"/>
  <c r="T2162" i="1" s="1"/>
  <c r="P2165" i="1" l="1"/>
  <c r="T2165" i="1" s="1"/>
  <c r="P2166" i="1" l="1"/>
  <c r="T2166" i="1" s="1"/>
  <c r="P2167" i="1" l="1"/>
  <c r="T2167" i="1" s="1"/>
  <c r="P2168" i="1" l="1"/>
  <c r="T2168" i="1" s="1"/>
  <c r="P2169" i="1" l="1"/>
  <c r="T2169" i="1" s="1"/>
  <c r="P2170" i="1" l="1"/>
  <c r="T2170" i="1" s="1"/>
  <c r="P2171" i="1" l="1"/>
  <c r="T2171" i="1" s="1"/>
  <c r="P2172" i="1" l="1"/>
  <c r="T2172" i="1" s="1"/>
  <c r="P2173" i="1" l="1"/>
  <c r="T2173" i="1" s="1"/>
  <c r="P2174" i="1" l="1"/>
  <c r="T2174" i="1" s="1"/>
  <c r="P2175" i="1" l="1"/>
  <c r="T2175" i="1" s="1"/>
  <c r="P2176" i="1" l="1"/>
  <c r="T2176" i="1" s="1"/>
  <c r="P2177" i="1" l="1"/>
  <c r="T2177" i="1" s="1"/>
  <c r="P2178" i="1" l="1"/>
  <c r="T2178" i="1" s="1"/>
  <c r="P2179" i="1" l="1"/>
  <c r="T2179" i="1" s="1"/>
  <c r="P2180" i="1" l="1"/>
  <c r="T2180" i="1" s="1"/>
  <c r="P2181" i="1" l="1"/>
  <c r="T2181" i="1" s="1"/>
  <c r="P2182" i="1" l="1"/>
  <c r="T2182" i="1" s="1"/>
  <c r="P2183" i="1" l="1"/>
  <c r="T2183" i="1" s="1"/>
  <c r="P2184" i="1" l="1"/>
  <c r="T2184" i="1" s="1"/>
  <c r="P2185" i="1" l="1"/>
  <c r="T2185" i="1" s="1"/>
  <c r="P2186" i="1" l="1"/>
  <c r="T2186" i="1" s="1"/>
  <c r="P2187" i="1" l="1"/>
  <c r="T2187" i="1" s="1"/>
  <c r="P2188" i="1" l="1"/>
  <c r="T2188" i="1" s="1"/>
  <c r="P2189" i="1" l="1"/>
  <c r="T2189" i="1" s="1"/>
  <c r="P2190" i="1" l="1"/>
  <c r="T2190" i="1" s="1"/>
  <c r="P2191" i="1" l="1"/>
  <c r="T2191" i="1" s="1"/>
  <c r="P2192" i="1" l="1"/>
  <c r="T2192" i="1" s="1"/>
  <c r="P2194" i="1" l="1"/>
  <c r="T2194" i="1" s="1"/>
  <c r="P2195" i="1" l="1"/>
  <c r="T2195" i="1" s="1"/>
  <c r="P2196" i="1" l="1"/>
  <c r="T2196" i="1" s="1"/>
  <c r="P2197" i="1" l="1"/>
  <c r="T2197" i="1" s="1"/>
  <c r="P2198" i="1" l="1"/>
  <c r="T2198" i="1" s="1"/>
  <c r="P2199" i="1" l="1"/>
  <c r="T2199" i="1" s="1"/>
  <c r="P2200" i="1" l="1"/>
  <c r="T2200" i="1" s="1"/>
  <c r="P2201" i="1" l="1"/>
  <c r="T2201" i="1" s="1"/>
  <c r="P2202" i="1" l="1"/>
  <c r="T2202" i="1" s="1"/>
  <c r="P2203" i="1" l="1"/>
  <c r="T2203" i="1" s="1"/>
  <c r="P2204" i="1" l="1"/>
  <c r="T2204" i="1" s="1"/>
  <c r="P2205" i="1" l="1"/>
  <c r="T2205" i="1" s="1"/>
  <c r="P2206" i="1" l="1"/>
  <c r="T2206" i="1" s="1"/>
  <c r="P2207" i="1" l="1"/>
  <c r="T2207" i="1" s="1"/>
  <c r="P2208" i="1" l="1"/>
  <c r="T2208" i="1" s="1"/>
  <c r="P2209" i="1" l="1"/>
  <c r="T2209" i="1" s="1"/>
  <c r="P2210" i="1" l="1"/>
  <c r="T2210" i="1" s="1"/>
  <c r="P2211" i="1" l="1"/>
  <c r="T2211" i="1" s="1"/>
  <c r="P2212" i="1" l="1"/>
  <c r="T2212" i="1" s="1"/>
  <c r="P2213" i="1" l="1"/>
  <c r="T2213" i="1" s="1"/>
  <c r="P2214" i="1" l="1"/>
  <c r="T2214" i="1" s="1"/>
  <c r="P2215" i="1" l="1"/>
  <c r="T2215" i="1" s="1"/>
  <c r="P2216" i="1" l="1"/>
  <c r="T2216" i="1" s="1"/>
  <c r="P2217" i="1" l="1"/>
  <c r="T2217" i="1" s="1"/>
  <c r="P2218" i="1" l="1"/>
  <c r="T2218" i="1" s="1"/>
  <c r="P2221" i="1" l="1"/>
  <c r="T2221" i="1" s="1"/>
  <c r="P2222" i="1" l="1"/>
  <c r="T2222" i="1" s="1"/>
  <c r="P2223" i="1" l="1"/>
  <c r="T2223" i="1" s="1"/>
  <c r="P2224" i="1" l="1"/>
  <c r="T2224" i="1" s="1"/>
  <c r="P2225" i="1" l="1"/>
  <c r="T2225" i="1" s="1"/>
  <c r="P2226" i="1" l="1"/>
  <c r="T2226" i="1" s="1"/>
  <c r="P2227" i="1" l="1"/>
  <c r="T2227" i="1" s="1"/>
  <c r="P2228" i="1" l="1"/>
  <c r="T2228" i="1" s="1"/>
  <c r="P2229" i="1" l="1"/>
  <c r="T2229" i="1" s="1"/>
  <c r="P2230" i="1" l="1"/>
  <c r="T2230" i="1" s="1"/>
  <c r="P2231" i="1" l="1"/>
  <c r="T2231" i="1" s="1"/>
  <c r="P2232" i="1" l="1"/>
  <c r="T2232" i="1" s="1"/>
  <c r="P2233" i="1" l="1"/>
  <c r="T2233" i="1" s="1"/>
  <c r="P2234" i="1" l="1"/>
  <c r="T2234" i="1" s="1"/>
  <c r="P2235" i="1" l="1"/>
  <c r="T2235" i="1" s="1"/>
  <c r="P2236" i="1" l="1"/>
  <c r="T2236" i="1" s="1"/>
  <c r="P2237" i="1" l="1"/>
  <c r="T2237" i="1" s="1"/>
  <c r="P2238" i="1" l="1"/>
  <c r="T2238" i="1" s="1"/>
  <c r="P2239" i="1" l="1"/>
  <c r="T2239" i="1" s="1"/>
  <c r="P2240" i="1" l="1"/>
  <c r="T2240" i="1" s="1"/>
  <c r="P2241" i="1" l="1"/>
  <c r="T2241" i="1" s="1"/>
  <c r="P2242" i="1" l="1"/>
  <c r="T2242" i="1" s="1"/>
  <c r="P2243" i="1" l="1"/>
  <c r="T2243" i="1" s="1"/>
  <c r="P2244" i="1" l="1"/>
  <c r="T2244" i="1" s="1"/>
  <c r="P2245" i="1" l="1"/>
  <c r="T2245" i="1" s="1"/>
  <c r="P2248" i="1" l="1"/>
  <c r="T2248" i="1" s="1"/>
  <c r="P2249" i="1" l="1"/>
  <c r="T2249" i="1" s="1"/>
  <c r="P2250" i="1" l="1"/>
  <c r="T2250" i="1" s="1"/>
  <c r="P2251" i="1" l="1"/>
  <c r="T2251" i="1" s="1"/>
  <c r="P2252" i="1" l="1"/>
  <c r="T2252" i="1" s="1"/>
  <c r="P2253" i="1" l="1"/>
  <c r="T2253" i="1" s="1"/>
  <c r="P2254" i="1" l="1"/>
  <c r="T2254" i="1" s="1"/>
  <c r="P2255" i="1" l="1"/>
  <c r="T2255" i="1" s="1"/>
  <c r="P2256" i="1" l="1"/>
  <c r="T2256" i="1" s="1"/>
  <c r="P2257" i="1" l="1"/>
  <c r="T2257" i="1" s="1"/>
  <c r="P2258" i="1" l="1"/>
  <c r="T2258" i="1" s="1"/>
  <c r="P2259" i="1" l="1"/>
  <c r="T2259" i="1" s="1"/>
  <c r="P2260" i="1" l="1"/>
  <c r="T2260" i="1" s="1"/>
  <c r="P2261" i="1" l="1"/>
  <c r="T2261" i="1" s="1"/>
  <c r="P2262" i="1" l="1"/>
  <c r="T2262" i="1" s="1"/>
  <c r="P2263" i="1" l="1"/>
  <c r="T2263" i="1" s="1"/>
  <c r="P2264" i="1" l="1"/>
  <c r="T2264" i="1" s="1"/>
  <c r="P2265" i="1" l="1"/>
  <c r="T2265" i="1" s="1"/>
  <c r="P2266" i="1" l="1"/>
  <c r="T2266" i="1" s="1"/>
  <c r="P2267" i="1" l="1"/>
  <c r="T2267" i="1" s="1"/>
  <c r="P2268" i="1" l="1"/>
  <c r="T2268" i="1" s="1"/>
  <c r="P2269" i="1" l="1"/>
  <c r="T2269" i="1" s="1"/>
  <c r="P2270" i="1" l="1"/>
  <c r="T2270" i="1" s="1"/>
  <c r="P2271" i="1" l="1"/>
  <c r="T2271" i="1" s="1"/>
  <c r="P2272" i="1" l="1"/>
  <c r="T2272" i="1" s="1"/>
  <c r="P2275" i="1" l="1"/>
  <c r="T2275" i="1" s="1"/>
  <c r="P2276" i="1" l="1"/>
  <c r="T2276" i="1" s="1"/>
  <c r="P2277" i="1" l="1"/>
  <c r="T2277" i="1" s="1"/>
  <c r="P2278" i="1" l="1"/>
  <c r="T2278" i="1" s="1"/>
  <c r="P2279" i="1" l="1"/>
  <c r="T2279" i="1" s="1"/>
  <c r="P2280" i="1" l="1"/>
  <c r="T2280" i="1" s="1"/>
  <c r="P2281" i="1" l="1"/>
  <c r="T2281" i="1" s="1"/>
  <c r="P2282" i="1" l="1"/>
  <c r="T2282" i="1" s="1"/>
  <c r="P2283" i="1" l="1"/>
  <c r="T2283" i="1" s="1"/>
  <c r="P2284" i="1" l="1"/>
  <c r="T2284" i="1" s="1"/>
  <c r="P2285" i="1" l="1"/>
  <c r="T2285" i="1" s="1"/>
  <c r="P2286" i="1" l="1"/>
  <c r="T2286" i="1" s="1"/>
  <c r="P2287" i="1" l="1"/>
  <c r="T2287" i="1" s="1"/>
  <c r="P2288" i="1" l="1"/>
  <c r="T2288" i="1" s="1"/>
  <c r="P2289" i="1" l="1"/>
  <c r="T2289" i="1" s="1"/>
  <c r="P2290" i="1" l="1"/>
  <c r="T2290" i="1" s="1"/>
  <c r="P2291" i="1" l="1"/>
  <c r="T2291" i="1" s="1"/>
  <c r="P2292" i="1" l="1"/>
  <c r="T2292" i="1" s="1"/>
  <c r="P2293" i="1" l="1"/>
  <c r="T2293" i="1" s="1"/>
  <c r="P2294" i="1" l="1"/>
  <c r="T2294" i="1" s="1"/>
  <c r="P2295" i="1" l="1"/>
  <c r="T2295" i="1" s="1"/>
  <c r="P2296" i="1" l="1"/>
  <c r="T2296" i="1" s="1"/>
  <c r="P2297" i="1" l="1"/>
  <c r="T2297" i="1" s="1"/>
  <c r="P2298" i="1" l="1"/>
  <c r="T2298" i="1" s="1"/>
  <c r="P2299" i="1" l="1"/>
  <c r="T2299" i="1" s="1"/>
  <c r="P2302" i="1" l="1"/>
  <c r="T2302" i="1" s="1"/>
  <c r="P2303" i="1" l="1"/>
  <c r="T2303" i="1" s="1"/>
  <c r="P2304" i="1" l="1"/>
  <c r="T2304" i="1" s="1"/>
  <c r="P2305" i="1" l="1"/>
  <c r="T2305" i="1" s="1"/>
  <c r="P2306" i="1" l="1"/>
  <c r="T2306" i="1" s="1"/>
  <c r="P2307" i="1" l="1"/>
  <c r="T2307" i="1" s="1"/>
  <c r="P2308" i="1" l="1"/>
  <c r="T2308" i="1" s="1"/>
  <c r="P2309" i="1" l="1"/>
  <c r="T2309" i="1" s="1"/>
  <c r="P2310" i="1" l="1"/>
  <c r="T2310" i="1" s="1"/>
  <c r="P2311" i="1" l="1"/>
  <c r="T2311" i="1" s="1"/>
  <c r="P2312" i="1" l="1"/>
  <c r="T2312" i="1" s="1"/>
  <c r="P2313" i="1" l="1"/>
  <c r="T2313" i="1" s="1"/>
  <c r="P2314" i="1" l="1"/>
  <c r="T2314" i="1" s="1"/>
  <c r="P2315" i="1" l="1"/>
  <c r="T2315" i="1" s="1"/>
  <c r="P2316" i="1" l="1"/>
  <c r="T2316" i="1" s="1"/>
  <c r="P2317" i="1" l="1"/>
  <c r="T2317" i="1" s="1"/>
  <c r="P2318" i="1" l="1"/>
  <c r="T2318" i="1" s="1"/>
  <c r="P2319" i="1" l="1"/>
  <c r="T2319" i="1" s="1"/>
  <c r="P2320" i="1" l="1"/>
  <c r="T2320" i="1" s="1"/>
  <c r="P2321" i="1" l="1"/>
  <c r="T2321" i="1" s="1"/>
  <c r="P2322" i="1" l="1"/>
  <c r="T2322" i="1" s="1"/>
  <c r="P2323" i="1" l="1"/>
  <c r="T2323" i="1" s="1"/>
  <c r="P2324" i="1" l="1"/>
  <c r="T2324" i="1" s="1"/>
  <c r="P2325" i="1" l="1"/>
  <c r="T2325" i="1" s="1"/>
  <c r="P2326" i="1" l="1"/>
  <c r="T2326" i="1" s="1"/>
  <c r="P2329" i="1" l="1"/>
  <c r="T2329" i="1" s="1"/>
  <c r="P2330" i="1" l="1"/>
  <c r="T2330" i="1" s="1"/>
  <c r="P2331" i="1" l="1"/>
  <c r="T2331" i="1" s="1"/>
  <c r="P2332" i="1" l="1"/>
  <c r="T2332" i="1" s="1"/>
  <c r="P2333" i="1" l="1"/>
  <c r="T2333" i="1" s="1"/>
  <c r="P2334" i="1" l="1"/>
  <c r="T2334" i="1" s="1"/>
  <c r="P2335" i="1" l="1"/>
  <c r="T2335" i="1" s="1"/>
  <c r="P2336" i="1" l="1"/>
  <c r="T2336" i="1" s="1"/>
  <c r="P2337" i="1" l="1"/>
  <c r="T2337" i="1" s="1"/>
  <c r="P2338" i="1" l="1"/>
  <c r="T2338" i="1" s="1"/>
  <c r="P2339" i="1" l="1"/>
  <c r="T2339" i="1" s="1"/>
  <c r="P2340" i="1" l="1"/>
  <c r="T2340" i="1" s="1"/>
  <c r="P2341" i="1" l="1"/>
  <c r="T2341" i="1" s="1"/>
  <c r="P2342" i="1" l="1"/>
  <c r="T2342" i="1" s="1"/>
  <c r="P2343" i="1" l="1"/>
  <c r="T2343" i="1" s="1"/>
  <c r="P2344" i="1" l="1"/>
  <c r="T2344" i="1" s="1"/>
  <c r="P2345" i="1" l="1"/>
  <c r="T2345" i="1" s="1"/>
  <c r="P2346" i="1" l="1"/>
  <c r="T2346" i="1" s="1"/>
  <c r="P2347" i="1" l="1"/>
  <c r="T2347" i="1" s="1"/>
  <c r="P2348" i="1" l="1"/>
  <c r="T2348" i="1" s="1"/>
  <c r="P2349" i="1" l="1"/>
  <c r="T2349" i="1" s="1"/>
  <c r="P2350" i="1" l="1"/>
  <c r="T2350" i="1" s="1"/>
  <c r="P2351" i="1" l="1"/>
  <c r="T2351" i="1" s="1"/>
  <c r="P2352" i="1" l="1"/>
  <c r="T2352" i="1" s="1"/>
  <c r="P2353" i="1" l="1"/>
  <c r="T2353" i="1" s="1"/>
  <c r="P2356" i="1" l="1"/>
  <c r="T2356" i="1" s="1"/>
  <c r="P2357" i="1" l="1"/>
  <c r="T2357" i="1" s="1"/>
  <c r="P2358" i="1" l="1"/>
  <c r="T2358" i="1" s="1"/>
  <c r="P2359" i="1" l="1"/>
  <c r="T2359" i="1" s="1"/>
  <c r="P2360" i="1" l="1"/>
  <c r="T2360" i="1" s="1"/>
  <c r="P2361" i="1" l="1"/>
  <c r="T2361" i="1" s="1"/>
  <c r="P2362" i="1" l="1"/>
  <c r="T2362" i="1" s="1"/>
  <c r="P2363" i="1" l="1"/>
  <c r="T2363" i="1" s="1"/>
  <c r="P2364" i="1" l="1"/>
  <c r="T2364" i="1" s="1"/>
  <c r="P2365" i="1" l="1"/>
  <c r="T2365" i="1" s="1"/>
  <c r="P2366" i="1" l="1"/>
  <c r="T2366" i="1" s="1"/>
  <c r="P2367" i="1" l="1"/>
  <c r="T2367" i="1" s="1"/>
  <c r="P2368" i="1" l="1"/>
  <c r="T2368" i="1" s="1"/>
  <c r="P2369" i="1" l="1"/>
  <c r="T2369" i="1" s="1"/>
  <c r="P2370" i="1" l="1"/>
  <c r="T2370" i="1" s="1"/>
  <c r="P2371" i="1" l="1"/>
  <c r="T2371" i="1" s="1"/>
  <c r="P2372" i="1" l="1"/>
  <c r="T2372" i="1" s="1"/>
  <c r="P2373" i="1" l="1"/>
  <c r="T2373" i="1" s="1"/>
  <c r="P2374" i="1" l="1"/>
  <c r="T2374" i="1" s="1"/>
  <c r="P2375" i="1" l="1"/>
  <c r="T2375" i="1" s="1"/>
  <c r="P2376" i="1" l="1"/>
  <c r="T2376" i="1" s="1"/>
  <c r="P2377" i="1" l="1"/>
  <c r="T2377" i="1" s="1"/>
  <c r="P2378" i="1" l="1"/>
  <c r="T2378" i="1" s="1"/>
  <c r="P2379" i="1" l="1"/>
  <c r="T2379" i="1" s="1"/>
  <c r="P2380" i="1" l="1"/>
  <c r="T2380" i="1" s="1"/>
  <c r="P2381" i="1"/>
  <c r="T2381" i="1" s="1"/>
</calcChain>
</file>

<file path=xl/sharedStrings.xml><?xml version="1.0" encoding="utf-8"?>
<sst xmlns="http://schemas.openxmlformats.org/spreadsheetml/2006/main" count="2312" uniqueCount="21">
  <si>
    <t>IR KM</t>
  </si>
  <si>
    <t>DFCC NEW KM</t>
  </si>
  <si>
    <t>(ERL)</t>
  </si>
  <si>
    <t>PRL</t>
  </si>
  <si>
    <t>PRL-ERL</t>
  </si>
  <si>
    <t>(EFL)</t>
  </si>
  <si>
    <t>PFL</t>
  </si>
  <si>
    <t>(PFL-EFL)</t>
  </si>
  <si>
    <t>EXG. GL AT TOE OF DFC TRACK (LH)</t>
  </si>
  <si>
    <t>GL</t>
  </si>
  <si>
    <t>-text</t>
  </si>
  <si>
    <t>TC</t>
  </si>
  <si>
    <t>CUTT-FILL</t>
  </si>
  <si>
    <t>278000r</t>
  </si>
  <si>
    <t>278020r</t>
  </si>
  <si>
    <t>291000r</t>
  </si>
  <si>
    <t>291020r</t>
  </si>
  <si>
    <t>291040r</t>
  </si>
  <si>
    <t>291060r</t>
  </si>
  <si>
    <t>291080r</t>
  </si>
  <si>
    <t>Change only PRL &amp; PRL -ERL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</si>
</sst>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\+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 wrapText="1"/>
    </xf>
    <xf numFmtId="166" fontId="1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0" fillId="3" borderId="0" xfId="0" applyFill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166" fontId="0" fillId="4" borderId="0" xfId="0" applyNumberFormat="1" applyFill="1" applyAlignment="1">
      <alignment horizontal="center" vertical="center"/>
    </xf>
    <xf numFmtId="0" fontId="0" fillId="4" borderId="0" xfId="0" quotePrefix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65" fontId="2" fillId="5" borderId="0" xfId="0" applyNumberFormat="1" applyFont="1" applyFill="1" applyAlignment="1">
      <alignment horizontal="center" vertical="center"/>
    </xf>
    <xf numFmtId="164" fontId="2" fillId="5" borderId="0" xfId="0" applyNumberFormat="1" applyFont="1" applyFill="1" applyAlignment="1">
      <alignment horizontal="center" vertical="center"/>
    </xf>
    <xf numFmtId="166" fontId="2" fillId="5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8CCB-2658-485E-B547-48C2C28A43C5}">
  <sheetPr filterMode="1"/>
  <dimension ref="A1:X2381"/>
  <sheetViews>
    <sheetView tabSelected="1" zoomScale="86" zoomScaleNormal="86" workbookViewId="0">
      <pane xSplit="1" ySplit="1" topLeftCell="B1582" activePane="bottomRight" state="frozen"/>
      <selection pane="topRight" activeCell="B1" sqref="B1"/>
      <selection pane="bottomLeft" activeCell="A2" sqref="A2"/>
      <selection pane="bottomRight" activeCell="B1377" sqref="B1377"/>
    </sheetView>
  </sheetViews>
  <sheetFormatPr defaultColWidth="9.1796875" defaultRowHeight="14.5" x14ac:dyDescent="0.35"/>
  <cols>
    <col min="1" max="1" width="14" style="1" bestFit="1" customWidth="1"/>
    <col min="2" max="2" width="15.26953125" style="7" customWidth="1"/>
    <col min="3" max="4" width="8.54296875" style="2" bestFit="1" customWidth="1"/>
    <col min="5" max="5" width="7" style="2" bestFit="1" customWidth="1"/>
    <col min="6" max="7" width="8.54296875" style="2" bestFit="1" customWidth="1"/>
    <col min="8" max="8" width="7" style="2" bestFit="1" customWidth="1"/>
    <col min="9" max="9" width="10.7265625" style="2" bestFit="1" customWidth="1"/>
    <col min="10" max="10" width="8.54296875" style="2" bestFit="1" customWidth="1"/>
    <col min="11" max="11" width="10.1796875" style="15" bestFit="1" customWidth="1"/>
    <col min="12" max="12" width="8.54296875" style="2" bestFit="1" customWidth="1"/>
    <col min="13" max="13" width="2.1796875" style="9" customWidth="1"/>
    <col min="14" max="14" width="8.54296875" style="1" bestFit="1" customWidth="1"/>
    <col min="15" max="15" width="4.54296875" style="1" bestFit="1" customWidth="1"/>
    <col min="16" max="16" width="23.453125" style="1" bestFit="1" customWidth="1"/>
    <col min="17" max="17" width="5" style="1" bestFit="1" customWidth="1"/>
    <col min="18" max="18" width="3.453125" style="1" bestFit="1" customWidth="1"/>
    <col min="19" max="19" width="4.54296875" style="1" bestFit="1" customWidth="1"/>
    <col min="20" max="20" width="41.81640625" style="1" bestFit="1" customWidth="1"/>
    <col min="21" max="16384" width="9.1796875" style="1"/>
  </cols>
  <sheetData>
    <row r="1" spans="1:21" s="5" customFormat="1" ht="43.5" x14ac:dyDescent="0.35">
      <c r="A1" s="3" t="s">
        <v>0</v>
      </c>
      <c r="B1" s="1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4" t="s">
        <v>12</v>
      </c>
      <c r="L1" s="4" t="s">
        <v>11</v>
      </c>
      <c r="M1" s="8"/>
    </row>
    <row r="2" spans="1:21" x14ac:dyDescent="0.35">
      <c r="A2" s="1">
        <v>254500</v>
      </c>
      <c r="B2" s="7">
        <v>1143075.5</v>
      </c>
      <c r="C2" s="2">
        <v>269.86099999999999</v>
      </c>
      <c r="D2" s="2">
        <v>271.26</v>
      </c>
      <c r="E2" s="2">
        <v>1.399</v>
      </c>
      <c r="F2" s="2">
        <v>269.18900000000002</v>
      </c>
      <c r="G2" s="2">
        <v>270.54700000000003</v>
      </c>
      <c r="H2" s="2">
        <v>1.3580000000000001</v>
      </c>
      <c r="I2" s="2">
        <v>268.012</v>
      </c>
      <c r="J2" s="2">
        <v>267.47899999999998</v>
      </c>
      <c r="K2" s="15">
        <v>3.0680000000000001</v>
      </c>
      <c r="L2" s="2">
        <v>30.045000000000002</v>
      </c>
      <c r="N2" s="1">
        <v>0</v>
      </c>
      <c r="O2" s="1">
        <v>0</v>
      </c>
      <c r="P2" s="1" t="str">
        <f>CONCATENATE(N2,",",O2)</f>
        <v>0,0</v>
      </c>
      <c r="Q2" s="6" t="s">
        <v>10</v>
      </c>
      <c r="R2" s="1">
        <v>90</v>
      </c>
      <c r="S2" s="1">
        <v>2.5</v>
      </c>
      <c r="T2" s="1" t="str">
        <f t="shared" ref="T2:T27" si="0">$Q2&amp;" "&amp;$P2&amp;" "&amp;$S2&amp;" "&amp;$R2&amp;" "&amp;$B2</f>
        <v>-text 0,0 2.5 90 1143075.5</v>
      </c>
      <c r="U2" s="2"/>
    </row>
    <row r="3" spans="1:21" x14ac:dyDescent="0.35">
      <c r="A3" s="1">
        <v>254520</v>
      </c>
      <c r="B3" s="7">
        <v>1143095.3999999999</v>
      </c>
      <c r="C3" s="2">
        <v>269.84100000000001</v>
      </c>
      <c r="D3" s="2">
        <v>271.27100000000002</v>
      </c>
      <c r="E3" s="2">
        <v>1.43</v>
      </c>
      <c r="F3" s="2">
        <v>269.16899999999998</v>
      </c>
      <c r="G3" s="2">
        <v>270.55799999999999</v>
      </c>
      <c r="H3" s="2">
        <v>1.389</v>
      </c>
      <c r="I3" s="2">
        <v>267.91899999999998</v>
      </c>
      <c r="J3" s="2">
        <v>267.89999999999998</v>
      </c>
      <c r="K3" s="15">
        <v>2.6579999999999999</v>
      </c>
      <c r="L3" s="2">
        <v>29.763999999999999</v>
      </c>
      <c r="N3" s="7">
        <f t="shared" ref="N3:N26" si="1">N2+(B3-B2)</f>
        <v>19.899999999906868</v>
      </c>
      <c r="O3" s="1">
        <v>0</v>
      </c>
      <c r="P3" s="1" t="str">
        <f t="shared" ref="P3:P27" si="2">CONCATENATE(N3,",",O3)</f>
        <v>19.8999999999069,0</v>
      </c>
      <c r="Q3" s="6" t="s">
        <v>10</v>
      </c>
      <c r="R3" s="1">
        <v>90</v>
      </c>
      <c r="S3" s="1">
        <v>2.5</v>
      </c>
      <c r="T3" s="1" t="str">
        <f t="shared" si="0"/>
        <v>-text 19.8999999999069,0 2.5 90 1143095.4</v>
      </c>
    </row>
    <row r="4" spans="1:21" x14ac:dyDescent="0.35">
      <c r="A4" s="1">
        <v>254540</v>
      </c>
      <c r="B4" s="7">
        <v>1143115.6000000001</v>
      </c>
      <c r="C4" s="2">
        <v>269.85300000000001</v>
      </c>
      <c r="D4" s="2">
        <v>271.28199999999998</v>
      </c>
      <c r="E4" s="2">
        <v>1.429</v>
      </c>
      <c r="F4" s="2">
        <v>269.18099999999998</v>
      </c>
      <c r="G4" s="2">
        <v>270.56900000000002</v>
      </c>
      <c r="H4" s="2">
        <v>1.3879999999999999</v>
      </c>
      <c r="I4" s="2">
        <v>267.86</v>
      </c>
      <c r="J4" s="2">
        <v>267.91800000000001</v>
      </c>
      <c r="K4" s="15">
        <v>2.6509999999999998</v>
      </c>
      <c r="L4" s="2">
        <v>29.5</v>
      </c>
      <c r="N4" s="7">
        <f t="shared" si="1"/>
        <v>40.100000000093132</v>
      </c>
      <c r="O4" s="1">
        <v>0</v>
      </c>
      <c r="P4" s="1" t="str">
        <f t="shared" si="2"/>
        <v>40.1000000000931,0</v>
      </c>
      <c r="Q4" s="6" t="s">
        <v>10</v>
      </c>
      <c r="R4" s="1">
        <v>90</v>
      </c>
      <c r="S4" s="1">
        <v>2.5</v>
      </c>
      <c r="T4" s="1" t="str">
        <f t="shared" si="0"/>
        <v>-text 40.1000000000931,0 2.5 90 1143115.6</v>
      </c>
    </row>
    <row r="5" spans="1:21" x14ac:dyDescent="0.35">
      <c r="A5" s="1">
        <v>254560</v>
      </c>
      <c r="B5" s="7">
        <v>1143135.6000000001</v>
      </c>
      <c r="C5" s="2">
        <v>269.863</v>
      </c>
      <c r="D5" s="2">
        <v>271.29399999999998</v>
      </c>
      <c r="E5" s="2">
        <v>1.431</v>
      </c>
      <c r="F5" s="2">
        <v>269.19099999999997</v>
      </c>
      <c r="G5" s="2">
        <v>270.58100000000002</v>
      </c>
      <c r="H5" s="2">
        <v>1.39</v>
      </c>
      <c r="I5" s="2">
        <v>267.90899999999999</v>
      </c>
      <c r="J5" s="2">
        <v>267.637</v>
      </c>
      <c r="K5" s="15">
        <v>2.9430000000000001</v>
      </c>
      <c r="L5" s="2">
        <v>29.29</v>
      </c>
      <c r="N5" s="7">
        <f t="shared" si="1"/>
        <v>60.100000000093132</v>
      </c>
      <c r="O5" s="1">
        <v>0</v>
      </c>
      <c r="P5" s="1" t="str">
        <f t="shared" si="2"/>
        <v>60.1000000000931,0</v>
      </c>
      <c r="Q5" s="6" t="s">
        <v>10</v>
      </c>
      <c r="R5" s="1">
        <v>90</v>
      </c>
      <c r="S5" s="1">
        <v>2.5</v>
      </c>
      <c r="T5" s="1" t="str">
        <f t="shared" si="0"/>
        <v>-text 60.1000000000931,0 2.5 90 1143135.6</v>
      </c>
    </row>
    <row r="6" spans="1:21" x14ac:dyDescent="0.35">
      <c r="A6" s="1">
        <v>254580</v>
      </c>
      <c r="B6" s="7">
        <v>1143155.6000000001</v>
      </c>
      <c r="C6" s="2">
        <v>269.83300000000003</v>
      </c>
      <c r="D6" s="2">
        <v>271.30500000000001</v>
      </c>
      <c r="E6" s="2">
        <v>1.472</v>
      </c>
      <c r="F6" s="2">
        <v>269.161</v>
      </c>
      <c r="G6" s="2">
        <v>270.59199999999998</v>
      </c>
      <c r="H6" s="2">
        <v>1.431</v>
      </c>
      <c r="I6" s="2">
        <v>267.98399999999998</v>
      </c>
      <c r="J6" s="2">
        <v>267.57</v>
      </c>
      <c r="K6" s="15">
        <v>3.0219999999999998</v>
      </c>
      <c r="L6" s="2">
        <v>29.085000000000001</v>
      </c>
      <c r="N6" s="7">
        <f t="shared" si="1"/>
        <v>80.100000000093132</v>
      </c>
      <c r="O6" s="1">
        <v>0</v>
      </c>
      <c r="P6" s="1" t="str">
        <f t="shared" si="2"/>
        <v>80.1000000000931,0</v>
      </c>
      <c r="Q6" s="6" t="s">
        <v>10</v>
      </c>
      <c r="R6" s="1">
        <v>90</v>
      </c>
      <c r="S6" s="1">
        <v>2.5</v>
      </c>
      <c r="T6" s="1" t="str">
        <f t="shared" si="0"/>
        <v>-text 80.1000000000931,0 2.5 90 1143155.6</v>
      </c>
    </row>
    <row r="7" spans="1:21" x14ac:dyDescent="0.35">
      <c r="A7" s="1">
        <v>254600</v>
      </c>
      <c r="B7" s="7">
        <v>1143175.5</v>
      </c>
      <c r="C7" s="2">
        <v>269.78199999999998</v>
      </c>
      <c r="D7" s="2">
        <v>271.31599999999997</v>
      </c>
      <c r="E7" s="2">
        <v>1.534</v>
      </c>
      <c r="F7" s="2">
        <v>269.11</v>
      </c>
      <c r="G7" s="2">
        <v>270.60300000000001</v>
      </c>
      <c r="H7" s="2">
        <v>1.4930000000000001</v>
      </c>
      <c r="I7" s="2">
        <v>268.06200000000001</v>
      </c>
      <c r="J7" s="2">
        <v>267.85899999999998</v>
      </c>
      <c r="K7" s="15">
        <v>2.7440000000000002</v>
      </c>
      <c r="L7" s="2">
        <v>28.82</v>
      </c>
      <c r="N7" s="7">
        <f t="shared" si="1"/>
        <v>100</v>
      </c>
      <c r="O7" s="1">
        <v>0</v>
      </c>
      <c r="P7" s="1" t="str">
        <f t="shared" si="2"/>
        <v>100,0</v>
      </c>
      <c r="Q7" s="6" t="s">
        <v>10</v>
      </c>
      <c r="R7" s="1">
        <v>90</v>
      </c>
      <c r="S7" s="1">
        <v>2.5</v>
      </c>
      <c r="T7" s="1" t="str">
        <f t="shared" si="0"/>
        <v>-text 100,0 2.5 90 1143175.5</v>
      </c>
    </row>
    <row r="8" spans="1:21" x14ac:dyDescent="0.35">
      <c r="A8" s="1">
        <v>254620</v>
      </c>
      <c r="B8" s="7">
        <v>1143195.5</v>
      </c>
      <c r="C8" s="2">
        <v>269.78100000000001</v>
      </c>
      <c r="D8" s="2">
        <v>271.327</v>
      </c>
      <c r="E8" s="2">
        <v>1.5469999999999999</v>
      </c>
      <c r="F8" s="2">
        <v>269.10899999999998</v>
      </c>
      <c r="G8" s="2">
        <v>270.61399999999998</v>
      </c>
      <c r="H8" s="2">
        <v>1.506</v>
      </c>
      <c r="I8" s="2">
        <v>268.01</v>
      </c>
      <c r="J8" s="2">
        <v>267.71199999999999</v>
      </c>
      <c r="K8" s="15">
        <v>2.9020000000000001</v>
      </c>
      <c r="L8" s="2">
        <v>28.579000000000001</v>
      </c>
      <c r="N8" s="7">
        <f t="shared" si="1"/>
        <v>120</v>
      </c>
      <c r="O8" s="1">
        <v>0</v>
      </c>
      <c r="P8" s="1" t="str">
        <f t="shared" si="2"/>
        <v>120,0</v>
      </c>
      <c r="Q8" s="6" t="s">
        <v>10</v>
      </c>
      <c r="R8" s="1">
        <v>90</v>
      </c>
      <c r="S8" s="1">
        <v>2.5</v>
      </c>
      <c r="T8" s="1" t="str">
        <f t="shared" si="0"/>
        <v>-text 120,0 2.5 90 1143195.5</v>
      </c>
    </row>
    <row r="9" spans="1:21" x14ac:dyDescent="0.35">
      <c r="A9" s="1">
        <v>254640</v>
      </c>
      <c r="B9" s="7">
        <v>1143215.5</v>
      </c>
      <c r="C9" s="2">
        <v>269.77300000000002</v>
      </c>
      <c r="D9" s="2">
        <v>271.339</v>
      </c>
      <c r="E9" s="2">
        <v>1.5649999999999999</v>
      </c>
      <c r="F9" s="2">
        <v>269.101</v>
      </c>
      <c r="G9" s="2">
        <v>270.62599999999998</v>
      </c>
      <c r="H9" s="2">
        <v>1.524</v>
      </c>
      <c r="I9" s="2">
        <v>267.99299999999999</v>
      </c>
      <c r="J9" s="2">
        <v>267.69099999999997</v>
      </c>
      <c r="K9" s="15">
        <v>2.9340000000000002</v>
      </c>
      <c r="L9" s="2">
        <v>28.306999999999999</v>
      </c>
      <c r="N9" s="7">
        <f t="shared" si="1"/>
        <v>140</v>
      </c>
      <c r="O9" s="1">
        <v>0</v>
      </c>
      <c r="P9" s="1" t="str">
        <f t="shared" si="2"/>
        <v>140,0</v>
      </c>
      <c r="Q9" s="6" t="s">
        <v>10</v>
      </c>
      <c r="R9" s="1">
        <v>90</v>
      </c>
      <c r="S9" s="1">
        <v>2.5</v>
      </c>
      <c r="T9" s="1" t="str">
        <f t="shared" si="0"/>
        <v>-text 140,0 2.5 90 1143215.5</v>
      </c>
    </row>
    <row r="10" spans="1:21" x14ac:dyDescent="0.35">
      <c r="A10" s="1">
        <v>254660</v>
      </c>
      <c r="B10" s="7">
        <v>1143235.5</v>
      </c>
      <c r="C10" s="2">
        <v>269.78899999999999</v>
      </c>
      <c r="D10" s="2">
        <v>271.35000000000002</v>
      </c>
      <c r="E10" s="2">
        <v>1.56</v>
      </c>
      <c r="F10" s="2">
        <v>269.11700000000002</v>
      </c>
      <c r="G10" s="2">
        <v>270.637</v>
      </c>
      <c r="H10" s="2">
        <v>1.5189999999999999</v>
      </c>
      <c r="I10" s="2">
        <v>267.95400000000001</v>
      </c>
      <c r="J10" s="2">
        <v>267.60899999999998</v>
      </c>
      <c r="K10" s="15">
        <v>3.028</v>
      </c>
      <c r="L10" s="2">
        <v>28.05</v>
      </c>
      <c r="N10" s="7">
        <f t="shared" si="1"/>
        <v>160</v>
      </c>
      <c r="O10" s="1">
        <v>0</v>
      </c>
      <c r="P10" s="1" t="str">
        <f t="shared" si="2"/>
        <v>160,0</v>
      </c>
      <c r="Q10" s="6" t="s">
        <v>10</v>
      </c>
      <c r="R10" s="1">
        <v>90</v>
      </c>
      <c r="S10" s="1">
        <v>2.5</v>
      </c>
      <c r="T10" s="1" t="str">
        <f t="shared" si="0"/>
        <v>-text 160,0 2.5 90 1143235.5</v>
      </c>
    </row>
    <row r="11" spans="1:21" x14ac:dyDescent="0.35">
      <c r="A11" s="1">
        <v>254680</v>
      </c>
      <c r="B11" s="7">
        <v>1143255.5</v>
      </c>
      <c r="C11" s="2">
        <v>269.79399999999998</v>
      </c>
      <c r="D11" s="2">
        <v>271.36099999999999</v>
      </c>
      <c r="E11" s="2">
        <v>1.5669999999999999</v>
      </c>
      <c r="F11" s="2">
        <v>269.12200000000001</v>
      </c>
      <c r="G11" s="2">
        <v>270.64800000000002</v>
      </c>
      <c r="H11" s="2">
        <v>1.526</v>
      </c>
      <c r="I11" s="2">
        <v>268.03899999999999</v>
      </c>
      <c r="J11" s="2">
        <v>267.69799999999998</v>
      </c>
      <c r="K11" s="15">
        <v>2.95</v>
      </c>
      <c r="L11" s="2">
        <v>27.834</v>
      </c>
      <c r="N11" s="7">
        <f t="shared" si="1"/>
        <v>180</v>
      </c>
      <c r="O11" s="1">
        <v>0</v>
      </c>
      <c r="P11" s="1" t="str">
        <f t="shared" si="2"/>
        <v>180,0</v>
      </c>
      <c r="Q11" s="6" t="s">
        <v>10</v>
      </c>
      <c r="R11" s="1">
        <v>90</v>
      </c>
      <c r="S11" s="1">
        <v>2.5</v>
      </c>
      <c r="T11" s="1" t="str">
        <f t="shared" si="0"/>
        <v>-text 180,0 2.5 90 1143255.5</v>
      </c>
    </row>
    <row r="12" spans="1:21" x14ac:dyDescent="0.35">
      <c r="A12" s="1">
        <v>254700</v>
      </c>
      <c r="B12" s="7">
        <v>1143275.5</v>
      </c>
      <c r="C12" s="2">
        <v>269.774</v>
      </c>
      <c r="D12" s="2">
        <v>271.37200000000001</v>
      </c>
      <c r="E12" s="2">
        <v>1.5980000000000001</v>
      </c>
      <c r="F12" s="2">
        <v>269.10199999999998</v>
      </c>
      <c r="G12" s="2">
        <v>270.65899999999999</v>
      </c>
      <c r="H12" s="2">
        <v>1.5569999999999999</v>
      </c>
      <c r="I12" s="2">
        <v>268.101</v>
      </c>
      <c r="J12" s="2">
        <v>268.33100000000002</v>
      </c>
      <c r="K12" s="15">
        <v>2.3279999999999998</v>
      </c>
      <c r="L12" s="2">
        <v>27.599</v>
      </c>
      <c r="N12" s="7">
        <f t="shared" si="1"/>
        <v>200</v>
      </c>
      <c r="O12" s="1">
        <v>0</v>
      </c>
      <c r="P12" s="1" t="str">
        <f t="shared" si="2"/>
        <v>200,0</v>
      </c>
      <c r="Q12" s="6" t="s">
        <v>10</v>
      </c>
      <c r="R12" s="1">
        <v>90</v>
      </c>
      <c r="S12" s="1">
        <v>2.5</v>
      </c>
      <c r="T12" s="1" t="str">
        <f t="shared" si="0"/>
        <v>-text 200,0 2.5 90 1143275.5</v>
      </c>
    </row>
    <row r="13" spans="1:21" x14ac:dyDescent="0.35">
      <c r="A13" s="1">
        <v>254720</v>
      </c>
      <c r="B13" s="7">
        <v>1143295.5</v>
      </c>
      <c r="C13" s="2">
        <v>269.75</v>
      </c>
      <c r="D13" s="2">
        <v>271.38299999999998</v>
      </c>
      <c r="E13" s="2">
        <v>1.633</v>
      </c>
      <c r="F13" s="2">
        <v>269.07799999999997</v>
      </c>
      <c r="G13" s="2">
        <v>270.67</v>
      </c>
      <c r="H13" s="2">
        <v>1.5920000000000001</v>
      </c>
      <c r="I13" s="2">
        <v>268.13600000000002</v>
      </c>
      <c r="J13" s="2">
        <v>267.76400000000001</v>
      </c>
      <c r="K13" s="15">
        <v>2.9060000000000001</v>
      </c>
      <c r="L13" s="2">
        <v>27.352</v>
      </c>
      <c r="N13" s="7">
        <f t="shared" si="1"/>
        <v>220</v>
      </c>
      <c r="O13" s="1">
        <v>0</v>
      </c>
      <c r="P13" s="1" t="str">
        <f t="shared" si="2"/>
        <v>220,0</v>
      </c>
      <c r="Q13" s="6" t="s">
        <v>10</v>
      </c>
      <c r="R13" s="1">
        <v>90</v>
      </c>
      <c r="S13" s="1">
        <v>2.5</v>
      </c>
      <c r="T13" s="1" t="str">
        <f t="shared" si="0"/>
        <v>-text 220,0 2.5 90 1143295.5</v>
      </c>
    </row>
    <row r="14" spans="1:21" x14ac:dyDescent="0.35">
      <c r="A14" s="1">
        <v>254740</v>
      </c>
      <c r="B14" s="7">
        <v>1143315.5</v>
      </c>
      <c r="C14" s="2">
        <v>269.70499999999998</v>
      </c>
      <c r="D14" s="2">
        <v>271.39499999999998</v>
      </c>
      <c r="E14" s="2">
        <v>1.6890000000000001</v>
      </c>
      <c r="F14" s="2">
        <v>269.03300000000002</v>
      </c>
      <c r="G14" s="2">
        <v>270.68200000000002</v>
      </c>
      <c r="H14" s="2">
        <v>1.6479999999999999</v>
      </c>
      <c r="I14" s="2">
        <v>268.17200000000003</v>
      </c>
      <c r="J14" s="2">
        <v>267.72399999999999</v>
      </c>
      <c r="K14" s="15">
        <v>2.9580000000000002</v>
      </c>
      <c r="L14" s="2">
        <v>27.113</v>
      </c>
      <c r="N14" s="7">
        <f t="shared" si="1"/>
        <v>240</v>
      </c>
      <c r="O14" s="1">
        <v>0</v>
      </c>
      <c r="P14" s="1" t="str">
        <f t="shared" si="2"/>
        <v>240,0</v>
      </c>
      <c r="Q14" s="6" t="s">
        <v>10</v>
      </c>
      <c r="R14" s="1">
        <v>90</v>
      </c>
      <c r="S14" s="1">
        <v>2.5</v>
      </c>
      <c r="T14" s="1" t="str">
        <f t="shared" si="0"/>
        <v>-text 240,0 2.5 90 1143315.5</v>
      </c>
    </row>
    <row r="15" spans="1:21" x14ac:dyDescent="0.35">
      <c r="A15" s="1">
        <v>254760</v>
      </c>
      <c r="B15" s="7">
        <v>1143335.6000000001</v>
      </c>
      <c r="C15" s="2">
        <v>269.685</v>
      </c>
      <c r="D15" s="2">
        <v>271.40600000000001</v>
      </c>
      <c r="E15" s="2">
        <v>1.7210000000000001</v>
      </c>
      <c r="F15" s="2">
        <v>269.01299999999998</v>
      </c>
      <c r="G15" s="2">
        <v>270.69299999999998</v>
      </c>
      <c r="H15" s="2">
        <v>1.68</v>
      </c>
      <c r="I15" s="2">
        <v>268.15300000000002</v>
      </c>
      <c r="J15" s="2">
        <v>267.822</v>
      </c>
      <c r="K15" s="15">
        <v>2.871</v>
      </c>
      <c r="L15" s="2">
        <v>26.873000000000001</v>
      </c>
      <c r="N15" s="7">
        <f t="shared" si="1"/>
        <v>260.10000000009313</v>
      </c>
      <c r="O15" s="1">
        <v>0</v>
      </c>
      <c r="P15" s="1" t="str">
        <f t="shared" si="2"/>
        <v>260.100000000093,0</v>
      </c>
      <c r="Q15" s="6" t="s">
        <v>10</v>
      </c>
      <c r="R15" s="1">
        <v>90</v>
      </c>
      <c r="S15" s="1">
        <v>2.5</v>
      </c>
      <c r="T15" s="1" t="str">
        <f t="shared" si="0"/>
        <v>-text 260.100000000093,0 2.5 90 1143335.6</v>
      </c>
    </row>
    <row r="16" spans="1:21" x14ac:dyDescent="0.35">
      <c r="A16" s="1">
        <v>254780</v>
      </c>
      <c r="B16" s="7">
        <v>1143355.5</v>
      </c>
      <c r="C16" s="2">
        <v>269.685</v>
      </c>
      <c r="D16" s="2">
        <v>271.41699999999997</v>
      </c>
      <c r="E16" s="2">
        <v>1.732</v>
      </c>
      <c r="F16" s="2">
        <v>269.01299999999998</v>
      </c>
      <c r="G16" s="2">
        <v>270.70400000000001</v>
      </c>
      <c r="H16" s="2">
        <v>1.6910000000000001</v>
      </c>
      <c r="I16" s="2">
        <v>268.14699999999999</v>
      </c>
      <c r="J16" s="2">
        <v>267.95800000000003</v>
      </c>
      <c r="K16" s="15">
        <v>2.746</v>
      </c>
      <c r="L16" s="2">
        <v>26.631</v>
      </c>
      <c r="N16" s="7">
        <f t="shared" si="1"/>
        <v>280</v>
      </c>
      <c r="O16" s="1">
        <v>0</v>
      </c>
      <c r="P16" s="1" t="str">
        <f t="shared" si="2"/>
        <v>280,0</v>
      </c>
      <c r="Q16" s="6" t="s">
        <v>10</v>
      </c>
      <c r="R16" s="1">
        <v>90</v>
      </c>
      <c r="S16" s="1">
        <v>2.5</v>
      </c>
      <c r="T16" s="1" t="str">
        <f t="shared" si="0"/>
        <v>-text 280,0 2.5 90 1143355.5</v>
      </c>
    </row>
    <row r="17" spans="1:20" x14ac:dyDescent="0.35">
      <c r="A17" s="1">
        <v>254800</v>
      </c>
      <c r="B17" s="7">
        <v>1143375.6000000001</v>
      </c>
      <c r="C17" s="2">
        <v>269.68799999999999</v>
      </c>
      <c r="D17" s="2">
        <v>271.428</v>
      </c>
      <c r="E17" s="2">
        <v>1.74</v>
      </c>
      <c r="F17" s="2">
        <v>269.01600000000002</v>
      </c>
      <c r="G17" s="2">
        <v>270.71499999999997</v>
      </c>
      <c r="H17" s="2">
        <v>1.6990000000000001</v>
      </c>
      <c r="I17" s="2">
        <v>267.86200000000002</v>
      </c>
      <c r="J17" s="2">
        <v>267.91800000000001</v>
      </c>
      <c r="K17" s="15">
        <v>2.798</v>
      </c>
      <c r="L17" s="2">
        <v>26.393000000000001</v>
      </c>
      <c r="N17" s="7">
        <f t="shared" si="1"/>
        <v>300.10000000009313</v>
      </c>
      <c r="O17" s="1">
        <v>0</v>
      </c>
      <c r="P17" s="1" t="str">
        <f t="shared" si="2"/>
        <v>300.100000000093,0</v>
      </c>
      <c r="Q17" s="6" t="s">
        <v>10</v>
      </c>
      <c r="R17" s="1">
        <v>90</v>
      </c>
      <c r="S17" s="1">
        <v>2.5</v>
      </c>
      <c r="T17" s="1" t="str">
        <f t="shared" si="0"/>
        <v>-text 300.100000000093,0 2.5 90 1143375.6</v>
      </c>
    </row>
    <row r="18" spans="1:20" x14ac:dyDescent="0.35">
      <c r="A18" s="1">
        <v>254820</v>
      </c>
      <c r="B18" s="7">
        <v>1143395.5</v>
      </c>
      <c r="C18" s="2">
        <v>269.70800000000003</v>
      </c>
      <c r="D18" s="2">
        <v>271.44</v>
      </c>
      <c r="E18" s="2">
        <v>1.7310000000000001</v>
      </c>
      <c r="F18" s="2">
        <v>269.036</v>
      </c>
      <c r="G18" s="2">
        <v>270.72699999999998</v>
      </c>
      <c r="H18" s="2">
        <v>1.69</v>
      </c>
      <c r="I18" s="2">
        <v>267.78699999999998</v>
      </c>
      <c r="J18" s="2">
        <v>267.75299999999999</v>
      </c>
      <c r="K18" s="15">
        <v>2.9740000000000002</v>
      </c>
      <c r="L18" s="2">
        <v>26.131</v>
      </c>
      <c r="N18" s="7">
        <f t="shared" si="1"/>
        <v>320</v>
      </c>
      <c r="O18" s="1">
        <v>0</v>
      </c>
      <c r="P18" s="1" t="str">
        <f t="shared" si="2"/>
        <v>320,0</v>
      </c>
      <c r="Q18" s="6" t="s">
        <v>10</v>
      </c>
      <c r="R18" s="1">
        <v>90</v>
      </c>
      <c r="S18" s="1">
        <v>2.5</v>
      </c>
      <c r="T18" s="1" t="str">
        <f t="shared" si="0"/>
        <v>-text 320,0 2.5 90 1143395.5</v>
      </c>
    </row>
    <row r="19" spans="1:20" x14ac:dyDescent="0.35">
      <c r="A19" s="1">
        <v>254840</v>
      </c>
      <c r="B19" s="7">
        <v>1143415.5</v>
      </c>
      <c r="C19" s="2">
        <v>269.72899999999998</v>
      </c>
      <c r="D19" s="2">
        <v>271.45100000000002</v>
      </c>
      <c r="E19" s="2">
        <v>1.722</v>
      </c>
      <c r="F19" s="2">
        <v>269.05700000000002</v>
      </c>
      <c r="G19" s="2">
        <v>270.738</v>
      </c>
      <c r="H19" s="2">
        <v>1.681</v>
      </c>
      <c r="I19" s="2">
        <v>267.77699999999999</v>
      </c>
      <c r="J19" s="2">
        <v>267.75799999999998</v>
      </c>
      <c r="K19" s="15">
        <v>2.98</v>
      </c>
      <c r="L19" s="2">
        <v>25.856000000000002</v>
      </c>
      <c r="N19" s="7">
        <f t="shared" si="1"/>
        <v>340</v>
      </c>
      <c r="O19" s="1">
        <v>0</v>
      </c>
      <c r="P19" s="1" t="str">
        <f t="shared" si="2"/>
        <v>340,0</v>
      </c>
      <c r="Q19" s="6" t="s">
        <v>10</v>
      </c>
      <c r="R19" s="1">
        <v>90</v>
      </c>
      <c r="S19" s="1">
        <v>2.5</v>
      </c>
      <c r="T19" s="1" t="str">
        <f t="shared" si="0"/>
        <v>-text 340,0 2.5 90 1143415.5</v>
      </c>
    </row>
    <row r="20" spans="1:20" x14ac:dyDescent="0.35">
      <c r="A20" s="1">
        <v>254860</v>
      </c>
      <c r="B20" s="7">
        <v>1143435.5</v>
      </c>
      <c r="C20" s="2">
        <v>269.76299999999998</v>
      </c>
      <c r="D20" s="2">
        <v>271.46199999999999</v>
      </c>
      <c r="E20" s="2">
        <v>1.6990000000000001</v>
      </c>
      <c r="F20" s="2">
        <v>269.09100000000001</v>
      </c>
      <c r="G20" s="2">
        <v>270.74900000000002</v>
      </c>
      <c r="H20" s="2">
        <v>1.6579999999999999</v>
      </c>
      <c r="I20" s="2">
        <v>268.37700000000001</v>
      </c>
      <c r="J20" s="2">
        <v>268.428</v>
      </c>
      <c r="K20" s="15">
        <v>2.3210000000000002</v>
      </c>
      <c r="L20" s="2">
        <v>25.597999999999999</v>
      </c>
      <c r="N20" s="7">
        <f t="shared" si="1"/>
        <v>360</v>
      </c>
      <c r="O20" s="1">
        <v>0</v>
      </c>
      <c r="P20" s="1" t="str">
        <f t="shared" si="2"/>
        <v>360,0</v>
      </c>
      <c r="Q20" s="6" t="s">
        <v>10</v>
      </c>
      <c r="R20" s="1">
        <v>90</v>
      </c>
      <c r="S20" s="1">
        <v>2.5</v>
      </c>
      <c r="T20" s="1" t="str">
        <f t="shared" si="0"/>
        <v>-text 360,0 2.5 90 1143435.5</v>
      </c>
    </row>
    <row r="21" spans="1:20" x14ac:dyDescent="0.35">
      <c r="A21" s="1">
        <v>254880</v>
      </c>
      <c r="B21" s="7">
        <v>1143455.5</v>
      </c>
      <c r="C21" s="2">
        <v>269.80799999999999</v>
      </c>
      <c r="D21" s="2">
        <v>271.47300000000001</v>
      </c>
      <c r="E21" s="2">
        <v>1.665</v>
      </c>
      <c r="F21" s="2">
        <v>269.13600000000002</v>
      </c>
      <c r="G21" s="2">
        <v>270.76</v>
      </c>
      <c r="H21" s="2">
        <v>1.6240000000000001</v>
      </c>
      <c r="I21" s="2">
        <v>268.32100000000003</v>
      </c>
      <c r="J21" s="2">
        <v>268.33</v>
      </c>
      <c r="K21" s="15">
        <v>2.4300000000000002</v>
      </c>
      <c r="L21" s="2">
        <v>25.344999999999999</v>
      </c>
      <c r="N21" s="7">
        <f t="shared" si="1"/>
        <v>380</v>
      </c>
      <c r="O21" s="1">
        <v>0</v>
      </c>
      <c r="P21" s="1" t="str">
        <f t="shared" si="2"/>
        <v>380,0</v>
      </c>
      <c r="Q21" s="6" t="s">
        <v>10</v>
      </c>
      <c r="R21" s="1">
        <v>90</v>
      </c>
      <c r="S21" s="1">
        <v>2.5</v>
      </c>
      <c r="T21" s="1" t="str">
        <f t="shared" si="0"/>
        <v>-text 380,0 2.5 90 1143455.5</v>
      </c>
    </row>
    <row r="22" spans="1:20" x14ac:dyDescent="0.35">
      <c r="A22" s="1">
        <v>254900</v>
      </c>
      <c r="B22" s="7">
        <v>1143475.5</v>
      </c>
      <c r="C22" s="2">
        <v>269.79300000000001</v>
      </c>
      <c r="D22" s="2">
        <v>271.48399999999998</v>
      </c>
      <c r="E22" s="2">
        <v>1.6919999999999999</v>
      </c>
      <c r="F22" s="2">
        <v>269.12099999999998</v>
      </c>
      <c r="G22" s="2">
        <v>270.77100000000002</v>
      </c>
      <c r="H22" s="2">
        <v>1.651</v>
      </c>
      <c r="I22" s="2">
        <v>267.39499999999998</v>
      </c>
      <c r="J22" s="2">
        <v>267.28300000000002</v>
      </c>
      <c r="K22" s="15">
        <v>3.4889999999999999</v>
      </c>
      <c r="L22" s="2">
        <v>25.084</v>
      </c>
      <c r="N22" s="7">
        <f t="shared" si="1"/>
        <v>400</v>
      </c>
      <c r="O22" s="1">
        <v>0</v>
      </c>
      <c r="P22" s="1" t="str">
        <f t="shared" si="2"/>
        <v>400,0</v>
      </c>
      <c r="Q22" s="6" t="s">
        <v>10</v>
      </c>
      <c r="R22" s="1">
        <v>90</v>
      </c>
      <c r="S22" s="1">
        <v>2.5</v>
      </c>
      <c r="T22" s="1" t="str">
        <f t="shared" si="0"/>
        <v>-text 400,0 2.5 90 1143475.5</v>
      </c>
    </row>
    <row r="23" spans="1:20" x14ac:dyDescent="0.35">
      <c r="A23" s="1">
        <v>254920</v>
      </c>
      <c r="B23" s="7">
        <v>1143495.5</v>
      </c>
      <c r="C23" s="2">
        <v>269.77199999999999</v>
      </c>
      <c r="D23" s="2">
        <v>271.49599999999998</v>
      </c>
      <c r="E23" s="2">
        <v>1.724</v>
      </c>
      <c r="F23" s="2">
        <v>269.10000000000002</v>
      </c>
      <c r="G23" s="2">
        <v>270.78300000000002</v>
      </c>
      <c r="H23" s="2">
        <v>1.6830000000000001</v>
      </c>
      <c r="I23" s="2">
        <v>267.33300000000003</v>
      </c>
      <c r="J23" s="2">
        <v>267.30599999999998</v>
      </c>
      <c r="K23" s="15">
        <v>3.4769999999999999</v>
      </c>
      <c r="L23" s="2">
        <v>24.818000000000001</v>
      </c>
      <c r="N23" s="7">
        <f t="shared" si="1"/>
        <v>420</v>
      </c>
      <c r="O23" s="1">
        <v>0</v>
      </c>
      <c r="P23" s="1" t="str">
        <f t="shared" si="2"/>
        <v>420,0</v>
      </c>
      <c r="Q23" s="6" t="s">
        <v>10</v>
      </c>
      <c r="R23" s="1">
        <v>90</v>
      </c>
      <c r="S23" s="1">
        <v>2.5</v>
      </c>
      <c r="T23" s="1" t="str">
        <f t="shared" si="0"/>
        <v>-text 420,0 2.5 90 1143495.5</v>
      </c>
    </row>
    <row r="24" spans="1:20" x14ac:dyDescent="0.35">
      <c r="A24" s="1">
        <v>254940</v>
      </c>
      <c r="B24" s="7">
        <v>1143515.6000000001</v>
      </c>
      <c r="C24" s="2">
        <v>269.75799999999998</v>
      </c>
      <c r="D24" s="2">
        <v>271.50700000000001</v>
      </c>
      <c r="E24" s="2">
        <v>1.7490000000000001</v>
      </c>
      <c r="F24" s="2">
        <v>269.08600000000001</v>
      </c>
      <c r="G24" s="2">
        <v>270.79399999999998</v>
      </c>
      <c r="H24" s="2">
        <v>1.708</v>
      </c>
      <c r="I24" s="2">
        <v>267.60300000000001</v>
      </c>
      <c r="J24" s="2">
        <v>267.19799999999998</v>
      </c>
      <c r="K24" s="15">
        <v>3.5960000000000001</v>
      </c>
      <c r="L24" s="2">
        <v>24.603000000000002</v>
      </c>
      <c r="N24" s="7">
        <f t="shared" si="1"/>
        <v>440.10000000009313</v>
      </c>
      <c r="O24" s="1">
        <v>0</v>
      </c>
      <c r="P24" s="1" t="str">
        <f t="shared" si="2"/>
        <v>440.100000000093,0</v>
      </c>
      <c r="Q24" s="6" t="s">
        <v>10</v>
      </c>
      <c r="R24" s="1">
        <v>90</v>
      </c>
      <c r="S24" s="1">
        <v>2.5</v>
      </c>
      <c r="T24" s="1" t="str">
        <f t="shared" si="0"/>
        <v>-text 440.100000000093,0 2.5 90 1143515.6</v>
      </c>
    </row>
    <row r="25" spans="1:20" x14ac:dyDescent="0.35">
      <c r="A25" s="1">
        <v>254960</v>
      </c>
      <c r="B25" s="7">
        <v>1143535.3999999999</v>
      </c>
      <c r="C25" s="2">
        <v>269.74200000000002</v>
      </c>
      <c r="D25" s="2">
        <v>271.51799999999997</v>
      </c>
      <c r="E25" s="2">
        <v>1.7769999999999999</v>
      </c>
      <c r="F25" s="2">
        <v>269.07</v>
      </c>
      <c r="G25" s="2">
        <v>270.80500000000001</v>
      </c>
      <c r="H25" s="2">
        <v>1.736</v>
      </c>
      <c r="I25" s="2">
        <v>267.572</v>
      </c>
      <c r="J25" s="2">
        <v>267.024</v>
      </c>
      <c r="K25" s="15">
        <v>3.7810000000000001</v>
      </c>
      <c r="L25" s="2">
        <v>24.295000000000002</v>
      </c>
      <c r="N25" s="7">
        <f t="shared" si="1"/>
        <v>459.89999999990687</v>
      </c>
      <c r="O25" s="1">
        <v>0</v>
      </c>
      <c r="P25" s="1" t="str">
        <f t="shared" si="2"/>
        <v>459.899999999907,0</v>
      </c>
      <c r="Q25" s="6" t="s">
        <v>10</v>
      </c>
      <c r="R25" s="1">
        <v>90</v>
      </c>
      <c r="S25" s="1">
        <v>2.5</v>
      </c>
      <c r="T25" s="1" t="str">
        <f t="shared" si="0"/>
        <v>-text 459.899999999907,0 2.5 90 1143535.4</v>
      </c>
    </row>
    <row r="26" spans="1:20" x14ac:dyDescent="0.35">
      <c r="A26" s="1">
        <v>254980</v>
      </c>
      <c r="B26" s="7">
        <v>1143555.6000000001</v>
      </c>
      <c r="C26" s="2">
        <v>269.76799999999997</v>
      </c>
      <c r="D26" s="2">
        <v>271.529</v>
      </c>
      <c r="E26" s="2">
        <v>1.7609999999999999</v>
      </c>
      <c r="F26" s="2">
        <v>269.096</v>
      </c>
      <c r="G26" s="2">
        <v>270.81599999999997</v>
      </c>
      <c r="H26" s="2">
        <v>1.72</v>
      </c>
      <c r="I26" s="2">
        <v>267.67700000000002</v>
      </c>
      <c r="J26" s="2">
        <v>267.11500000000001</v>
      </c>
      <c r="K26" s="15">
        <v>3.7010000000000001</v>
      </c>
      <c r="L26" s="2">
        <v>24.029</v>
      </c>
      <c r="N26" s="7">
        <f t="shared" si="1"/>
        <v>480.10000000009313</v>
      </c>
      <c r="O26" s="1">
        <v>0</v>
      </c>
      <c r="P26" s="1" t="str">
        <f t="shared" si="2"/>
        <v>480.100000000093,0</v>
      </c>
      <c r="Q26" s="6" t="s">
        <v>10</v>
      </c>
      <c r="R26" s="1">
        <v>90</v>
      </c>
      <c r="S26" s="1">
        <v>2.5</v>
      </c>
      <c r="T26" s="1" t="str">
        <f t="shared" si="0"/>
        <v>-text 480.100000000093,0 2.5 90 1143555.6</v>
      </c>
    </row>
    <row r="27" spans="1:20" x14ac:dyDescent="0.35">
      <c r="A27" s="1">
        <v>255000</v>
      </c>
      <c r="B27" s="7">
        <v>1143575.5</v>
      </c>
      <c r="C27" s="2">
        <v>269.82900000000001</v>
      </c>
      <c r="D27" s="2">
        <v>271.541</v>
      </c>
      <c r="E27" s="2">
        <v>1.712</v>
      </c>
      <c r="F27" s="2">
        <v>269.15699999999998</v>
      </c>
      <c r="G27" s="2">
        <v>270.82799999999997</v>
      </c>
      <c r="H27" s="2">
        <v>1.671</v>
      </c>
      <c r="I27" s="2">
        <v>267.66800000000001</v>
      </c>
      <c r="J27" s="2">
        <v>267.31</v>
      </c>
      <c r="K27" s="15">
        <v>3.5179999999999998</v>
      </c>
      <c r="L27" s="2">
        <v>23.789000000000001</v>
      </c>
      <c r="N27" s="7">
        <f>N24+(B27-B24)</f>
        <v>500</v>
      </c>
      <c r="O27" s="1">
        <v>0</v>
      </c>
      <c r="P27" s="1" t="str">
        <f t="shared" si="2"/>
        <v>500,0</v>
      </c>
      <c r="Q27" s="6" t="s">
        <v>10</v>
      </c>
      <c r="R27" s="1">
        <v>90</v>
      </c>
      <c r="S27" s="1">
        <v>2.5</v>
      </c>
      <c r="T27" s="1" t="str">
        <f t="shared" si="0"/>
        <v>-text 500,0 2.5 90 1143575.5</v>
      </c>
    </row>
    <row r="28" spans="1:20" s="10" customFormat="1" x14ac:dyDescent="0.35">
      <c r="B28" s="11"/>
      <c r="C28" s="9"/>
      <c r="D28" s="9"/>
      <c r="E28" s="9"/>
      <c r="F28" s="9"/>
      <c r="G28" s="9"/>
      <c r="H28" s="9"/>
      <c r="I28" s="9"/>
      <c r="J28" s="9"/>
      <c r="K28" s="16"/>
      <c r="L28" s="9"/>
      <c r="M28" s="9"/>
      <c r="N28" s="11"/>
      <c r="Q28" s="12"/>
    </row>
    <row r="29" spans="1:20" x14ac:dyDescent="0.35">
      <c r="A29" s="1">
        <v>255000</v>
      </c>
      <c r="B29" s="7">
        <v>1143575.5</v>
      </c>
      <c r="C29" s="2">
        <v>269.82900000000001</v>
      </c>
      <c r="D29" s="2">
        <v>271.541</v>
      </c>
      <c r="E29" s="2">
        <v>1.712</v>
      </c>
      <c r="F29" s="2">
        <v>269.15699999999998</v>
      </c>
      <c r="G29" s="2">
        <v>270.82799999999997</v>
      </c>
      <c r="H29" s="2">
        <v>1.671</v>
      </c>
      <c r="I29" s="2">
        <v>267.66800000000001</v>
      </c>
      <c r="J29" s="2">
        <v>267.31</v>
      </c>
      <c r="K29" s="15">
        <v>3.5179999999999998</v>
      </c>
      <c r="L29" s="2">
        <v>23.789000000000001</v>
      </c>
      <c r="N29" s="7">
        <v>0</v>
      </c>
      <c r="O29" s="1">
        <v>0</v>
      </c>
      <c r="P29" s="1" t="str">
        <f t="shared" ref="P29:P71" si="3">CONCATENATE(N29,",",O29)</f>
        <v>0,0</v>
      </c>
      <c r="Q29" s="6" t="s">
        <v>10</v>
      </c>
      <c r="R29" s="1">
        <v>90</v>
      </c>
      <c r="S29" s="1">
        <v>2.5</v>
      </c>
      <c r="T29" s="1" t="str">
        <f t="shared" ref="T29:T54" si="4">$Q29&amp;" "&amp;$P29&amp;" "&amp;$S29&amp;" "&amp;$R29&amp;" "&amp;$B29</f>
        <v>-text 0,0 2.5 90 1143575.5</v>
      </c>
    </row>
    <row r="30" spans="1:20" x14ac:dyDescent="0.35">
      <c r="A30" s="1">
        <v>255020</v>
      </c>
      <c r="B30" s="7">
        <v>1143595.5</v>
      </c>
      <c r="C30" s="2">
        <v>269.87799999999999</v>
      </c>
      <c r="D30" s="2">
        <v>271.55200000000002</v>
      </c>
      <c r="E30" s="2">
        <v>1.6739999999999999</v>
      </c>
      <c r="F30" s="2">
        <v>269.20600000000002</v>
      </c>
      <c r="G30" s="2">
        <v>270.839</v>
      </c>
      <c r="H30" s="2">
        <v>1.633</v>
      </c>
      <c r="I30" s="2">
        <v>267.64100000000002</v>
      </c>
      <c r="J30" s="2">
        <v>267.26600000000002</v>
      </c>
      <c r="K30" s="15">
        <v>3.573</v>
      </c>
      <c r="L30" s="2">
        <v>23.518999999999998</v>
      </c>
      <c r="N30" s="7">
        <f t="shared" ref="N30:N53" si="5">N29+(B30-B29)</f>
        <v>20</v>
      </c>
      <c r="O30" s="1">
        <v>0</v>
      </c>
      <c r="P30" s="1" t="str">
        <f t="shared" si="3"/>
        <v>20,0</v>
      </c>
      <c r="Q30" s="6" t="s">
        <v>10</v>
      </c>
      <c r="R30" s="1">
        <v>90</v>
      </c>
      <c r="S30" s="1">
        <v>2.5</v>
      </c>
      <c r="T30" s="1" t="str">
        <f t="shared" si="4"/>
        <v>-text 20,0 2.5 90 1143595.5</v>
      </c>
    </row>
    <row r="31" spans="1:20" x14ac:dyDescent="0.35">
      <c r="A31" s="1">
        <v>255040</v>
      </c>
      <c r="B31" s="7">
        <v>1143615.6000000001</v>
      </c>
      <c r="C31" s="2">
        <v>269.90600000000001</v>
      </c>
      <c r="D31" s="2">
        <v>271.56299999999999</v>
      </c>
      <c r="E31" s="2">
        <v>1.657</v>
      </c>
      <c r="F31" s="2">
        <v>269.23399999999998</v>
      </c>
      <c r="G31" s="2">
        <v>270.85000000000002</v>
      </c>
      <c r="H31" s="2">
        <v>1.6160000000000001</v>
      </c>
      <c r="I31" s="2">
        <v>267.55</v>
      </c>
      <c r="J31" s="2">
        <v>267.00799999999998</v>
      </c>
      <c r="K31" s="15">
        <v>3.8420000000000001</v>
      </c>
      <c r="L31" s="2">
        <v>23.247</v>
      </c>
      <c r="N31" s="7">
        <f t="shared" si="5"/>
        <v>40.100000000093132</v>
      </c>
      <c r="O31" s="1">
        <v>0</v>
      </c>
      <c r="P31" s="1" t="str">
        <f t="shared" si="3"/>
        <v>40.1000000000931,0</v>
      </c>
      <c r="Q31" s="6" t="s">
        <v>10</v>
      </c>
      <c r="R31" s="1">
        <v>90</v>
      </c>
      <c r="S31" s="1">
        <v>2.5</v>
      </c>
      <c r="T31" s="1" t="str">
        <f t="shared" si="4"/>
        <v>-text 40.1000000000931,0 2.5 90 1143615.6</v>
      </c>
    </row>
    <row r="32" spans="1:20" x14ac:dyDescent="0.35">
      <c r="A32" s="1">
        <v>255060</v>
      </c>
      <c r="B32" s="7">
        <v>1143635.6000000001</v>
      </c>
      <c r="C32" s="2">
        <v>269.93900000000002</v>
      </c>
      <c r="D32" s="2">
        <v>271.57400000000001</v>
      </c>
      <c r="E32" s="2">
        <v>1.635</v>
      </c>
      <c r="F32" s="2">
        <v>269.267</v>
      </c>
      <c r="G32" s="2">
        <v>270.86099999999999</v>
      </c>
      <c r="H32" s="2">
        <v>1.5940000000000001</v>
      </c>
      <c r="I32" s="2">
        <v>267.36399999999998</v>
      </c>
      <c r="J32" s="2">
        <v>267.3</v>
      </c>
      <c r="K32" s="15">
        <v>3.5609999999999999</v>
      </c>
      <c r="L32" s="2">
        <v>23</v>
      </c>
      <c r="N32" s="7">
        <f t="shared" si="5"/>
        <v>60.100000000093132</v>
      </c>
      <c r="O32" s="1">
        <v>0</v>
      </c>
      <c r="P32" s="1" t="str">
        <f t="shared" si="3"/>
        <v>60.1000000000931,0</v>
      </c>
      <c r="Q32" s="6" t="s">
        <v>10</v>
      </c>
      <c r="R32" s="1">
        <v>90</v>
      </c>
      <c r="S32" s="1">
        <v>2.5</v>
      </c>
      <c r="T32" s="1" t="str">
        <f t="shared" si="4"/>
        <v>-text 60.1000000000931,0 2.5 90 1143635.6</v>
      </c>
    </row>
    <row r="33" spans="1:20" x14ac:dyDescent="0.35">
      <c r="A33" s="1">
        <v>255080</v>
      </c>
      <c r="B33" s="7">
        <v>1143655.5</v>
      </c>
      <c r="C33" s="2">
        <v>269.94099999999997</v>
      </c>
      <c r="D33" s="2">
        <v>271.58600000000001</v>
      </c>
      <c r="E33" s="2">
        <v>1.6439999999999999</v>
      </c>
      <c r="F33" s="2">
        <v>269.26900000000001</v>
      </c>
      <c r="G33" s="2">
        <v>270.87299999999999</v>
      </c>
      <c r="H33" s="2">
        <v>1.603</v>
      </c>
      <c r="I33" s="2">
        <v>267.11599999999999</v>
      </c>
      <c r="J33" s="2">
        <v>266.93900000000002</v>
      </c>
      <c r="K33" s="15">
        <v>3.9340000000000002</v>
      </c>
      <c r="L33" s="2">
        <v>22.728000000000002</v>
      </c>
      <c r="N33" s="7">
        <f t="shared" si="5"/>
        <v>80</v>
      </c>
      <c r="O33" s="1">
        <v>0</v>
      </c>
      <c r="P33" s="1" t="str">
        <f t="shared" si="3"/>
        <v>80,0</v>
      </c>
      <c r="Q33" s="6" t="s">
        <v>10</v>
      </c>
      <c r="R33" s="1">
        <v>90</v>
      </c>
      <c r="S33" s="1">
        <v>2.5</v>
      </c>
      <c r="T33" s="1" t="str">
        <f t="shared" si="4"/>
        <v>-text 80,0 2.5 90 1143655.5</v>
      </c>
    </row>
    <row r="34" spans="1:20" x14ac:dyDescent="0.35">
      <c r="A34" s="1">
        <v>255100</v>
      </c>
      <c r="B34" s="7">
        <v>1143675.3999999999</v>
      </c>
      <c r="C34" s="2">
        <v>269.85500000000002</v>
      </c>
      <c r="D34" s="2">
        <v>271.59699999999998</v>
      </c>
      <c r="E34" s="2">
        <v>1.7410000000000001</v>
      </c>
      <c r="F34" s="2">
        <v>269.18299999999999</v>
      </c>
      <c r="G34" s="2">
        <v>270.88400000000001</v>
      </c>
      <c r="H34" s="2">
        <v>1.7</v>
      </c>
      <c r="I34" s="2">
        <v>267.26</v>
      </c>
      <c r="J34" s="2">
        <v>266.96699999999998</v>
      </c>
      <c r="K34" s="15">
        <v>3.9169999999999998</v>
      </c>
      <c r="L34" s="2">
        <v>22.4</v>
      </c>
      <c r="N34" s="7">
        <f t="shared" si="5"/>
        <v>99.899999999906868</v>
      </c>
      <c r="O34" s="1">
        <v>0</v>
      </c>
      <c r="P34" s="1" t="str">
        <f t="shared" si="3"/>
        <v>99.8999999999069,0</v>
      </c>
      <c r="Q34" s="6" t="s">
        <v>10</v>
      </c>
      <c r="R34" s="1">
        <v>90</v>
      </c>
      <c r="S34" s="1">
        <v>2.5</v>
      </c>
      <c r="T34" s="1" t="str">
        <f t="shared" si="4"/>
        <v>-text 99.8999999999069,0 2.5 90 1143675.4</v>
      </c>
    </row>
    <row r="35" spans="1:20" x14ac:dyDescent="0.35">
      <c r="A35" s="1">
        <v>255120</v>
      </c>
      <c r="B35" s="7">
        <v>1143695.8999999999</v>
      </c>
      <c r="C35" s="2">
        <v>269.89100000000002</v>
      </c>
      <c r="D35" s="2">
        <v>271.608</v>
      </c>
      <c r="E35" s="2">
        <v>1.7170000000000001</v>
      </c>
      <c r="F35" s="2">
        <v>269.21899999999999</v>
      </c>
      <c r="G35" s="2">
        <v>270.89499999999998</v>
      </c>
      <c r="H35" s="2">
        <v>1.6759999999999999</v>
      </c>
      <c r="I35" s="2">
        <v>267.28899999999999</v>
      </c>
      <c r="J35" s="2">
        <v>267.18</v>
      </c>
      <c r="K35" s="15">
        <v>3.7149999999999999</v>
      </c>
      <c r="L35" s="2">
        <v>22.126000000000001</v>
      </c>
      <c r="N35" s="7">
        <f t="shared" si="5"/>
        <v>120.39999999990687</v>
      </c>
      <c r="O35" s="1">
        <v>0</v>
      </c>
      <c r="P35" s="1" t="str">
        <f t="shared" si="3"/>
        <v>120.399999999907,0</v>
      </c>
      <c r="Q35" s="6" t="s">
        <v>10</v>
      </c>
      <c r="R35" s="1">
        <v>90</v>
      </c>
      <c r="S35" s="1">
        <v>2.5</v>
      </c>
      <c r="T35" s="1" t="str">
        <f t="shared" si="4"/>
        <v>-text 120.399999999907,0 2.5 90 1143695.9</v>
      </c>
    </row>
    <row r="36" spans="1:20" x14ac:dyDescent="0.35">
      <c r="A36" s="1">
        <v>255140</v>
      </c>
      <c r="B36" s="7">
        <v>1143715.5</v>
      </c>
      <c r="C36" s="2">
        <v>269.964</v>
      </c>
      <c r="D36" s="2">
        <v>271.61900000000003</v>
      </c>
      <c r="E36" s="2">
        <v>1.655</v>
      </c>
      <c r="F36" s="2">
        <v>269.29199999999997</v>
      </c>
      <c r="G36" s="2">
        <v>270.90600000000001</v>
      </c>
      <c r="H36" s="2">
        <v>1.6140000000000001</v>
      </c>
      <c r="I36" s="2">
        <v>267.56400000000002</v>
      </c>
      <c r="J36" s="2">
        <v>267.11200000000002</v>
      </c>
      <c r="K36" s="15">
        <v>3.794</v>
      </c>
      <c r="L36" s="2">
        <v>22.029</v>
      </c>
      <c r="N36" s="7">
        <f t="shared" si="5"/>
        <v>140</v>
      </c>
      <c r="O36" s="1">
        <v>0</v>
      </c>
      <c r="P36" s="1" t="str">
        <f t="shared" si="3"/>
        <v>140,0</v>
      </c>
      <c r="Q36" s="6" t="s">
        <v>10</v>
      </c>
      <c r="R36" s="1">
        <v>90</v>
      </c>
      <c r="S36" s="1">
        <v>2.5</v>
      </c>
      <c r="T36" s="1" t="str">
        <f t="shared" si="4"/>
        <v>-text 140,0 2.5 90 1143715.5</v>
      </c>
    </row>
    <row r="37" spans="1:20" x14ac:dyDescent="0.35">
      <c r="A37" s="1">
        <v>255160</v>
      </c>
      <c r="B37" s="7">
        <v>1143735.6000000001</v>
      </c>
      <c r="C37" s="2">
        <v>270.01799999999997</v>
      </c>
      <c r="D37" s="2">
        <v>271.63</v>
      </c>
      <c r="E37" s="2">
        <v>1.6120000000000001</v>
      </c>
      <c r="F37" s="2">
        <v>269.346</v>
      </c>
      <c r="G37" s="2">
        <v>270.91699999999997</v>
      </c>
      <c r="H37" s="2">
        <v>1.571</v>
      </c>
      <c r="I37" s="2">
        <v>267.29300000000001</v>
      </c>
      <c r="J37" s="2">
        <v>267.24799999999999</v>
      </c>
      <c r="K37" s="15">
        <v>3.67</v>
      </c>
      <c r="L37" s="2">
        <v>21.776</v>
      </c>
      <c r="N37" s="7">
        <f t="shared" si="5"/>
        <v>160.10000000009313</v>
      </c>
      <c r="O37" s="1">
        <v>0</v>
      </c>
      <c r="P37" s="1" t="str">
        <f t="shared" si="3"/>
        <v>160.100000000093,0</v>
      </c>
      <c r="Q37" s="6" t="s">
        <v>10</v>
      </c>
      <c r="R37" s="1">
        <v>90</v>
      </c>
      <c r="S37" s="1">
        <v>2.5</v>
      </c>
      <c r="T37" s="1" t="str">
        <f t="shared" si="4"/>
        <v>-text 160.100000000093,0 2.5 90 1143735.6</v>
      </c>
    </row>
    <row r="38" spans="1:20" x14ac:dyDescent="0.35">
      <c r="A38" s="1">
        <v>255180</v>
      </c>
      <c r="B38" s="7">
        <v>1143755.6000000001</v>
      </c>
      <c r="C38" s="2">
        <v>270.05900000000003</v>
      </c>
      <c r="D38" s="2">
        <v>271.642</v>
      </c>
      <c r="E38" s="2">
        <v>1.583</v>
      </c>
      <c r="F38" s="2">
        <v>269.387</v>
      </c>
      <c r="G38" s="2">
        <v>270.92899999999997</v>
      </c>
      <c r="H38" s="2">
        <v>1.542</v>
      </c>
      <c r="I38" s="2">
        <v>267.30599999999998</v>
      </c>
      <c r="J38" s="2">
        <v>267.30799999999999</v>
      </c>
      <c r="K38" s="15">
        <v>3.621</v>
      </c>
      <c r="L38" s="2">
        <v>21.545000000000002</v>
      </c>
      <c r="N38" s="7">
        <f t="shared" si="5"/>
        <v>180.10000000009313</v>
      </c>
      <c r="O38" s="1">
        <v>0</v>
      </c>
      <c r="P38" s="1" t="str">
        <f t="shared" si="3"/>
        <v>180.100000000093,0</v>
      </c>
      <c r="Q38" s="6" t="s">
        <v>10</v>
      </c>
      <c r="R38" s="1">
        <v>90</v>
      </c>
      <c r="S38" s="1">
        <v>2.5</v>
      </c>
      <c r="T38" s="1" t="str">
        <f t="shared" si="4"/>
        <v>-text 180.100000000093,0 2.5 90 1143755.6</v>
      </c>
    </row>
    <row r="39" spans="1:20" x14ac:dyDescent="0.35">
      <c r="A39" s="1">
        <v>255200</v>
      </c>
      <c r="B39" s="7">
        <v>1143775.6000000001</v>
      </c>
      <c r="C39" s="2">
        <v>270.10899999999998</v>
      </c>
      <c r="D39" s="2">
        <v>271.65300000000002</v>
      </c>
      <c r="E39" s="2">
        <v>1.544</v>
      </c>
      <c r="F39" s="2">
        <v>269.43700000000001</v>
      </c>
      <c r="G39" s="2">
        <v>270.94</v>
      </c>
      <c r="H39" s="2">
        <v>1.5029999999999999</v>
      </c>
      <c r="I39" s="2">
        <v>267.39</v>
      </c>
      <c r="J39" s="2">
        <v>267.089</v>
      </c>
      <c r="K39" s="15">
        <v>3.851</v>
      </c>
      <c r="L39" s="2">
        <v>21.297999999999998</v>
      </c>
      <c r="N39" s="7">
        <f t="shared" si="5"/>
        <v>200.10000000009313</v>
      </c>
      <c r="O39" s="1">
        <v>0</v>
      </c>
      <c r="P39" s="1" t="str">
        <f t="shared" si="3"/>
        <v>200.100000000093,0</v>
      </c>
      <c r="Q39" s="6" t="s">
        <v>10</v>
      </c>
      <c r="R39" s="1">
        <v>90</v>
      </c>
      <c r="S39" s="1">
        <v>2.5</v>
      </c>
      <c r="T39" s="1" t="str">
        <f t="shared" si="4"/>
        <v>-text 200.100000000093,0 2.5 90 1143775.6</v>
      </c>
    </row>
    <row r="40" spans="1:20" x14ac:dyDescent="0.35">
      <c r="A40" s="1">
        <v>255220</v>
      </c>
      <c r="B40" s="7">
        <v>1143795.5</v>
      </c>
      <c r="C40" s="2">
        <v>270.17200000000003</v>
      </c>
      <c r="D40" s="2">
        <v>271.66399999999999</v>
      </c>
      <c r="E40" s="2">
        <v>1.492</v>
      </c>
      <c r="F40" s="2">
        <v>269.5</v>
      </c>
      <c r="G40" s="2">
        <v>270.95100000000002</v>
      </c>
      <c r="H40" s="2">
        <v>1.4510000000000001</v>
      </c>
      <c r="I40" s="2">
        <v>267.41199999999998</v>
      </c>
      <c r="J40" s="2">
        <v>267.25200000000001</v>
      </c>
      <c r="K40" s="15">
        <v>3.6989999999999998</v>
      </c>
      <c r="L40" s="2">
        <v>21.053999999999998</v>
      </c>
      <c r="N40" s="7">
        <f t="shared" si="5"/>
        <v>220</v>
      </c>
      <c r="O40" s="1">
        <v>0</v>
      </c>
      <c r="P40" s="1" t="str">
        <f t="shared" si="3"/>
        <v>220,0</v>
      </c>
      <c r="Q40" s="6" t="s">
        <v>10</v>
      </c>
      <c r="R40" s="1">
        <v>90</v>
      </c>
      <c r="S40" s="1">
        <v>2.5</v>
      </c>
      <c r="T40" s="1" t="str">
        <f t="shared" si="4"/>
        <v>-text 220,0 2.5 90 1143795.5</v>
      </c>
    </row>
    <row r="41" spans="1:20" x14ac:dyDescent="0.35">
      <c r="A41" s="1">
        <v>255240</v>
      </c>
      <c r="B41" s="7">
        <v>1143815.6000000001</v>
      </c>
      <c r="C41" s="2">
        <v>270.17700000000002</v>
      </c>
      <c r="D41" s="2">
        <v>271.67500000000001</v>
      </c>
      <c r="E41" s="2">
        <v>1.498</v>
      </c>
      <c r="F41" s="2">
        <v>269.505</v>
      </c>
      <c r="G41" s="2">
        <v>270.96199999999999</v>
      </c>
      <c r="H41" s="2">
        <v>1.4570000000000001</v>
      </c>
      <c r="I41" s="2">
        <v>267.64299999999997</v>
      </c>
      <c r="J41" s="2">
        <v>266.93700000000001</v>
      </c>
      <c r="K41" s="15">
        <v>4.0259999999999998</v>
      </c>
      <c r="L41" s="2">
        <v>20.766999999999999</v>
      </c>
      <c r="N41" s="7">
        <f t="shared" si="5"/>
        <v>240.10000000009313</v>
      </c>
      <c r="O41" s="1">
        <v>0</v>
      </c>
      <c r="P41" s="1" t="str">
        <f t="shared" si="3"/>
        <v>240.100000000093,0</v>
      </c>
      <c r="Q41" s="6" t="s">
        <v>10</v>
      </c>
      <c r="R41" s="1">
        <v>90</v>
      </c>
      <c r="S41" s="1">
        <v>2.5</v>
      </c>
      <c r="T41" s="1" t="str">
        <f t="shared" si="4"/>
        <v>-text 240.100000000093,0 2.5 90 1143815.6</v>
      </c>
    </row>
    <row r="42" spans="1:20" x14ac:dyDescent="0.35">
      <c r="A42" s="1">
        <v>255260</v>
      </c>
      <c r="B42" s="7">
        <v>1143835.6000000001</v>
      </c>
      <c r="C42" s="2">
        <v>270.14600000000002</v>
      </c>
      <c r="D42" s="2">
        <v>271.68700000000001</v>
      </c>
      <c r="E42" s="2">
        <v>1.5409999999999999</v>
      </c>
      <c r="F42" s="2">
        <v>269.47399999999999</v>
      </c>
      <c r="G42" s="2">
        <v>270.97399999999999</v>
      </c>
      <c r="H42" s="2">
        <v>1.5</v>
      </c>
      <c r="I42" s="2">
        <v>267.471</v>
      </c>
      <c r="J42" s="2">
        <v>267.25400000000002</v>
      </c>
      <c r="K42" s="15">
        <v>3.72</v>
      </c>
      <c r="L42" s="2">
        <v>20.523</v>
      </c>
      <c r="N42" s="7">
        <f t="shared" si="5"/>
        <v>260.10000000009313</v>
      </c>
      <c r="O42" s="1">
        <v>0</v>
      </c>
      <c r="P42" s="1" t="str">
        <f t="shared" si="3"/>
        <v>260.100000000093,0</v>
      </c>
      <c r="Q42" s="6" t="s">
        <v>10</v>
      </c>
      <c r="R42" s="1">
        <v>90</v>
      </c>
      <c r="S42" s="1">
        <v>2.5</v>
      </c>
      <c r="T42" s="1" t="str">
        <f t="shared" si="4"/>
        <v>-text 260.100000000093,0 2.5 90 1143835.6</v>
      </c>
    </row>
    <row r="43" spans="1:20" x14ac:dyDescent="0.35">
      <c r="A43" s="1">
        <v>255280</v>
      </c>
      <c r="B43" s="7">
        <v>1143855.6000000001</v>
      </c>
      <c r="C43" s="2">
        <v>270.13799999999998</v>
      </c>
      <c r="D43" s="2">
        <v>271.69799999999998</v>
      </c>
      <c r="E43" s="2">
        <v>1.56</v>
      </c>
      <c r="F43" s="2">
        <v>269.46600000000001</v>
      </c>
      <c r="G43" s="2">
        <v>270.98500000000001</v>
      </c>
      <c r="H43" s="2">
        <v>1.5189999999999999</v>
      </c>
      <c r="I43" s="2">
        <v>267.65600000000001</v>
      </c>
      <c r="J43" s="2">
        <v>266.916</v>
      </c>
      <c r="K43" s="15">
        <v>4.069</v>
      </c>
      <c r="L43" s="2">
        <v>20.298999999999999</v>
      </c>
      <c r="N43" s="7">
        <f t="shared" si="5"/>
        <v>280.10000000009313</v>
      </c>
      <c r="O43" s="1">
        <v>0</v>
      </c>
      <c r="P43" s="1" t="str">
        <f t="shared" si="3"/>
        <v>280.100000000093,0</v>
      </c>
      <c r="Q43" s="6" t="s">
        <v>10</v>
      </c>
      <c r="R43" s="1">
        <v>90</v>
      </c>
      <c r="S43" s="1">
        <v>2.5</v>
      </c>
      <c r="T43" s="1" t="str">
        <f t="shared" si="4"/>
        <v>-text 280.100000000093,0 2.5 90 1143855.6</v>
      </c>
    </row>
    <row r="44" spans="1:20" x14ac:dyDescent="0.35">
      <c r="A44" s="1">
        <v>255300</v>
      </c>
      <c r="B44" s="7">
        <v>1143875.6000000001</v>
      </c>
      <c r="C44" s="2">
        <v>270.12799999999999</v>
      </c>
      <c r="D44" s="2">
        <v>271.709</v>
      </c>
      <c r="E44" s="2">
        <v>1.581</v>
      </c>
      <c r="F44" s="2">
        <v>269.45600000000002</v>
      </c>
      <c r="G44" s="2">
        <v>270.99599999999998</v>
      </c>
      <c r="H44" s="2">
        <v>1.54</v>
      </c>
      <c r="I44" s="2">
        <v>267.55799999999999</v>
      </c>
      <c r="J44" s="2">
        <v>266.69299999999998</v>
      </c>
      <c r="K44" s="15">
        <v>4.3029999999999999</v>
      </c>
      <c r="L44" s="2">
        <v>20.074999999999999</v>
      </c>
      <c r="N44" s="7">
        <f t="shared" si="5"/>
        <v>300.10000000009313</v>
      </c>
      <c r="O44" s="1">
        <v>0</v>
      </c>
      <c r="P44" s="1" t="str">
        <f t="shared" si="3"/>
        <v>300.100000000093,0</v>
      </c>
      <c r="Q44" s="6" t="s">
        <v>10</v>
      </c>
      <c r="R44" s="1">
        <v>90</v>
      </c>
      <c r="S44" s="1">
        <v>2.5</v>
      </c>
      <c r="T44" s="1" t="str">
        <f t="shared" si="4"/>
        <v>-text 300.100000000093,0 2.5 90 1143875.6</v>
      </c>
    </row>
    <row r="45" spans="1:20" x14ac:dyDescent="0.35">
      <c r="A45" s="1">
        <v>255320</v>
      </c>
      <c r="B45" s="7">
        <v>1143895.6000000001</v>
      </c>
      <c r="C45" s="2">
        <v>270.13900000000001</v>
      </c>
      <c r="D45" s="2">
        <v>271.72000000000003</v>
      </c>
      <c r="E45" s="2">
        <v>1.581</v>
      </c>
      <c r="F45" s="2">
        <v>269.46699999999998</v>
      </c>
      <c r="G45" s="2">
        <v>271.00700000000001</v>
      </c>
      <c r="H45" s="2">
        <v>1.54</v>
      </c>
      <c r="I45" s="2">
        <v>267.52999999999997</v>
      </c>
      <c r="J45" s="2">
        <v>267.23399999999998</v>
      </c>
      <c r="K45" s="15">
        <v>3.7730000000000001</v>
      </c>
      <c r="L45" s="2">
        <v>19.829000000000001</v>
      </c>
      <c r="N45" s="7">
        <f t="shared" si="5"/>
        <v>320.10000000009313</v>
      </c>
      <c r="O45" s="1">
        <v>0</v>
      </c>
      <c r="P45" s="1" t="str">
        <f t="shared" si="3"/>
        <v>320.100000000093,0</v>
      </c>
      <c r="Q45" s="6" t="s">
        <v>10</v>
      </c>
      <c r="R45" s="1">
        <v>90</v>
      </c>
      <c r="S45" s="1">
        <v>2.5</v>
      </c>
      <c r="T45" s="1" t="str">
        <f t="shared" si="4"/>
        <v>-text 320.100000000093,0 2.5 90 1143895.6</v>
      </c>
    </row>
    <row r="46" spans="1:20" x14ac:dyDescent="0.35">
      <c r="A46" s="1">
        <v>255340</v>
      </c>
      <c r="B46" s="7">
        <v>1143915.6000000001</v>
      </c>
      <c r="C46" s="2">
        <v>270.17599999999999</v>
      </c>
      <c r="D46" s="2">
        <v>271.73200000000003</v>
      </c>
      <c r="E46" s="2">
        <v>1.556</v>
      </c>
      <c r="F46" s="2">
        <v>269.50400000000002</v>
      </c>
      <c r="G46" s="2">
        <v>271.01900000000001</v>
      </c>
      <c r="H46" s="2">
        <v>1.5149999999999999</v>
      </c>
      <c r="I46" s="2">
        <v>267.61799999999999</v>
      </c>
      <c r="J46" s="2">
        <v>266.92399999999998</v>
      </c>
      <c r="K46" s="15">
        <v>4.0940000000000003</v>
      </c>
      <c r="L46" s="2">
        <v>19.579999999999998</v>
      </c>
      <c r="N46" s="7">
        <f t="shared" si="5"/>
        <v>340.10000000009313</v>
      </c>
      <c r="O46" s="1">
        <v>0</v>
      </c>
      <c r="P46" s="1" t="str">
        <f t="shared" si="3"/>
        <v>340.100000000093,0</v>
      </c>
      <c r="Q46" s="6" t="s">
        <v>10</v>
      </c>
      <c r="R46" s="1">
        <v>90</v>
      </c>
      <c r="S46" s="1">
        <v>2.5</v>
      </c>
      <c r="T46" s="1" t="str">
        <f t="shared" si="4"/>
        <v>-text 340.100000000093,0 2.5 90 1143915.6</v>
      </c>
    </row>
    <row r="47" spans="1:20" x14ac:dyDescent="0.35">
      <c r="A47" s="1">
        <v>255360</v>
      </c>
      <c r="B47" s="7">
        <v>1143935.6000000001</v>
      </c>
      <c r="C47" s="2">
        <v>270.21300000000002</v>
      </c>
      <c r="D47" s="2">
        <v>271.74299999999999</v>
      </c>
      <c r="E47" s="2">
        <v>1.53</v>
      </c>
      <c r="F47" s="2">
        <v>269.541</v>
      </c>
      <c r="G47" s="2">
        <v>271.02999999999997</v>
      </c>
      <c r="H47" s="2">
        <v>1.4890000000000001</v>
      </c>
      <c r="I47" s="2">
        <v>267.69600000000003</v>
      </c>
      <c r="J47" s="2">
        <v>266.935</v>
      </c>
      <c r="K47" s="15">
        <v>4.0949999999999998</v>
      </c>
      <c r="L47" s="2">
        <v>19.353999999999999</v>
      </c>
      <c r="N47" s="7">
        <f t="shared" si="5"/>
        <v>360.10000000009313</v>
      </c>
      <c r="O47" s="1">
        <v>0</v>
      </c>
      <c r="P47" s="1" t="str">
        <f t="shared" si="3"/>
        <v>360.100000000093,0</v>
      </c>
      <c r="Q47" s="6" t="s">
        <v>10</v>
      </c>
      <c r="R47" s="1">
        <v>90</v>
      </c>
      <c r="S47" s="1">
        <v>2.5</v>
      </c>
      <c r="T47" s="1" t="str">
        <f t="shared" si="4"/>
        <v>-text 360.100000000093,0 2.5 90 1143935.6</v>
      </c>
    </row>
    <row r="48" spans="1:20" x14ac:dyDescent="0.35">
      <c r="A48" s="1">
        <v>255380</v>
      </c>
      <c r="B48" s="7">
        <v>1143955.6000000001</v>
      </c>
      <c r="C48" s="2">
        <v>270.22399999999999</v>
      </c>
      <c r="D48" s="2">
        <v>271.75400000000002</v>
      </c>
      <c r="E48" s="2">
        <v>1.53</v>
      </c>
      <c r="F48" s="2">
        <v>269.55200000000002</v>
      </c>
      <c r="G48" s="2">
        <v>271.041</v>
      </c>
      <c r="H48" s="2">
        <v>1.4890000000000001</v>
      </c>
      <c r="I48" s="2">
        <v>267.56400000000002</v>
      </c>
      <c r="J48" s="2">
        <v>266.815</v>
      </c>
      <c r="K48" s="15">
        <v>4.226</v>
      </c>
      <c r="L48" s="2">
        <v>19.093</v>
      </c>
      <c r="N48" s="7">
        <f t="shared" si="5"/>
        <v>380.10000000009313</v>
      </c>
      <c r="O48" s="1">
        <v>0</v>
      </c>
      <c r="P48" s="1" t="str">
        <f t="shared" si="3"/>
        <v>380.100000000093,0</v>
      </c>
      <c r="Q48" s="6" t="s">
        <v>10</v>
      </c>
      <c r="R48" s="1">
        <v>90</v>
      </c>
      <c r="S48" s="1">
        <v>2.5</v>
      </c>
      <c r="T48" s="1" t="str">
        <f t="shared" si="4"/>
        <v>-text 380.100000000093,0 2.5 90 1143955.6</v>
      </c>
    </row>
    <row r="49" spans="1:20" x14ac:dyDescent="0.35">
      <c r="A49" s="1">
        <v>255400</v>
      </c>
      <c r="B49" s="7">
        <v>1143975.6000000001</v>
      </c>
      <c r="C49" s="2">
        <v>270.22300000000001</v>
      </c>
      <c r="D49" s="2">
        <v>271.76499999999999</v>
      </c>
      <c r="E49" s="2">
        <v>1.5429999999999999</v>
      </c>
      <c r="F49" s="2">
        <v>269.55099999999999</v>
      </c>
      <c r="G49" s="2">
        <v>271.05200000000002</v>
      </c>
      <c r="H49" s="2">
        <v>1.502</v>
      </c>
      <c r="I49" s="2">
        <v>267.62400000000002</v>
      </c>
      <c r="J49" s="2">
        <v>267.21199999999999</v>
      </c>
      <c r="K49" s="15">
        <v>3.84</v>
      </c>
      <c r="L49" s="2">
        <v>18.876999999999999</v>
      </c>
      <c r="N49" s="7">
        <f t="shared" si="5"/>
        <v>400.10000000009313</v>
      </c>
      <c r="O49" s="1">
        <v>0</v>
      </c>
      <c r="P49" s="1" t="str">
        <f t="shared" si="3"/>
        <v>400.100000000093,0</v>
      </c>
      <c r="Q49" s="6" t="s">
        <v>10</v>
      </c>
      <c r="R49" s="1">
        <v>90</v>
      </c>
      <c r="S49" s="1">
        <v>2.5</v>
      </c>
      <c r="T49" s="1" t="str">
        <f t="shared" si="4"/>
        <v>-text 400.100000000093,0 2.5 90 1143975.6</v>
      </c>
    </row>
    <row r="50" spans="1:20" x14ac:dyDescent="0.35">
      <c r="A50" s="1">
        <v>255420</v>
      </c>
      <c r="B50" s="7">
        <v>1143995.6000000001</v>
      </c>
      <c r="C50" s="2">
        <v>270.22500000000002</v>
      </c>
      <c r="D50" s="2">
        <v>271.77600000000001</v>
      </c>
      <c r="E50" s="2">
        <v>1.552</v>
      </c>
      <c r="F50" s="2">
        <v>269.553</v>
      </c>
      <c r="G50" s="2">
        <v>271.06299999999999</v>
      </c>
      <c r="H50" s="2">
        <v>1.5109999999999999</v>
      </c>
      <c r="I50" s="2">
        <v>267.71699999999998</v>
      </c>
      <c r="J50" s="2">
        <v>267.32799999999997</v>
      </c>
      <c r="K50" s="15">
        <v>3.7360000000000002</v>
      </c>
      <c r="L50" s="2">
        <v>18.658999999999999</v>
      </c>
      <c r="N50" s="7">
        <f t="shared" si="5"/>
        <v>420.10000000009313</v>
      </c>
      <c r="O50" s="1">
        <v>0</v>
      </c>
      <c r="P50" s="1" t="str">
        <f t="shared" si="3"/>
        <v>420.100000000093,0</v>
      </c>
      <c r="Q50" s="6" t="s">
        <v>10</v>
      </c>
      <c r="R50" s="1">
        <v>90</v>
      </c>
      <c r="S50" s="1">
        <v>2.5</v>
      </c>
      <c r="T50" s="1" t="str">
        <f t="shared" si="4"/>
        <v>-text 420.100000000093,0 2.5 90 1143995.6</v>
      </c>
    </row>
    <row r="51" spans="1:20" x14ac:dyDescent="0.35">
      <c r="A51" s="1">
        <v>255440</v>
      </c>
      <c r="B51" s="7">
        <v>1144015.6000000001</v>
      </c>
      <c r="C51" s="2">
        <v>270.23599999999999</v>
      </c>
      <c r="D51" s="2">
        <v>271.78800000000001</v>
      </c>
      <c r="E51" s="2">
        <v>1.5509999999999999</v>
      </c>
      <c r="F51" s="2">
        <v>269.56400000000002</v>
      </c>
      <c r="G51" s="2">
        <v>271.07499999999999</v>
      </c>
      <c r="H51" s="2">
        <v>1.51</v>
      </c>
      <c r="I51" s="2">
        <v>267.68700000000001</v>
      </c>
      <c r="J51" s="2">
        <v>267.34300000000002</v>
      </c>
      <c r="K51" s="15">
        <v>3.7320000000000002</v>
      </c>
      <c r="L51" s="2">
        <v>18.448</v>
      </c>
      <c r="N51" s="7">
        <f t="shared" si="5"/>
        <v>440.10000000009313</v>
      </c>
      <c r="O51" s="1">
        <v>0</v>
      </c>
      <c r="P51" s="1" t="str">
        <f t="shared" si="3"/>
        <v>440.100000000093,0</v>
      </c>
      <c r="Q51" s="6" t="s">
        <v>10</v>
      </c>
      <c r="R51" s="1">
        <v>90</v>
      </c>
      <c r="S51" s="1">
        <v>2.5</v>
      </c>
      <c r="T51" s="1" t="str">
        <f t="shared" si="4"/>
        <v>-text 440.100000000093,0 2.5 90 1144015.6</v>
      </c>
    </row>
    <row r="52" spans="1:20" x14ac:dyDescent="0.35">
      <c r="A52" s="1">
        <v>255460</v>
      </c>
      <c r="B52" s="7">
        <v>1144035.6000000001</v>
      </c>
      <c r="C52" s="2">
        <v>270.262</v>
      </c>
      <c r="D52" s="2">
        <v>271.79899999999998</v>
      </c>
      <c r="E52" s="2">
        <v>1.5369999999999999</v>
      </c>
      <c r="F52" s="2">
        <v>269.58999999999997</v>
      </c>
      <c r="G52" s="2">
        <v>271.08600000000001</v>
      </c>
      <c r="H52" s="2">
        <v>1.496</v>
      </c>
      <c r="I52" s="2">
        <v>267.50900000000001</v>
      </c>
      <c r="J52" s="2">
        <v>267.28300000000002</v>
      </c>
      <c r="K52" s="15">
        <v>3.8029999999999999</v>
      </c>
      <c r="L52" s="2">
        <v>18.303999999999998</v>
      </c>
      <c r="N52" s="7">
        <f t="shared" si="5"/>
        <v>460.10000000009313</v>
      </c>
      <c r="O52" s="1">
        <v>0</v>
      </c>
      <c r="P52" s="1" t="str">
        <f t="shared" si="3"/>
        <v>460.100000000093,0</v>
      </c>
      <c r="Q52" s="6" t="s">
        <v>10</v>
      </c>
      <c r="R52" s="1">
        <v>90</v>
      </c>
      <c r="S52" s="1">
        <v>2.5</v>
      </c>
      <c r="T52" s="1" t="str">
        <f t="shared" si="4"/>
        <v>-text 460.100000000093,0 2.5 90 1144035.6</v>
      </c>
    </row>
    <row r="53" spans="1:20" x14ac:dyDescent="0.35">
      <c r="A53" s="1">
        <v>255480</v>
      </c>
      <c r="B53" s="7">
        <v>1144055.6000000001</v>
      </c>
      <c r="C53" s="2">
        <v>270.29700000000003</v>
      </c>
      <c r="D53" s="2">
        <v>271.81</v>
      </c>
      <c r="E53" s="2">
        <v>1.5129999999999999</v>
      </c>
      <c r="F53" s="2">
        <v>269.625</v>
      </c>
      <c r="G53" s="2">
        <v>271.09699999999998</v>
      </c>
      <c r="H53" s="2">
        <v>1.472</v>
      </c>
      <c r="I53" s="2">
        <v>267.58100000000002</v>
      </c>
      <c r="J53" s="2">
        <v>267.584</v>
      </c>
      <c r="K53" s="15">
        <v>3.5129999999999999</v>
      </c>
      <c r="L53" s="2">
        <v>18.277000000000001</v>
      </c>
      <c r="N53" s="7">
        <f t="shared" si="5"/>
        <v>480.10000000009313</v>
      </c>
      <c r="O53" s="1">
        <v>0</v>
      </c>
      <c r="P53" s="1" t="str">
        <f t="shared" si="3"/>
        <v>480.100000000093,0</v>
      </c>
      <c r="Q53" s="6" t="s">
        <v>10</v>
      </c>
      <c r="R53" s="1">
        <v>90</v>
      </c>
      <c r="S53" s="1">
        <v>2.5</v>
      </c>
      <c r="T53" s="1" t="str">
        <f t="shared" si="4"/>
        <v>-text 480.100000000093,0 2.5 90 1144055.6</v>
      </c>
    </row>
    <row r="54" spans="1:20" x14ac:dyDescent="0.35">
      <c r="A54" s="1">
        <v>255500</v>
      </c>
      <c r="B54" s="7">
        <v>1144075.6000000001</v>
      </c>
      <c r="C54" s="2">
        <v>270.36500000000001</v>
      </c>
      <c r="D54" s="2">
        <v>271.82100000000003</v>
      </c>
      <c r="E54" s="2">
        <v>1.4570000000000001</v>
      </c>
      <c r="F54" s="2">
        <v>269.69299999999998</v>
      </c>
      <c r="G54" s="2">
        <v>271.108</v>
      </c>
      <c r="H54" s="2">
        <v>1.4159999999999999</v>
      </c>
      <c r="I54" s="2">
        <v>267.53500000000003</v>
      </c>
      <c r="J54" s="2">
        <v>267.517</v>
      </c>
      <c r="K54" s="15">
        <v>3.5920000000000001</v>
      </c>
      <c r="L54" s="2">
        <v>18.452000000000002</v>
      </c>
      <c r="N54" s="7">
        <f>N51+(B54-B51)</f>
        <v>500.10000000009313</v>
      </c>
      <c r="O54" s="1">
        <v>0</v>
      </c>
      <c r="P54" s="1" t="str">
        <f t="shared" ref="P54" si="6">CONCATENATE(N54,",",O54)</f>
        <v>500.100000000093,0</v>
      </c>
      <c r="Q54" s="6" t="s">
        <v>10</v>
      </c>
      <c r="R54" s="1">
        <v>90</v>
      </c>
      <c r="S54" s="1">
        <v>2.5</v>
      </c>
      <c r="T54" s="1" t="str">
        <f t="shared" si="4"/>
        <v>-text 500.100000000093,0 2.5 90 1144075.6</v>
      </c>
    </row>
    <row r="55" spans="1:20" s="10" customFormat="1" x14ac:dyDescent="0.35">
      <c r="B55" s="11"/>
      <c r="C55" s="9"/>
      <c r="D55" s="9"/>
      <c r="E55" s="9"/>
      <c r="F55" s="9"/>
      <c r="G55" s="9"/>
      <c r="H55" s="9"/>
      <c r="I55" s="9"/>
      <c r="J55" s="9"/>
      <c r="K55" s="16"/>
      <c r="L55" s="9"/>
      <c r="M55" s="9"/>
      <c r="N55" s="11"/>
      <c r="Q55" s="12"/>
    </row>
    <row r="56" spans="1:20" x14ac:dyDescent="0.35">
      <c r="A56" s="1">
        <v>255500</v>
      </c>
      <c r="B56" s="7">
        <v>1144075.6000000001</v>
      </c>
      <c r="C56" s="2">
        <v>270.36500000000001</v>
      </c>
      <c r="D56" s="2">
        <v>271.82100000000003</v>
      </c>
      <c r="E56" s="2">
        <v>1.4570000000000001</v>
      </c>
      <c r="F56" s="2">
        <v>269.69299999999998</v>
      </c>
      <c r="G56" s="2">
        <v>271.108</v>
      </c>
      <c r="H56" s="2">
        <v>1.4159999999999999</v>
      </c>
      <c r="I56" s="2">
        <v>267.53500000000003</v>
      </c>
      <c r="J56" s="2">
        <v>267.517</v>
      </c>
      <c r="K56" s="15">
        <v>3.5920000000000001</v>
      </c>
      <c r="L56" s="2">
        <v>18.452000000000002</v>
      </c>
      <c r="N56" s="7">
        <v>0</v>
      </c>
      <c r="O56" s="1">
        <v>0</v>
      </c>
      <c r="P56" s="1" t="str">
        <f t="shared" si="3"/>
        <v>0,0</v>
      </c>
      <c r="Q56" s="6" t="s">
        <v>10</v>
      </c>
      <c r="R56" s="1">
        <v>90</v>
      </c>
      <c r="S56" s="1">
        <v>2.5</v>
      </c>
      <c r="T56" s="1" t="str">
        <f t="shared" ref="T56:T81" si="7">$Q56&amp;" "&amp;$P56&amp;" "&amp;$S56&amp;" "&amp;$R56&amp;" "&amp;$B56</f>
        <v>-text 0,0 2.5 90 1144075.6</v>
      </c>
    </row>
    <row r="57" spans="1:20" x14ac:dyDescent="0.35">
      <c r="A57" s="1">
        <v>255520</v>
      </c>
      <c r="B57" s="7">
        <v>1144095.6000000001</v>
      </c>
      <c r="C57" s="2">
        <v>270.43</v>
      </c>
      <c r="D57" s="2">
        <v>271.83300000000003</v>
      </c>
      <c r="E57" s="2">
        <v>1.403</v>
      </c>
      <c r="F57" s="2">
        <v>269.75799999999998</v>
      </c>
      <c r="G57" s="2">
        <v>271.12</v>
      </c>
      <c r="H57" s="2">
        <v>1.3620000000000001</v>
      </c>
      <c r="I57" s="2">
        <v>267.67599999999999</v>
      </c>
      <c r="J57" s="2">
        <v>267.62599999999998</v>
      </c>
      <c r="K57" s="15">
        <v>3.4940000000000002</v>
      </c>
      <c r="L57" s="2">
        <v>18.745999999999999</v>
      </c>
      <c r="N57" s="7">
        <f t="shared" ref="N57:N80" si="8">N56+(B57-B56)</f>
        <v>20</v>
      </c>
      <c r="O57" s="1">
        <v>0</v>
      </c>
      <c r="P57" s="1" t="str">
        <f t="shared" si="3"/>
        <v>20,0</v>
      </c>
      <c r="Q57" s="6" t="s">
        <v>10</v>
      </c>
      <c r="R57" s="1">
        <v>90</v>
      </c>
      <c r="S57" s="1">
        <v>2.5</v>
      </c>
      <c r="T57" s="1" t="str">
        <f t="shared" si="7"/>
        <v>-text 20,0 2.5 90 1144095.6</v>
      </c>
    </row>
    <row r="58" spans="1:20" x14ac:dyDescent="0.35">
      <c r="A58" s="1">
        <v>255540</v>
      </c>
      <c r="B58" s="7">
        <v>1144115.6000000001</v>
      </c>
      <c r="C58" s="2">
        <v>270.45100000000002</v>
      </c>
      <c r="D58" s="2">
        <v>271.84399999999999</v>
      </c>
      <c r="E58" s="2">
        <v>1.393</v>
      </c>
      <c r="F58" s="2">
        <v>269.779</v>
      </c>
      <c r="G58" s="2">
        <v>271.13099999999997</v>
      </c>
      <c r="H58" s="2">
        <v>1.3520000000000001</v>
      </c>
      <c r="I58" s="2">
        <v>267.56400000000002</v>
      </c>
      <c r="J58" s="2">
        <v>267.35500000000002</v>
      </c>
      <c r="K58" s="15">
        <v>3.7759999999999998</v>
      </c>
      <c r="L58" s="2">
        <v>19.192</v>
      </c>
      <c r="N58" s="7">
        <f t="shared" si="8"/>
        <v>40</v>
      </c>
      <c r="O58" s="1">
        <v>0</v>
      </c>
      <c r="P58" s="1" t="str">
        <f t="shared" si="3"/>
        <v>40,0</v>
      </c>
      <c r="Q58" s="6" t="s">
        <v>10</v>
      </c>
      <c r="R58" s="1">
        <v>90</v>
      </c>
      <c r="S58" s="1">
        <v>2.5</v>
      </c>
      <c r="T58" s="1" t="str">
        <f t="shared" si="7"/>
        <v>-text 40,0 2.5 90 1144115.6</v>
      </c>
    </row>
    <row r="59" spans="1:20" x14ac:dyDescent="0.35">
      <c r="A59" s="1">
        <v>255560</v>
      </c>
      <c r="B59" s="7">
        <v>1144135.6000000001</v>
      </c>
      <c r="C59" s="2">
        <v>270.46800000000002</v>
      </c>
      <c r="D59" s="2">
        <v>271.85500000000002</v>
      </c>
      <c r="E59" s="2">
        <v>1.387</v>
      </c>
      <c r="F59" s="2">
        <v>269.79599999999999</v>
      </c>
      <c r="G59" s="2">
        <v>271.142</v>
      </c>
      <c r="H59" s="2">
        <v>1.3460000000000001</v>
      </c>
      <c r="I59" s="2">
        <v>267.488</v>
      </c>
      <c r="J59" s="2">
        <v>267.61500000000001</v>
      </c>
      <c r="K59" s="15">
        <v>3.5270000000000001</v>
      </c>
      <c r="L59" s="2">
        <v>19.728999999999999</v>
      </c>
      <c r="N59" s="7">
        <f t="shared" si="8"/>
        <v>60</v>
      </c>
      <c r="O59" s="1">
        <v>0</v>
      </c>
      <c r="P59" s="1" t="str">
        <f t="shared" si="3"/>
        <v>60,0</v>
      </c>
      <c r="Q59" s="6" t="s">
        <v>10</v>
      </c>
      <c r="R59" s="1">
        <v>90</v>
      </c>
      <c r="S59" s="1">
        <v>2.5</v>
      </c>
      <c r="T59" s="1" t="str">
        <f t="shared" si="7"/>
        <v>-text 60,0 2.5 90 1144135.6</v>
      </c>
    </row>
    <row r="60" spans="1:20" x14ac:dyDescent="0.35">
      <c r="A60" s="1">
        <v>255580</v>
      </c>
      <c r="B60" s="7">
        <v>1144155.6000000001</v>
      </c>
      <c r="C60" s="2">
        <v>270.48700000000002</v>
      </c>
      <c r="D60" s="2">
        <v>271.86599999999999</v>
      </c>
      <c r="E60" s="2">
        <v>1.379</v>
      </c>
      <c r="F60" s="2">
        <v>269.815</v>
      </c>
      <c r="G60" s="2">
        <v>271.15300000000002</v>
      </c>
      <c r="H60" s="2">
        <v>1.3380000000000001</v>
      </c>
      <c r="I60" s="2">
        <v>267.58</v>
      </c>
      <c r="J60" s="2">
        <v>267.51100000000002</v>
      </c>
      <c r="K60" s="15">
        <v>3.6429999999999998</v>
      </c>
      <c r="L60" s="2">
        <v>20.323</v>
      </c>
      <c r="N60" s="7">
        <f t="shared" si="8"/>
        <v>80</v>
      </c>
      <c r="O60" s="1">
        <v>0</v>
      </c>
      <c r="P60" s="1" t="str">
        <f t="shared" si="3"/>
        <v>80,0</v>
      </c>
      <c r="Q60" s="6" t="s">
        <v>10</v>
      </c>
      <c r="R60" s="1">
        <v>90</v>
      </c>
      <c r="S60" s="1">
        <v>2.5</v>
      </c>
      <c r="T60" s="1" t="str">
        <f t="shared" si="7"/>
        <v>-text 80,0 2.5 90 1144155.6</v>
      </c>
    </row>
    <row r="61" spans="1:20" x14ac:dyDescent="0.35">
      <c r="A61" s="1">
        <v>255600</v>
      </c>
      <c r="B61" s="7">
        <v>1144175.6000000001</v>
      </c>
      <c r="C61" s="2">
        <v>270.50599999999997</v>
      </c>
      <c r="D61" s="2">
        <v>271.87700000000001</v>
      </c>
      <c r="E61" s="2">
        <v>1.371</v>
      </c>
      <c r="F61" s="2">
        <v>269.834</v>
      </c>
      <c r="G61" s="2">
        <v>271.16399999999999</v>
      </c>
      <c r="H61" s="2">
        <v>1.33</v>
      </c>
      <c r="I61" s="2">
        <v>267.63799999999998</v>
      </c>
      <c r="J61" s="2">
        <v>267.39600000000002</v>
      </c>
      <c r="K61" s="15">
        <v>3.7690000000000001</v>
      </c>
      <c r="L61" s="2">
        <v>20.931999999999999</v>
      </c>
      <c r="N61" s="7">
        <f t="shared" si="8"/>
        <v>100</v>
      </c>
      <c r="O61" s="1">
        <v>0</v>
      </c>
      <c r="P61" s="1" t="str">
        <f t="shared" si="3"/>
        <v>100,0</v>
      </c>
      <c r="Q61" s="6" t="s">
        <v>10</v>
      </c>
      <c r="R61" s="1">
        <v>90</v>
      </c>
      <c r="S61" s="1">
        <v>2.5</v>
      </c>
      <c r="T61" s="1" t="str">
        <f t="shared" si="7"/>
        <v>-text 100,0 2.5 90 1144175.6</v>
      </c>
    </row>
    <row r="62" spans="1:20" x14ac:dyDescent="0.35">
      <c r="A62" s="1">
        <v>255620</v>
      </c>
      <c r="B62" s="7">
        <v>1144195.6000000001</v>
      </c>
      <c r="C62" s="2">
        <v>270.52199999999999</v>
      </c>
      <c r="D62" s="2">
        <v>271.88900000000001</v>
      </c>
      <c r="E62" s="2">
        <v>1.3660000000000001</v>
      </c>
      <c r="F62" s="2">
        <v>269.85000000000002</v>
      </c>
      <c r="G62" s="2">
        <v>271.17599999999999</v>
      </c>
      <c r="H62" s="2">
        <v>1.325</v>
      </c>
      <c r="I62" s="2">
        <v>267.64600000000002</v>
      </c>
      <c r="J62" s="2">
        <v>267.52499999999998</v>
      </c>
      <c r="K62" s="15">
        <v>3.65</v>
      </c>
      <c r="L62" s="2">
        <v>21.538</v>
      </c>
      <c r="N62" s="7">
        <f t="shared" si="8"/>
        <v>120</v>
      </c>
      <c r="O62" s="1">
        <v>0</v>
      </c>
      <c r="P62" s="1" t="str">
        <f t="shared" si="3"/>
        <v>120,0</v>
      </c>
      <c r="Q62" s="6" t="s">
        <v>10</v>
      </c>
      <c r="R62" s="1">
        <v>90</v>
      </c>
      <c r="S62" s="1">
        <v>2.5</v>
      </c>
      <c r="T62" s="1" t="str">
        <f t="shared" si="7"/>
        <v>-text 120,0 2.5 90 1144195.6</v>
      </c>
    </row>
    <row r="63" spans="1:20" x14ac:dyDescent="0.35">
      <c r="A63" s="1">
        <v>255640</v>
      </c>
      <c r="B63" s="7">
        <v>1144215.7</v>
      </c>
      <c r="C63" s="2">
        <v>270.53399999999999</v>
      </c>
      <c r="D63" s="2">
        <v>271.89999999999998</v>
      </c>
      <c r="E63" s="2">
        <v>1.3660000000000001</v>
      </c>
      <c r="F63" s="2">
        <v>269.86200000000002</v>
      </c>
      <c r="G63" s="2">
        <v>271.18700000000001</v>
      </c>
      <c r="H63" s="2">
        <v>1.325</v>
      </c>
      <c r="I63" s="2">
        <v>267.73</v>
      </c>
      <c r="J63" s="2">
        <v>267.03100000000001</v>
      </c>
      <c r="K63" s="15">
        <v>4.1559999999999997</v>
      </c>
      <c r="L63" s="2">
        <v>22.141999999999999</v>
      </c>
      <c r="N63" s="7">
        <f t="shared" si="8"/>
        <v>140.0999999998603</v>
      </c>
      <c r="O63" s="1">
        <v>0</v>
      </c>
      <c r="P63" s="1" t="str">
        <f t="shared" si="3"/>
        <v>140.09999999986,0</v>
      </c>
      <c r="Q63" s="6" t="s">
        <v>10</v>
      </c>
      <c r="R63" s="1">
        <v>90</v>
      </c>
      <c r="S63" s="1">
        <v>2.5</v>
      </c>
      <c r="T63" s="1" t="str">
        <f t="shared" si="7"/>
        <v>-text 140.09999999986,0 2.5 90 1144215.7</v>
      </c>
    </row>
    <row r="64" spans="1:20" x14ac:dyDescent="0.35">
      <c r="A64" s="1">
        <v>255660</v>
      </c>
      <c r="B64" s="7">
        <v>1144235.7</v>
      </c>
      <c r="C64" s="2">
        <v>270.53100000000001</v>
      </c>
      <c r="D64" s="2">
        <v>271.911</v>
      </c>
      <c r="E64" s="2">
        <v>1.38</v>
      </c>
      <c r="F64" s="2">
        <v>269.85899999999998</v>
      </c>
      <c r="G64" s="2">
        <v>271.19799999999998</v>
      </c>
      <c r="H64" s="2">
        <v>1.339</v>
      </c>
      <c r="I64" s="2">
        <v>267.70400000000001</v>
      </c>
      <c r="J64" s="2">
        <v>267.71100000000001</v>
      </c>
      <c r="K64" s="15">
        <v>3.4870000000000001</v>
      </c>
      <c r="L64" s="2">
        <v>22.777000000000001</v>
      </c>
      <c r="N64" s="7">
        <f t="shared" si="8"/>
        <v>160.0999999998603</v>
      </c>
      <c r="O64" s="1">
        <v>0</v>
      </c>
      <c r="P64" s="1" t="str">
        <f t="shared" si="3"/>
        <v>160.09999999986,0</v>
      </c>
      <c r="Q64" s="6" t="s">
        <v>10</v>
      </c>
      <c r="R64" s="1">
        <v>90</v>
      </c>
      <c r="S64" s="1">
        <v>2.5</v>
      </c>
      <c r="T64" s="1" t="str">
        <f t="shared" si="7"/>
        <v>-text 160.09999999986,0 2.5 90 1144235.7</v>
      </c>
    </row>
    <row r="65" spans="1:20" x14ac:dyDescent="0.35">
      <c r="A65" s="1">
        <v>255680</v>
      </c>
      <c r="B65" s="7">
        <v>1144255.7</v>
      </c>
      <c r="C65" s="2">
        <v>270.53899999999999</v>
      </c>
      <c r="D65" s="2">
        <v>271.92200000000003</v>
      </c>
      <c r="E65" s="2">
        <v>1.383</v>
      </c>
      <c r="F65" s="2">
        <v>269.86700000000002</v>
      </c>
      <c r="G65" s="2">
        <v>271.209</v>
      </c>
      <c r="H65" s="2">
        <v>1.3420000000000001</v>
      </c>
      <c r="I65" s="2">
        <v>267.69200000000001</v>
      </c>
      <c r="J65" s="2">
        <v>267.60000000000002</v>
      </c>
      <c r="K65" s="15">
        <v>3.61</v>
      </c>
      <c r="L65" s="2">
        <v>23.388999999999999</v>
      </c>
      <c r="N65" s="7">
        <f t="shared" si="8"/>
        <v>180.0999999998603</v>
      </c>
      <c r="O65" s="1">
        <v>0</v>
      </c>
      <c r="P65" s="1" t="str">
        <f t="shared" si="3"/>
        <v>180.09999999986,0</v>
      </c>
      <c r="Q65" s="6" t="s">
        <v>10</v>
      </c>
      <c r="R65" s="1">
        <v>90</v>
      </c>
      <c r="S65" s="1">
        <v>2.5</v>
      </c>
      <c r="T65" s="1" t="str">
        <f t="shared" si="7"/>
        <v>-text 180.09999999986,0 2.5 90 1144255.7</v>
      </c>
    </row>
    <row r="66" spans="1:20" x14ac:dyDescent="0.35">
      <c r="A66" s="1">
        <v>255700</v>
      </c>
      <c r="B66" s="7">
        <v>1144275.7</v>
      </c>
      <c r="C66" s="2">
        <v>270.53500000000003</v>
      </c>
      <c r="D66" s="2">
        <v>271.93400000000003</v>
      </c>
      <c r="E66" s="2">
        <v>1.3979999999999999</v>
      </c>
      <c r="F66" s="2">
        <v>269.863</v>
      </c>
      <c r="G66" s="2">
        <v>271.221</v>
      </c>
      <c r="H66" s="2">
        <v>1.357</v>
      </c>
      <c r="I66" s="2">
        <v>267.74200000000002</v>
      </c>
      <c r="J66" s="2">
        <v>267.63799999999998</v>
      </c>
      <c r="K66" s="15">
        <v>3.5819999999999999</v>
      </c>
      <c r="L66" s="2">
        <v>24</v>
      </c>
      <c r="N66" s="7">
        <f t="shared" si="8"/>
        <v>200.0999999998603</v>
      </c>
      <c r="O66" s="1">
        <v>0</v>
      </c>
      <c r="P66" s="1" t="str">
        <f t="shared" si="3"/>
        <v>200.09999999986,0</v>
      </c>
      <c r="Q66" s="6" t="s">
        <v>10</v>
      </c>
      <c r="R66" s="1">
        <v>90</v>
      </c>
      <c r="S66" s="1">
        <v>2.5</v>
      </c>
      <c r="T66" s="1" t="str">
        <f t="shared" si="7"/>
        <v>-text 200.09999999986,0 2.5 90 1144275.7</v>
      </c>
    </row>
    <row r="67" spans="1:20" x14ac:dyDescent="0.35">
      <c r="A67" s="1">
        <v>255720</v>
      </c>
      <c r="B67" s="7">
        <v>1144295.7</v>
      </c>
      <c r="C67" s="2">
        <v>270.52</v>
      </c>
      <c r="D67" s="2">
        <v>271.94499999999999</v>
      </c>
      <c r="E67" s="2">
        <v>1.425</v>
      </c>
      <c r="F67" s="2">
        <v>269.84800000000001</v>
      </c>
      <c r="G67" s="2">
        <v>271.23200000000003</v>
      </c>
      <c r="H67" s="2">
        <v>1.3839999999999999</v>
      </c>
      <c r="I67" s="2">
        <v>267.63099999999997</v>
      </c>
      <c r="J67" s="2">
        <v>267.48599999999999</v>
      </c>
      <c r="K67" s="15">
        <v>3.746</v>
      </c>
      <c r="L67" s="2">
        <v>24.606000000000002</v>
      </c>
      <c r="N67" s="7">
        <f t="shared" si="8"/>
        <v>220.0999999998603</v>
      </c>
      <c r="O67" s="1">
        <v>0</v>
      </c>
      <c r="P67" s="1" t="str">
        <f t="shared" si="3"/>
        <v>220.09999999986,0</v>
      </c>
      <c r="Q67" s="6" t="s">
        <v>10</v>
      </c>
      <c r="R67" s="1">
        <v>90</v>
      </c>
      <c r="S67" s="1">
        <v>2.5</v>
      </c>
      <c r="T67" s="1" t="str">
        <f t="shared" si="7"/>
        <v>-text 220.09999999986,0 2.5 90 1144295.7</v>
      </c>
    </row>
    <row r="68" spans="1:20" x14ac:dyDescent="0.35">
      <c r="A68" s="1">
        <v>255740</v>
      </c>
      <c r="B68" s="7">
        <v>1144315.7</v>
      </c>
      <c r="C68" s="2">
        <v>270.50099999999998</v>
      </c>
      <c r="D68" s="2">
        <v>271.95600000000002</v>
      </c>
      <c r="E68" s="2">
        <v>1.4550000000000001</v>
      </c>
      <c r="F68" s="2">
        <v>269.82900000000001</v>
      </c>
      <c r="G68" s="2">
        <v>271.24299999999999</v>
      </c>
      <c r="H68" s="2">
        <v>1.4139999999999999</v>
      </c>
      <c r="I68" s="2">
        <v>267.637</v>
      </c>
      <c r="J68" s="2">
        <v>267.65800000000002</v>
      </c>
      <c r="K68" s="15">
        <v>3.585</v>
      </c>
      <c r="L68" s="2">
        <v>25.212</v>
      </c>
      <c r="N68" s="7">
        <f t="shared" si="8"/>
        <v>240.0999999998603</v>
      </c>
      <c r="O68" s="1">
        <v>0</v>
      </c>
      <c r="P68" s="1" t="str">
        <f t="shared" si="3"/>
        <v>240.09999999986,0</v>
      </c>
      <c r="Q68" s="6" t="s">
        <v>10</v>
      </c>
      <c r="R68" s="1">
        <v>90</v>
      </c>
      <c r="S68" s="1">
        <v>2.5</v>
      </c>
      <c r="T68" s="1" t="str">
        <f t="shared" si="7"/>
        <v>-text 240.09999999986,0 2.5 90 1144315.7</v>
      </c>
    </row>
    <row r="69" spans="1:20" x14ac:dyDescent="0.35">
      <c r="A69" s="1">
        <v>255760</v>
      </c>
      <c r="B69" s="7">
        <v>1144335.7</v>
      </c>
      <c r="C69" s="2">
        <v>270.48700000000002</v>
      </c>
      <c r="D69" s="2">
        <v>271.96699999999998</v>
      </c>
      <c r="E69" s="2">
        <v>1.4810000000000001</v>
      </c>
      <c r="F69" s="2">
        <v>269.815</v>
      </c>
      <c r="G69" s="2">
        <v>271.25400000000002</v>
      </c>
      <c r="H69" s="2">
        <v>1.44</v>
      </c>
      <c r="I69" s="2">
        <v>267.637</v>
      </c>
      <c r="J69" s="2">
        <v>267.62599999999998</v>
      </c>
      <c r="K69" s="15">
        <v>3.6280000000000001</v>
      </c>
      <c r="L69" s="2">
        <v>25.829000000000001</v>
      </c>
      <c r="N69" s="7">
        <f t="shared" si="8"/>
        <v>260.0999999998603</v>
      </c>
      <c r="O69" s="1">
        <v>0</v>
      </c>
      <c r="P69" s="1" t="str">
        <f t="shared" si="3"/>
        <v>260.09999999986,0</v>
      </c>
      <c r="Q69" s="6" t="s">
        <v>10</v>
      </c>
      <c r="R69" s="1">
        <v>90</v>
      </c>
      <c r="S69" s="1">
        <v>2.5</v>
      </c>
      <c r="T69" s="1" t="str">
        <f t="shared" si="7"/>
        <v>-text 260.09999999986,0 2.5 90 1144335.7</v>
      </c>
    </row>
    <row r="70" spans="1:20" x14ac:dyDescent="0.35">
      <c r="A70" s="1">
        <v>255780</v>
      </c>
      <c r="B70" s="7">
        <v>1144355.7</v>
      </c>
      <c r="C70" s="2">
        <v>270.48899999999998</v>
      </c>
      <c r="D70" s="2">
        <v>271.97899999999998</v>
      </c>
      <c r="E70" s="2">
        <v>1.4890000000000001</v>
      </c>
      <c r="F70" s="2">
        <v>269.81700000000001</v>
      </c>
      <c r="G70" s="2">
        <v>271.26600000000002</v>
      </c>
      <c r="H70" s="2">
        <v>1.448</v>
      </c>
      <c r="I70" s="2">
        <v>267.63600000000002</v>
      </c>
      <c r="J70" s="2">
        <v>267.63400000000001</v>
      </c>
      <c r="K70" s="15">
        <v>3.6320000000000001</v>
      </c>
      <c r="L70" s="2">
        <v>26.436</v>
      </c>
      <c r="N70" s="7">
        <f t="shared" si="8"/>
        <v>280.0999999998603</v>
      </c>
      <c r="O70" s="1">
        <v>0</v>
      </c>
      <c r="P70" s="1" t="str">
        <f t="shared" si="3"/>
        <v>280.09999999986,0</v>
      </c>
      <c r="Q70" s="6" t="s">
        <v>10</v>
      </c>
      <c r="R70" s="1">
        <v>90</v>
      </c>
      <c r="S70" s="1">
        <v>2.5</v>
      </c>
      <c r="T70" s="1" t="str">
        <f t="shared" si="7"/>
        <v>-text 280.09999999986,0 2.5 90 1144355.7</v>
      </c>
    </row>
    <row r="71" spans="1:20" x14ac:dyDescent="0.35">
      <c r="A71" s="1">
        <v>255800</v>
      </c>
      <c r="B71" s="7">
        <v>1144375.7</v>
      </c>
      <c r="C71" s="2">
        <v>270.46899999999999</v>
      </c>
      <c r="D71" s="2">
        <v>271.99</v>
      </c>
      <c r="E71" s="2">
        <v>1.5209999999999999</v>
      </c>
      <c r="F71" s="2">
        <v>269.79700000000003</v>
      </c>
      <c r="G71" s="2">
        <v>271.27699999999999</v>
      </c>
      <c r="H71" s="2">
        <v>1.48</v>
      </c>
      <c r="I71" s="2">
        <v>267.63200000000001</v>
      </c>
      <c r="J71" s="2">
        <v>267.37700000000001</v>
      </c>
      <c r="K71" s="15">
        <v>3.9</v>
      </c>
      <c r="L71" s="2">
        <v>27.045999999999999</v>
      </c>
      <c r="N71" s="7">
        <f t="shared" si="8"/>
        <v>300.0999999998603</v>
      </c>
      <c r="O71" s="1">
        <v>0</v>
      </c>
      <c r="P71" s="1" t="str">
        <f t="shared" si="3"/>
        <v>300.09999999986,0</v>
      </c>
      <c r="Q71" s="6" t="s">
        <v>10</v>
      </c>
      <c r="R71" s="1">
        <v>90</v>
      </c>
      <c r="S71" s="1">
        <v>2.5</v>
      </c>
      <c r="T71" s="1" t="str">
        <f t="shared" si="7"/>
        <v>-text 300.09999999986,0 2.5 90 1144375.7</v>
      </c>
    </row>
    <row r="72" spans="1:20" x14ac:dyDescent="0.35">
      <c r="A72" s="1">
        <v>255820</v>
      </c>
      <c r="B72" s="7">
        <v>1144395.8</v>
      </c>
      <c r="C72" s="2">
        <v>270.44900000000001</v>
      </c>
      <c r="D72" s="2">
        <v>272.00099999999998</v>
      </c>
      <c r="E72" s="2">
        <v>1.552</v>
      </c>
      <c r="F72" s="2">
        <v>269.77699999999999</v>
      </c>
      <c r="G72" s="2">
        <v>271.28800000000001</v>
      </c>
      <c r="H72" s="2">
        <v>1.5109999999999999</v>
      </c>
      <c r="I72" s="2">
        <v>267.62</v>
      </c>
      <c r="J72" s="2">
        <v>267.54500000000002</v>
      </c>
      <c r="K72" s="15">
        <v>3.7429999999999999</v>
      </c>
      <c r="L72" s="2">
        <v>27.672000000000001</v>
      </c>
      <c r="N72" s="7">
        <f t="shared" si="8"/>
        <v>320.19999999995343</v>
      </c>
      <c r="O72" s="1">
        <v>0</v>
      </c>
      <c r="P72" s="1" t="str">
        <f t="shared" ref="P72:P138" si="9">CONCATENATE(N72,",",O72)</f>
        <v>320.199999999953,0</v>
      </c>
      <c r="Q72" s="6" t="s">
        <v>10</v>
      </c>
      <c r="R72" s="1">
        <v>90</v>
      </c>
      <c r="S72" s="1">
        <v>2.5</v>
      </c>
      <c r="T72" s="1" t="str">
        <f t="shared" si="7"/>
        <v>-text 320.199999999953,0 2.5 90 1144395.8</v>
      </c>
    </row>
    <row r="73" spans="1:20" x14ac:dyDescent="0.35">
      <c r="A73" s="1">
        <v>255840</v>
      </c>
      <c r="B73" s="7">
        <v>1144415.7</v>
      </c>
      <c r="C73" s="2">
        <v>270.43</v>
      </c>
      <c r="D73" s="2">
        <v>272.012</v>
      </c>
      <c r="E73" s="2">
        <v>1.583</v>
      </c>
      <c r="F73" s="2">
        <v>269.75799999999998</v>
      </c>
      <c r="G73" s="2">
        <v>271.29899999999998</v>
      </c>
      <c r="H73" s="2">
        <v>1.542</v>
      </c>
      <c r="I73" s="2">
        <v>267.608</v>
      </c>
      <c r="J73" s="2">
        <v>267.64299999999997</v>
      </c>
      <c r="K73" s="15">
        <v>3.6560000000000001</v>
      </c>
      <c r="L73" s="2">
        <v>28.292999999999999</v>
      </c>
      <c r="N73" s="7">
        <f t="shared" si="8"/>
        <v>340.0999999998603</v>
      </c>
      <c r="O73" s="1">
        <v>0</v>
      </c>
      <c r="P73" s="1" t="str">
        <f t="shared" si="9"/>
        <v>340.09999999986,0</v>
      </c>
      <c r="Q73" s="6" t="s">
        <v>10</v>
      </c>
      <c r="R73" s="1">
        <v>90</v>
      </c>
      <c r="S73" s="1">
        <v>2.5</v>
      </c>
      <c r="T73" s="1" t="str">
        <f t="shared" si="7"/>
        <v>-text 340.09999999986,0 2.5 90 1144415.7</v>
      </c>
    </row>
    <row r="74" spans="1:20" x14ac:dyDescent="0.35">
      <c r="A74" s="1">
        <v>255860</v>
      </c>
      <c r="B74" s="7">
        <v>1144435.8</v>
      </c>
      <c r="C74" s="2">
        <v>270.40199999999999</v>
      </c>
      <c r="D74" s="2">
        <v>272.024</v>
      </c>
      <c r="E74" s="2">
        <v>1.6220000000000001</v>
      </c>
      <c r="F74" s="2">
        <v>269.73</v>
      </c>
      <c r="G74" s="2">
        <v>271.31099999999998</v>
      </c>
      <c r="H74" s="2">
        <v>1.581</v>
      </c>
      <c r="I74" s="2">
        <v>267.61</v>
      </c>
      <c r="J74" s="2">
        <v>267.72000000000003</v>
      </c>
      <c r="K74" s="15">
        <v>3.59</v>
      </c>
      <c r="L74" s="2">
        <v>28.914000000000001</v>
      </c>
      <c r="N74" s="7">
        <f t="shared" si="8"/>
        <v>360.19999999995343</v>
      </c>
      <c r="O74" s="1">
        <v>0</v>
      </c>
      <c r="P74" s="1" t="str">
        <f t="shared" si="9"/>
        <v>360.199999999953,0</v>
      </c>
      <c r="Q74" s="6" t="s">
        <v>10</v>
      </c>
      <c r="R74" s="1">
        <v>90</v>
      </c>
      <c r="S74" s="1">
        <v>2.5</v>
      </c>
      <c r="T74" s="1" t="str">
        <f t="shared" si="7"/>
        <v>-text 360.199999999953,0 2.5 90 1144435.8</v>
      </c>
    </row>
    <row r="75" spans="1:20" x14ac:dyDescent="0.35">
      <c r="A75" s="1">
        <v>255880</v>
      </c>
      <c r="B75" s="7">
        <v>1144455.8</v>
      </c>
      <c r="C75" s="2">
        <v>270.38200000000001</v>
      </c>
      <c r="D75" s="2">
        <v>272.03500000000003</v>
      </c>
      <c r="E75" s="2">
        <v>1.653</v>
      </c>
      <c r="F75" s="2">
        <v>269.70999999999998</v>
      </c>
      <c r="G75" s="2">
        <v>271.322</v>
      </c>
      <c r="H75" s="2">
        <v>1.6120000000000001</v>
      </c>
      <c r="I75" s="2">
        <v>267.637</v>
      </c>
      <c r="J75" s="2">
        <v>267.803</v>
      </c>
      <c r="K75" s="15">
        <v>3.5190000000000001</v>
      </c>
      <c r="L75" s="2">
        <v>29.562999999999999</v>
      </c>
      <c r="N75" s="7">
        <f t="shared" si="8"/>
        <v>380.19999999995343</v>
      </c>
      <c r="O75" s="1">
        <v>0</v>
      </c>
      <c r="P75" s="1" t="str">
        <f t="shared" si="9"/>
        <v>380.199999999953,0</v>
      </c>
      <c r="Q75" s="6" t="s">
        <v>10</v>
      </c>
      <c r="R75" s="1">
        <v>90</v>
      </c>
      <c r="S75" s="1">
        <v>2.5</v>
      </c>
      <c r="T75" s="1" t="str">
        <f t="shared" si="7"/>
        <v>-text 380.199999999953,0 2.5 90 1144455.8</v>
      </c>
    </row>
    <row r="76" spans="1:20" x14ac:dyDescent="0.35">
      <c r="A76" s="1">
        <v>255900</v>
      </c>
      <c r="B76" s="7">
        <v>1144475.7</v>
      </c>
      <c r="C76" s="2">
        <v>270.39600000000002</v>
      </c>
      <c r="D76" s="2">
        <v>272.04599999999999</v>
      </c>
      <c r="E76" s="2">
        <v>1.65</v>
      </c>
      <c r="F76" s="2">
        <v>269.72399999999999</v>
      </c>
      <c r="G76" s="2">
        <v>271.33300000000003</v>
      </c>
      <c r="H76" s="2">
        <v>1.609</v>
      </c>
      <c r="I76" s="2">
        <v>267.666</v>
      </c>
      <c r="J76" s="2">
        <v>267.904</v>
      </c>
      <c r="K76" s="15">
        <v>3.4289999999999998</v>
      </c>
      <c r="L76" s="2">
        <v>30.175999999999998</v>
      </c>
      <c r="N76" s="7">
        <f t="shared" si="8"/>
        <v>400.0999999998603</v>
      </c>
      <c r="O76" s="1">
        <v>0</v>
      </c>
      <c r="P76" s="1" t="str">
        <f t="shared" si="9"/>
        <v>400.09999999986,0</v>
      </c>
      <c r="Q76" s="6" t="s">
        <v>10</v>
      </c>
      <c r="R76" s="1">
        <v>90</v>
      </c>
      <c r="S76" s="1">
        <v>2.5</v>
      </c>
      <c r="T76" s="1" t="str">
        <f t="shared" si="7"/>
        <v>-text 400.09999999986,0 2.5 90 1144475.7</v>
      </c>
    </row>
    <row r="77" spans="1:20" x14ac:dyDescent="0.35">
      <c r="A77" s="1">
        <v>255920</v>
      </c>
      <c r="B77" s="7">
        <v>1144495.8</v>
      </c>
      <c r="C77" s="2">
        <v>270.39299999999997</v>
      </c>
      <c r="D77" s="2">
        <v>272.05700000000002</v>
      </c>
      <c r="E77" s="2">
        <v>1.6639999999999999</v>
      </c>
      <c r="F77" s="2">
        <v>269.721</v>
      </c>
      <c r="G77" s="2">
        <v>271.34399999999999</v>
      </c>
      <c r="H77" s="2">
        <v>1.623</v>
      </c>
      <c r="I77" s="2">
        <v>267.69499999999999</v>
      </c>
      <c r="J77" s="2">
        <v>267.83699999999999</v>
      </c>
      <c r="K77" s="15">
        <v>3.5070000000000001</v>
      </c>
      <c r="L77" s="2">
        <v>30.777000000000001</v>
      </c>
      <c r="N77" s="7">
        <f t="shared" si="8"/>
        <v>420.19999999995343</v>
      </c>
      <c r="O77" s="1">
        <v>0</v>
      </c>
      <c r="P77" s="1" t="str">
        <f t="shared" si="9"/>
        <v>420.199999999953,0</v>
      </c>
      <c r="Q77" s="6" t="s">
        <v>10</v>
      </c>
      <c r="R77" s="1">
        <v>90</v>
      </c>
      <c r="S77" s="1">
        <v>2.5</v>
      </c>
      <c r="T77" s="1" t="str">
        <f t="shared" si="7"/>
        <v>-text 420.199999999953,0 2.5 90 1144495.8</v>
      </c>
    </row>
    <row r="78" spans="1:20" x14ac:dyDescent="0.35">
      <c r="A78" s="1">
        <v>255940</v>
      </c>
      <c r="B78" s="7">
        <v>1144515.6000000001</v>
      </c>
      <c r="C78" s="2">
        <v>270.39</v>
      </c>
      <c r="D78" s="2">
        <v>272.06799999999998</v>
      </c>
      <c r="E78" s="2">
        <v>1.6779999999999999</v>
      </c>
      <c r="F78" s="2">
        <v>269.71800000000002</v>
      </c>
      <c r="G78" s="2">
        <v>271.35500000000002</v>
      </c>
      <c r="H78" s="2">
        <v>1.637</v>
      </c>
      <c r="I78" s="2">
        <v>267.726</v>
      </c>
      <c r="J78" s="2">
        <v>267.71699999999998</v>
      </c>
      <c r="K78" s="15">
        <v>3.6379999999999999</v>
      </c>
      <c r="L78" s="2">
        <v>31.391999999999999</v>
      </c>
      <c r="N78" s="7">
        <f t="shared" si="8"/>
        <v>440</v>
      </c>
      <c r="O78" s="1">
        <v>0</v>
      </c>
      <c r="P78" s="1" t="str">
        <f t="shared" si="9"/>
        <v>440,0</v>
      </c>
      <c r="Q78" s="6" t="s">
        <v>10</v>
      </c>
      <c r="R78" s="1">
        <v>90</v>
      </c>
      <c r="S78" s="1">
        <v>2.5</v>
      </c>
      <c r="T78" s="1" t="str">
        <f t="shared" si="7"/>
        <v>-text 440,0 2.5 90 1144515.6</v>
      </c>
    </row>
    <row r="79" spans="1:20" x14ac:dyDescent="0.35">
      <c r="A79" s="1">
        <v>255960</v>
      </c>
      <c r="B79" s="7">
        <v>1144535.3</v>
      </c>
      <c r="C79" s="2">
        <v>270.37900000000002</v>
      </c>
      <c r="D79" s="2">
        <v>272.07900000000001</v>
      </c>
      <c r="E79" s="2">
        <v>1.7</v>
      </c>
      <c r="F79" s="2">
        <v>269.70699999999999</v>
      </c>
      <c r="G79" s="2">
        <v>271.36599999999999</v>
      </c>
      <c r="H79" s="2">
        <v>1.659</v>
      </c>
      <c r="I79" s="2">
        <v>267.83499999999998</v>
      </c>
      <c r="J79" s="2">
        <v>268.06599999999997</v>
      </c>
      <c r="K79" s="15">
        <v>3.3</v>
      </c>
      <c r="L79" s="2">
        <v>31.864999999999998</v>
      </c>
      <c r="N79" s="7">
        <f t="shared" si="8"/>
        <v>459.69999999995343</v>
      </c>
      <c r="O79" s="1">
        <v>0</v>
      </c>
      <c r="P79" s="1" t="str">
        <f t="shared" si="9"/>
        <v>459.699999999953,0</v>
      </c>
      <c r="Q79" s="6" t="s">
        <v>10</v>
      </c>
      <c r="R79" s="1">
        <v>90</v>
      </c>
      <c r="S79" s="1">
        <v>2.5</v>
      </c>
      <c r="T79" s="1" t="str">
        <f t="shared" si="7"/>
        <v>-text 459.699999999953,0 2.5 90 1144535.3</v>
      </c>
    </row>
    <row r="80" spans="1:20" x14ac:dyDescent="0.35">
      <c r="A80" s="1">
        <v>255980</v>
      </c>
      <c r="B80" s="7">
        <v>1144555.2</v>
      </c>
      <c r="C80" s="2">
        <v>270.33499999999998</v>
      </c>
      <c r="D80" s="2">
        <v>272.09100000000001</v>
      </c>
      <c r="E80" s="2">
        <v>1.7549999999999999</v>
      </c>
      <c r="F80" s="2">
        <v>269.66300000000001</v>
      </c>
      <c r="G80" s="2">
        <v>271.37799999999999</v>
      </c>
      <c r="H80" s="2">
        <v>1.714</v>
      </c>
      <c r="I80" s="2">
        <v>267.75099999999998</v>
      </c>
      <c r="J80" s="2">
        <v>267.98</v>
      </c>
      <c r="K80" s="15">
        <v>3.3980000000000001</v>
      </c>
      <c r="L80" s="2">
        <v>32.155000000000001</v>
      </c>
      <c r="N80" s="7">
        <f t="shared" si="8"/>
        <v>479.5999999998603</v>
      </c>
      <c r="O80" s="1">
        <v>0</v>
      </c>
      <c r="P80" s="1" t="str">
        <f t="shared" si="9"/>
        <v>479.59999999986,0</v>
      </c>
      <c r="Q80" s="6" t="s">
        <v>10</v>
      </c>
      <c r="R80" s="1">
        <v>90</v>
      </c>
      <c r="S80" s="1">
        <v>2.5</v>
      </c>
      <c r="T80" s="1" t="str">
        <f t="shared" si="7"/>
        <v>-text 479.59999999986,0 2.5 90 1144555.2</v>
      </c>
    </row>
    <row r="81" spans="1:20" x14ac:dyDescent="0.35">
      <c r="A81" s="1">
        <v>256000</v>
      </c>
      <c r="B81" s="7">
        <v>1144574.7</v>
      </c>
      <c r="C81" s="2">
        <v>270.36399999999998</v>
      </c>
      <c r="D81" s="2">
        <v>272.101</v>
      </c>
      <c r="E81" s="2">
        <v>1.738</v>
      </c>
      <c r="F81" s="2">
        <v>269.69200000000001</v>
      </c>
      <c r="G81" s="2">
        <v>271.38799999999998</v>
      </c>
      <c r="H81" s="2">
        <v>1.6970000000000001</v>
      </c>
      <c r="I81" s="2">
        <v>267.815</v>
      </c>
      <c r="J81" s="2">
        <v>267.79899999999998</v>
      </c>
      <c r="K81" s="15">
        <v>3.59</v>
      </c>
      <c r="L81" s="2">
        <v>32.372</v>
      </c>
      <c r="N81" s="7">
        <f>N78+(B81-B78)</f>
        <v>499.0999999998603</v>
      </c>
      <c r="O81" s="1">
        <v>0</v>
      </c>
      <c r="P81" s="1" t="str">
        <f t="shared" ref="P81" si="10">CONCATENATE(N81,",",O81)</f>
        <v>499.09999999986,0</v>
      </c>
      <c r="Q81" s="6" t="s">
        <v>10</v>
      </c>
      <c r="R81" s="1">
        <v>90</v>
      </c>
      <c r="S81" s="1">
        <v>2.5</v>
      </c>
      <c r="T81" s="1" t="str">
        <f t="shared" si="7"/>
        <v>-text 499.09999999986,0 2.5 90 1144574.7</v>
      </c>
    </row>
    <row r="82" spans="1:20" s="10" customFormat="1" x14ac:dyDescent="0.35">
      <c r="B82" s="11"/>
      <c r="C82" s="9"/>
      <c r="D82" s="9"/>
      <c r="E82" s="9"/>
      <c r="F82" s="9"/>
      <c r="G82" s="9"/>
      <c r="H82" s="9"/>
      <c r="I82" s="9"/>
      <c r="J82" s="9"/>
      <c r="K82" s="16"/>
      <c r="L82" s="9"/>
      <c r="M82" s="9"/>
      <c r="N82" s="11"/>
      <c r="Q82" s="12"/>
    </row>
    <row r="83" spans="1:20" x14ac:dyDescent="0.35">
      <c r="A83" s="1">
        <v>256000</v>
      </c>
      <c r="B83" s="7">
        <v>1144574.7</v>
      </c>
      <c r="C83" s="2">
        <v>270.36399999999998</v>
      </c>
      <c r="D83" s="2">
        <v>272.101</v>
      </c>
      <c r="E83" s="2">
        <v>1.738</v>
      </c>
      <c r="F83" s="2">
        <v>269.69200000000001</v>
      </c>
      <c r="G83" s="2">
        <v>271.38799999999998</v>
      </c>
      <c r="H83" s="2">
        <v>1.6970000000000001</v>
      </c>
      <c r="I83" s="2">
        <v>267.815</v>
      </c>
      <c r="J83" s="2">
        <v>267.79899999999998</v>
      </c>
      <c r="K83" s="15">
        <v>3.59</v>
      </c>
      <c r="L83" s="2">
        <v>32.372</v>
      </c>
      <c r="N83" s="7">
        <v>0</v>
      </c>
      <c r="O83" s="1">
        <v>0</v>
      </c>
      <c r="P83" s="1" t="str">
        <f t="shared" si="9"/>
        <v>0,0</v>
      </c>
      <c r="Q83" s="6" t="s">
        <v>10</v>
      </c>
      <c r="R83" s="1">
        <v>90</v>
      </c>
      <c r="S83" s="1">
        <v>2.5</v>
      </c>
      <c r="T83" s="1" t="str">
        <f t="shared" ref="T83:T108" si="11">$Q83&amp;" "&amp;$P83&amp;" "&amp;$S83&amp;" "&amp;$R83&amp;" "&amp;$B83</f>
        <v>-text 0,0 2.5 90 1144574.7</v>
      </c>
    </row>
    <row r="84" spans="1:20" x14ac:dyDescent="0.35">
      <c r="A84" s="1">
        <v>256020</v>
      </c>
      <c r="B84" s="7">
        <v>1144594.7</v>
      </c>
      <c r="C84" s="2">
        <v>270.387</v>
      </c>
      <c r="D84" s="2">
        <v>272.113</v>
      </c>
      <c r="E84" s="2">
        <v>1.726</v>
      </c>
      <c r="F84" s="2">
        <v>269.71499999999997</v>
      </c>
      <c r="G84" s="2">
        <v>271.39999999999998</v>
      </c>
      <c r="H84" s="2">
        <v>1.6850000000000001</v>
      </c>
      <c r="I84" s="2">
        <v>267.94099999999997</v>
      </c>
      <c r="J84" s="2">
        <v>267.94299999999998</v>
      </c>
      <c r="K84" s="15">
        <v>3.4569999999999999</v>
      </c>
      <c r="L84" s="2">
        <v>32.319000000000003</v>
      </c>
      <c r="N84" s="7">
        <f t="shared" ref="N84:N107" si="12">N83+(B84-B83)</f>
        <v>20</v>
      </c>
      <c r="O84" s="1">
        <v>0</v>
      </c>
      <c r="P84" s="1" t="str">
        <f t="shared" si="9"/>
        <v>20,0</v>
      </c>
      <c r="Q84" s="6" t="s">
        <v>10</v>
      </c>
      <c r="R84" s="1">
        <v>90</v>
      </c>
      <c r="S84" s="1">
        <v>2.5</v>
      </c>
      <c r="T84" s="1" t="str">
        <f t="shared" si="11"/>
        <v>-text 20,0 2.5 90 1144594.7</v>
      </c>
    </row>
    <row r="85" spans="1:20" x14ac:dyDescent="0.35">
      <c r="A85" s="1">
        <v>256040</v>
      </c>
      <c r="B85" s="7">
        <v>1144614.7</v>
      </c>
      <c r="C85" s="2">
        <v>270.40899999999999</v>
      </c>
      <c r="D85" s="2">
        <v>272.12400000000002</v>
      </c>
      <c r="E85" s="2">
        <v>1.7150000000000001</v>
      </c>
      <c r="F85" s="2">
        <v>269.73700000000002</v>
      </c>
      <c r="G85" s="2">
        <v>271.411</v>
      </c>
      <c r="H85" s="2">
        <v>1.6739999999999999</v>
      </c>
      <c r="I85" s="2">
        <v>268.06900000000002</v>
      </c>
      <c r="J85" s="2">
        <v>267.97699999999998</v>
      </c>
      <c r="K85" s="15">
        <v>3.4340000000000002</v>
      </c>
      <c r="L85" s="2">
        <v>32.301000000000002</v>
      </c>
      <c r="N85" s="7">
        <f t="shared" si="12"/>
        <v>40</v>
      </c>
      <c r="O85" s="1">
        <v>0</v>
      </c>
      <c r="P85" s="1" t="str">
        <f t="shared" si="9"/>
        <v>40,0</v>
      </c>
      <c r="Q85" s="6" t="s">
        <v>10</v>
      </c>
      <c r="R85" s="1">
        <v>90</v>
      </c>
      <c r="S85" s="1">
        <v>2.5</v>
      </c>
      <c r="T85" s="1" t="str">
        <f t="shared" si="11"/>
        <v>-text 40,0 2.5 90 1144614.7</v>
      </c>
    </row>
    <row r="86" spans="1:20" x14ac:dyDescent="0.35">
      <c r="A86" s="1">
        <v>256060</v>
      </c>
      <c r="B86" s="7">
        <v>1144634.2</v>
      </c>
      <c r="C86" s="2">
        <v>270.38900000000001</v>
      </c>
      <c r="D86" s="2">
        <v>272.13499999999999</v>
      </c>
      <c r="E86" s="2">
        <v>1.746</v>
      </c>
      <c r="F86" s="2">
        <v>269.71699999999998</v>
      </c>
      <c r="G86" s="2">
        <v>271.42200000000003</v>
      </c>
      <c r="H86" s="2">
        <v>1.7050000000000001</v>
      </c>
      <c r="I86" s="2">
        <v>268.07499999999999</v>
      </c>
      <c r="J86" s="2">
        <v>267.99400000000003</v>
      </c>
      <c r="K86" s="15">
        <v>3.4279999999999999</v>
      </c>
      <c r="L86" s="2">
        <v>32.122</v>
      </c>
      <c r="N86" s="7">
        <f t="shared" si="12"/>
        <v>59.5</v>
      </c>
      <c r="O86" s="1">
        <v>0</v>
      </c>
      <c r="P86" s="1" t="str">
        <f t="shared" si="9"/>
        <v>59.5,0</v>
      </c>
      <c r="Q86" s="6" t="s">
        <v>10</v>
      </c>
      <c r="R86" s="1">
        <v>90</v>
      </c>
      <c r="S86" s="1">
        <v>2.5</v>
      </c>
      <c r="T86" s="1" t="str">
        <f t="shared" si="11"/>
        <v>-text 59.5,0 2.5 90 1144634.2</v>
      </c>
    </row>
    <row r="87" spans="1:20" x14ac:dyDescent="0.35">
      <c r="A87" s="1">
        <v>256080</v>
      </c>
      <c r="B87" s="7">
        <v>1144654</v>
      </c>
      <c r="C87" s="2">
        <v>270.45499999999998</v>
      </c>
      <c r="D87" s="2">
        <v>272.13499999999999</v>
      </c>
      <c r="E87" s="2">
        <v>1.68</v>
      </c>
      <c r="F87" s="2">
        <v>269.78300000000002</v>
      </c>
      <c r="G87" s="2">
        <v>271.42200000000003</v>
      </c>
      <c r="H87" s="2">
        <v>1.639</v>
      </c>
      <c r="I87" s="2">
        <v>268.13299999999998</v>
      </c>
      <c r="J87" s="2">
        <v>268.02699999999999</v>
      </c>
      <c r="K87" s="15">
        <v>3.395</v>
      </c>
      <c r="L87" s="2">
        <v>31.966999999999999</v>
      </c>
      <c r="N87" s="7">
        <f t="shared" si="12"/>
        <v>79.300000000046566</v>
      </c>
      <c r="O87" s="1">
        <v>0</v>
      </c>
      <c r="P87" s="1" t="str">
        <f t="shared" si="9"/>
        <v>79.3000000000466,0</v>
      </c>
      <c r="Q87" s="6" t="s">
        <v>10</v>
      </c>
      <c r="R87" s="1">
        <v>90</v>
      </c>
      <c r="S87" s="1">
        <v>2.5</v>
      </c>
      <c r="T87" s="1" t="str">
        <f t="shared" si="11"/>
        <v>-text 79.3000000000466,0 2.5 90 1144654</v>
      </c>
    </row>
    <row r="88" spans="1:20" x14ac:dyDescent="0.35">
      <c r="A88" s="1">
        <v>256100</v>
      </c>
      <c r="B88" s="7">
        <v>1144673.5</v>
      </c>
      <c r="C88" s="2">
        <v>270.52499999999998</v>
      </c>
      <c r="D88" s="2">
        <v>272.13499999999999</v>
      </c>
      <c r="E88" s="2">
        <v>1.61</v>
      </c>
      <c r="F88" s="2">
        <v>269.85300000000001</v>
      </c>
      <c r="G88" s="2">
        <v>271.42200000000003</v>
      </c>
      <c r="H88" s="2">
        <v>1.569</v>
      </c>
      <c r="I88" s="2">
        <v>268.14699999999999</v>
      </c>
      <c r="J88" s="2">
        <v>268.089</v>
      </c>
      <c r="K88" s="15">
        <v>3.3330000000000002</v>
      </c>
      <c r="L88" s="2">
        <v>31.815000000000001</v>
      </c>
      <c r="N88" s="7">
        <f t="shared" si="12"/>
        <v>98.800000000046566</v>
      </c>
      <c r="O88" s="1">
        <v>0</v>
      </c>
      <c r="P88" s="1" t="str">
        <f t="shared" si="9"/>
        <v>98.8000000000466,0</v>
      </c>
      <c r="Q88" s="6" t="s">
        <v>10</v>
      </c>
      <c r="R88" s="1">
        <v>90</v>
      </c>
      <c r="S88" s="1">
        <v>2.5</v>
      </c>
      <c r="T88" s="1" t="str">
        <f t="shared" si="11"/>
        <v>-text 98.8000000000466,0 2.5 90 1144673.5</v>
      </c>
    </row>
    <row r="89" spans="1:20" x14ac:dyDescent="0.35">
      <c r="A89" s="1">
        <v>256120</v>
      </c>
      <c r="B89" s="7">
        <v>1144693.5</v>
      </c>
      <c r="C89" s="2">
        <v>270.56299999999999</v>
      </c>
      <c r="D89" s="2">
        <v>272.13499999999999</v>
      </c>
      <c r="E89" s="2">
        <v>1.5720000000000001</v>
      </c>
      <c r="F89" s="2">
        <v>269.89100000000002</v>
      </c>
      <c r="G89" s="2">
        <v>271.42200000000003</v>
      </c>
      <c r="H89" s="2">
        <v>1.5309999999999999</v>
      </c>
      <c r="I89" s="2">
        <v>268.18299999999999</v>
      </c>
      <c r="J89" s="2">
        <v>268.23200000000003</v>
      </c>
      <c r="K89" s="15">
        <v>3.19</v>
      </c>
      <c r="L89" s="2">
        <v>31.635999999999999</v>
      </c>
      <c r="N89" s="7">
        <f t="shared" si="12"/>
        <v>118.80000000004657</v>
      </c>
      <c r="O89" s="1">
        <v>0</v>
      </c>
      <c r="P89" s="1" t="str">
        <f t="shared" si="9"/>
        <v>118.800000000047,0</v>
      </c>
      <c r="Q89" s="6" t="s">
        <v>10</v>
      </c>
      <c r="R89" s="1">
        <v>90</v>
      </c>
      <c r="S89" s="1">
        <v>2.5</v>
      </c>
      <c r="T89" s="1" t="str">
        <f t="shared" si="11"/>
        <v>-text 118.800000000047,0 2.5 90 1144693.5</v>
      </c>
    </row>
    <row r="90" spans="1:20" x14ac:dyDescent="0.35">
      <c r="A90" s="1">
        <v>256140</v>
      </c>
      <c r="B90" s="7">
        <v>1144713.5</v>
      </c>
      <c r="C90" s="2">
        <v>270.58699999999999</v>
      </c>
      <c r="D90" s="2">
        <v>272.13499999999999</v>
      </c>
      <c r="E90" s="2">
        <v>1.548</v>
      </c>
      <c r="F90" s="2">
        <v>269.91500000000002</v>
      </c>
      <c r="G90" s="2">
        <v>271.42200000000003</v>
      </c>
      <c r="H90" s="2">
        <v>1.5069999999999999</v>
      </c>
      <c r="I90" s="2">
        <v>268.35500000000002</v>
      </c>
      <c r="J90" s="2">
        <v>268.51100000000002</v>
      </c>
      <c r="K90" s="15">
        <v>2.911</v>
      </c>
      <c r="L90" s="2">
        <v>31.515999999999998</v>
      </c>
      <c r="N90" s="7">
        <f t="shared" si="12"/>
        <v>138.80000000004657</v>
      </c>
      <c r="O90" s="1">
        <v>0</v>
      </c>
      <c r="P90" s="1" t="str">
        <f t="shared" si="9"/>
        <v>138.800000000047,0</v>
      </c>
      <c r="Q90" s="6" t="s">
        <v>10</v>
      </c>
      <c r="R90" s="1">
        <v>90</v>
      </c>
      <c r="S90" s="1">
        <v>2.5</v>
      </c>
      <c r="T90" s="1" t="str">
        <f t="shared" si="11"/>
        <v>-text 138.800000000047,0 2.5 90 1144713.5</v>
      </c>
    </row>
    <row r="91" spans="1:20" x14ac:dyDescent="0.35">
      <c r="A91" s="1">
        <v>256160</v>
      </c>
      <c r="B91" s="7">
        <v>1144733.2</v>
      </c>
      <c r="C91" s="2">
        <v>270.61700000000002</v>
      </c>
      <c r="D91" s="2">
        <v>272.13499999999999</v>
      </c>
      <c r="E91" s="2">
        <v>1.518</v>
      </c>
      <c r="F91" s="2">
        <v>269.94499999999999</v>
      </c>
      <c r="G91" s="2">
        <v>271.42200000000003</v>
      </c>
      <c r="H91" s="2">
        <v>1.4770000000000001</v>
      </c>
      <c r="I91" s="2">
        <v>268.286</v>
      </c>
      <c r="J91" s="2">
        <v>268.53199999999998</v>
      </c>
      <c r="K91" s="15">
        <v>2.89</v>
      </c>
      <c r="L91" s="2">
        <v>31.204999999999998</v>
      </c>
      <c r="N91" s="7">
        <f t="shared" si="12"/>
        <v>158.5</v>
      </c>
      <c r="O91" s="1">
        <v>0</v>
      </c>
      <c r="P91" s="1" t="str">
        <f t="shared" si="9"/>
        <v>158.5,0</v>
      </c>
      <c r="Q91" s="6" t="s">
        <v>10</v>
      </c>
      <c r="R91" s="1">
        <v>90</v>
      </c>
      <c r="S91" s="1">
        <v>2.5</v>
      </c>
      <c r="T91" s="1" t="str">
        <f t="shared" si="11"/>
        <v>-text 158.5,0 2.5 90 1144733.2</v>
      </c>
    </row>
    <row r="92" spans="1:20" x14ac:dyDescent="0.35">
      <c r="A92" s="1">
        <v>256180</v>
      </c>
      <c r="B92" s="7">
        <v>1144753.3</v>
      </c>
      <c r="C92" s="2">
        <v>270.625</v>
      </c>
      <c r="D92" s="2">
        <v>272.13499999999999</v>
      </c>
      <c r="E92" s="2">
        <v>1.51</v>
      </c>
      <c r="F92" s="2">
        <v>269.95299999999997</v>
      </c>
      <c r="G92" s="2">
        <v>271.42200000000003</v>
      </c>
      <c r="H92" s="2">
        <v>1.4690000000000001</v>
      </c>
      <c r="I92" s="2">
        <v>268.202</v>
      </c>
      <c r="J92" s="2">
        <v>268.42399999999998</v>
      </c>
      <c r="K92" s="15">
        <v>2.9980000000000002</v>
      </c>
      <c r="L92" s="2">
        <v>30.940999999999999</v>
      </c>
      <c r="N92" s="7">
        <f t="shared" si="12"/>
        <v>178.60000000009313</v>
      </c>
      <c r="O92" s="1">
        <v>0</v>
      </c>
      <c r="P92" s="1" t="str">
        <f t="shared" si="9"/>
        <v>178.600000000093,0</v>
      </c>
      <c r="Q92" s="6" t="s">
        <v>10</v>
      </c>
      <c r="R92" s="1">
        <v>90</v>
      </c>
      <c r="S92" s="1">
        <v>2.5</v>
      </c>
      <c r="T92" s="1" t="str">
        <f t="shared" si="11"/>
        <v>-text 178.600000000093,0 2.5 90 1144753.3</v>
      </c>
    </row>
    <row r="93" spans="1:20" x14ac:dyDescent="0.35">
      <c r="A93" s="1">
        <v>256200</v>
      </c>
      <c r="B93" s="7">
        <v>1144773.2</v>
      </c>
      <c r="C93" s="2">
        <v>270.56900000000002</v>
      </c>
      <c r="D93" s="2">
        <v>272.13499999999999</v>
      </c>
      <c r="E93" s="2">
        <v>1.5660000000000001</v>
      </c>
      <c r="F93" s="2">
        <v>269.89699999999999</v>
      </c>
      <c r="G93" s="2">
        <v>271.42200000000003</v>
      </c>
      <c r="H93" s="2">
        <v>1.5249999999999999</v>
      </c>
      <c r="I93" s="2">
        <v>266.98099999999999</v>
      </c>
      <c r="J93" s="2">
        <v>266.577</v>
      </c>
      <c r="K93" s="15">
        <v>4.8449999999999998</v>
      </c>
      <c r="L93" s="2">
        <v>30.649000000000001</v>
      </c>
      <c r="N93" s="7">
        <f t="shared" si="12"/>
        <v>198.5</v>
      </c>
      <c r="O93" s="1">
        <v>0</v>
      </c>
      <c r="P93" s="1" t="str">
        <f t="shared" si="9"/>
        <v>198.5,0</v>
      </c>
      <c r="Q93" s="6" t="s">
        <v>10</v>
      </c>
      <c r="R93" s="1">
        <v>90</v>
      </c>
      <c r="S93" s="1">
        <v>2.5</v>
      </c>
      <c r="T93" s="1" t="str">
        <f t="shared" si="11"/>
        <v>-text 198.5,0 2.5 90 1144773.2</v>
      </c>
    </row>
    <row r="94" spans="1:20" x14ac:dyDescent="0.35">
      <c r="A94" s="1">
        <v>256220</v>
      </c>
      <c r="B94" s="7">
        <v>1144793.3</v>
      </c>
      <c r="C94" s="2">
        <v>270.51499999999999</v>
      </c>
      <c r="D94" s="2">
        <v>272.13499999999999</v>
      </c>
      <c r="E94" s="2">
        <v>1.62</v>
      </c>
      <c r="F94" s="2">
        <v>269.84300000000002</v>
      </c>
      <c r="G94" s="2">
        <v>271.42200000000003</v>
      </c>
      <c r="H94" s="2">
        <v>1.579</v>
      </c>
      <c r="I94" s="2">
        <v>267.41000000000003</v>
      </c>
      <c r="J94" s="2">
        <v>267.49299999999999</v>
      </c>
      <c r="K94" s="15">
        <v>3.9289999999999998</v>
      </c>
      <c r="L94" s="2">
        <v>30.315000000000001</v>
      </c>
      <c r="N94" s="7">
        <f t="shared" si="12"/>
        <v>218.60000000009313</v>
      </c>
      <c r="O94" s="1">
        <v>0</v>
      </c>
      <c r="P94" s="1" t="str">
        <f t="shared" si="9"/>
        <v>218.600000000093,0</v>
      </c>
      <c r="Q94" s="6" t="s">
        <v>10</v>
      </c>
      <c r="R94" s="1">
        <v>90</v>
      </c>
      <c r="S94" s="1">
        <v>2.5</v>
      </c>
      <c r="T94" s="1" t="str">
        <f t="shared" si="11"/>
        <v>-text 218.600000000093,0 2.5 90 1144793.3</v>
      </c>
    </row>
    <row r="95" spans="1:20" x14ac:dyDescent="0.35">
      <c r="A95" s="1">
        <v>256240</v>
      </c>
      <c r="B95" s="7">
        <v>1144813.2</v>
      </c>
      <c r="C95" s="2">
        <v>270.49799999999999</v>
      </c>
      <c r="D95" s="2">
        <v>272.13499999999999</v>
      </c>
      <c r="E95" s="2">
        <v>1.637</v>
      </c>
      <c r="F95" s="2">
        <v>269.82600000000002</v>
      </c>
      <c r="G95" s="2">
        <v>271.42200000000003</v>
      </c>
      <c r="H95" s="2">
        <v>1.5960000000000001</v>
      </c>
      <c r="I95" s="2">
        <v>267.358</v>
      </c>
      <c r="J95" s="2">
        <v>267.65800000000002</v>
      </c>
      <c r="K95" s="15">
        <v>3.7639999999999998</v>
      </c>
      <c r="L95" s="2">
        <v>30.036999999999999</v>
      </c>
      <c r="N95" s="7">
        <f t="shared" si="12"/>
        <v>238.5</v>
      </c>
      <c r="O95" s="1">
        <v>0</v>
      </c>
      <c r="P95" s="1" t="str">
        <f t="shared" si="9"/>
        <v>238.5,0</v>
      </c>
      <c r="Q95" s="6" t="s">
        <v>10</v>
      </c>
      <c r="R95" s="1">
        <v>90</v>
      </c>
      <c r="S95" s="1">
        <v>2.5</v>
      </c>
      <c r="T95" s="1" t="str">
        <f t="shared" si="11"/>
        <v>-text 238.5,0 2.5 90 1144813.2</v>
      </c>
    </row>
    <row r="96" spans="1:20" x14ac:dyDescent="0.35">
      <c r="A96" s="1">
        <v>256260</v>
      </c>
      <c r="B96" s="7">
        <v>1144833.1000000001</v>
      </c>
      <c r="C96" s="2">
        <v>270.49599999999998</v>
      </c>
      <c r="D96" s="2">
        <v>272.13499999999999</v>
      </c>
      <c r="E96" s="2">
        <v>1.639</v>
      </c>
      <c r="F96" s="2">
        <v>269.82400000000001</v>
      </c>
      <c r="G96" s="2">
        <v>271.42200000000003</v>
      </c>
      <c r="H96" s="2">
        <v>1.5980000000000001</v>
      </c>
      <c r="I96" s="2">
        <v>267.63799999999998</v>
      </c>
      <c r="J96" s="2">
        <v>267.88299999999998</v>
      </c>
      <c r="K96" s="15">
        <v>3.5390000000000001</v>
      </c>
      <c r="L96" s="2">
        <v>29.687999999999999</v>
      </c>
      <c r="N96" s="7">
        <f t="shared" si="12"/>
        <v>258.4000000001397</v>
      </c>
      <c r="O96" s="1">
        <v>0</v>
      </c>
      <c r="P96" s="1" t="str">
        <f t="shared" si="9"/>
        <v>258.40000000014,0</v>
      </c>
      <c r="Q96" s="6" t="s">
        <v>10</v>
      </c>
      <c r="R96" s="1">
        <v>90</v>
      </c>
      <c r="S96" s="1">
        <v>2.5</v>
      </c>
      <c r="T96" s="1" t="str">
        <f t="shared" si="11"/>
        <v>-text 258.40000000014,0 2.5 90 1144833.1</v>
      </c>
    </row>
    <row r="97" spans="1:20" x14ac:dyDescent="0.35">
      <c r="A97" s="1">
        <v>256280</v>
      </c>
      <c r="B97" s="7">
        <v>1144853.3</v>
      </c>
      <c r="C97" s="2">
        <v>270.52800000000002</v>
      </c>
      <c r="D97" s="2">
        <v>272.13499999999999</v>
      </c>
      <c r="E97" s="2">
        <v>1.607</v>
      </c>
      <c r="F97" s="2">
        <v>269.85599999999999</v>
      </c>
      <c r="G97" s="2">
        <v>271.42200000000003</v>
      </c>
      <c r="H97" s="2">
        <v>1.5660000000000001</v>
      </c>
      <c r="I97" s="2">
        <v>267.56900000000002</v>
      </c>
      <c r="J97" s="2">
        <v>267.858</v>
      </c>
      <c r="K97" s="15">
        <v>3.5640000000000001</v>
      </c>
      <c r="L97" s="2">
        <v>29.379000000000001</v>
      </c>
      <c r="N97" s="7">
        <f t="shared" si="12"/>
        <v>278.60000000009313</v>
      </c>
      <c r="O97" s="1">
        <v>0</v>
      </c>
      <c r="P97" s="1" t="str">
        <f t="shared" si="9"/>
        <v>278.600000000093,0</v>
      </c>
      <c r="Q97" s="6" t="s">
        <v>10</v>
      </c>
      <c r="R97" s="1">
        <v>90</v>
      </c>
      <c r="S97" s="1">
        <v>2.5</v>
      </c>
      <c r="T97" s="1" t="str">
        <f t="shared" si="11"/>
        <v>-text 278.600000000093,0 2.5 90 1144853.3</v>
      </c>
    </row>
    <row r="98" spans="1:20" x14ac:dyDescent="0.35">
      <c r="A98" s="1">
        <v>256300</v>
      </c>
      <c r="B98" s="7">
        <v>1144873.2</v>
      </c>
      <c r="C98" s="2">
        <v>270.60500000000002</v>
      </c>
      <c r="D98" s="2">
        <v>272.13499999999999</v>
      </c>
      <c r="E98" s="2">
        <v>1.53</v>
      </c>
      <c r="F98" s="2">
        <v>269.93299999999999</v>
      </c>
      <c r="G98" s="2">
        <v>271.42200000000003</v>
      </c>
      <c r="H98" s="2">
        <v>1.4890000000000001</v>
      </c>
      <c r="I98" s="2">
        <v>267.61900000000003</v>
      </c>
      <c r="J98" s="2">
        <v>267.68299999999999</v>
      </c>
      <c r="K98" s="15">
        <v>3.7389999999999999</v>
      </c>
      <c r="L98" s="2">
        <v>29.079000000000001</v>
      </c>
      <c r="N98" s="7">
        <f t="shared" si="12"/>
        <v>298.5</v>
      </c>
      <c r="O98" s="1">
        <v>0</v>
      </c>
      <c r="P98" s="1" t="str">
        <f t="shared" si="9"/>
        <v>298.5,0</v>
      </c>
      <c r="Q98" s="6" t="s">
        <v>10</v>
      </c>
      <c r="R98" s="1">
        <v>90</v>
      </c>
      <c r="S98" s="1">
        <v>2.5</v>
      </c>
      <c r="T98" s="1" t="str">
        <f t="shared" si="11"/>
        <v>-text 298.5,0 2.5 90 1144873.2</v>
      </c>
    </row>
    <row r="99" spans="1:20" x14ac:dyDescent="0.35">
      <c r="A99" s="1">
        <v>256320</v>
      </c>
      <c r="B99" s="7">
        <v>1144893.2</v>
      </c>
      <c r="C99" s="2">
        <v>270.68299999999999</v>
      </c>
      <c r="D99" s="2">
        <v>272.13499999999999</v>
      </c>
      <c r="E99" s="2">
        <v>1.452</v>
      </c>
      <c r="F99" s="2">
        <v>270.01100000000002</v>
      </c>
      <c r="G99" s="2">
        <v>271.42200000000003</v>
      </c>
      <c r="H99" s="2">
        <v>1.411</v>
      </c>
      <c r="I99" s="2">
        <v>267.68200000000002</v>
      </c>
      <c r="J99" s="2">
        <v>267.66699999999997</v>
      </c>
      <c r="K99" s="15">
        <v>3.7549999999999999</v>
      </c>
      <c r="L99" s="2">
        <v>28.794</v>
      </c>
      <c r="N99" s="7">
        <f t="shared" si="12"/>
        <v>318.5</v>
      </c>
      <c r="O99" s="1">
        <v>0</v>
      </c>
      <c r="P99" s="1" t="str">
        <f t="shared" si="9"/>
        <v>318.5,0</v>
      </c>
      <c r="Q99" s="6" t="s">
        <v>10</v>
      </c>
      <c r="R99" s="1">
        <v>90</v>
      </c>
      <c r="S99" s="1">
        <v>2.5</v>
      </c>
      <c r="T99" s="1" t="str">
        <f t="shared" si="11"/>
        <v>-text 318.5,0 2.5 90 1144893.2</v>
      </c>
    </row>
    <row r="100" spans="1:20" x14ac:dyDescent="0.35">
      <c r="A100" s="1">
        <v>256340</v>
      </c>
      <c r="B100" s="7">
        <v>1144913.2</v>
      </c>
      <c r="C100" s="2">
        <v>270.70499999999998</v>
      </c>
      <c r="D100" s="2">
        <v>272.14800000000002</v>
      </c>
      <c r="E100" s="2">
        <v>1.444</v>
      </c>
      <c r="F100" s="2">
        <v>270.03300000000002</v>
      </c>
      <c r="G100" s="2">
        <v>271.435</v>
      </c>
      <c r="H100" s="2">
        <v>1.403</v>
      </c>
      <c r="I100" s="2">
        <v>267.762</v>
      </c>
      <c r="J100" s="2">
        <v>267.71100000000001</v>
      </c>
      <c r="K100" s="15">
        <v>3.7240000000000002</v>
      </c>
      <c r="L100" s="2">
        <v>28.497</v>
      </c>
      <c r="N100" s="7">
        <f t="shared" si="12"/>
        <v>338.5</v>
      </c>
      <c r="O100" s="1">
        <v>0</v>
      </c>
      <c r="P100" s="1" t="str">
        <f t="shared" si="9"/>
        <v>338.5,0</v>
      </c>
      <c r="Q100" s="6" t="s">
        <v>10</v>
      </c>
      <c r="R100" s="1">
        <v>90</v>
      </c>
      <c r="S100" s="1">
        <v>2.5</v>
      </c>
      <c r="T100" s="1" t="str">
        <f t="shared" si="11"/>
        <v>-text 338.5,0 2.5 90 1144913.2</v>
      </c>
    </row>
    <row r="101" spans="1:20" x14ac:dyDescent="0.35">
      <c r="A101" s="1">
        <v>256360</v>
      </c>
      <c r="B101" s="7">
        <v>1144933.1000000001</v>
      </c>
      <c r="C101" s="2">
        <v>270.74599999999998</v>
      </c>
      <c r="D101" s="2">
        <v>272.161</v>
      </c>
      <c r="E101" s="2">
        <v>1.415</v>
      </c>
      <c r="F101" s="2">
        <v>270.07400000000001</v>
      </c>
      <c r="G101" s="2">
        <v>271.44799999999998</v>
      </c>
      <c r="H101" s="2">
        <v>1.3740000000000001</v>
      </c>
      <c r="I101" s="2">
        <v>267.93799999999999</v>
      </c>
      <c r="J101" s="2">
        <v>267.77499999999998</v>
      </c>
      <c r="K101" s="15">
        <v>3.673</v>
      </c>
      <c r="L101" s="2">
        <v>28.152999999999999</v>
      </c>
      <c r="N101" s="7">
        <f t="shared" si="12"/>
        <v>358.4000000001397</v>
      </c>
      <c r="O101" s="1">
        <v>0</v>
      </c>
      <c r="P101" s="1" t="str">
        <f t="shared" si="9"/>
        <v>358.40000000014,0</v>
      </c>
      <c r="Q101" s="6" t="s">
        <v>10</v>
      </c>
      <c r="R101" s="1">
        <v>90</v>
      </c>
      <c r="S101" s="1">
        <v>2.5</v>
      </c>
      <c r="T101" s="1" t="str">
        <f t="shared" si="11"/>
        <v>-text 358.40000000014,0 2.5 90 1144933.1</v>
      </c>
    </row>
    <row r="102" spans="1:20" x14ac:dyDescent="0.35">
      <c r="A102" s="1">
        <v>256380</v>
      </c>
      <c r="B102" s="7">
        <v>1144953.3</v>
      </c>
      <c r="C102" s="2">
        <v>270.779</v>
      </c>
      <c r="D102" s="2">
        <v>272.17500000000001</v>
      </c>
      <c r="E102" s="2">
        <v>1.3959999999999999</v>
      </c>
      <c r="F102" s="2">
        <v>270.10700000000003</v>
      </c>
      <c r="G102" s="2">
        <v>271.46199999999999</v>
      </c>
      <c r="H102" s="2">
        <v>1.355</v>
      </c>
      <c r="I102" s="2">
        <v>267.78399999999999</v>
      </c>
      <c r="J102" s="2">
        <v>267.91500000000002</v>
      </c>
      <c r="K102" s="15">
        <v>3.5470000000000002</v>
      </c>
      <c r="L102" s="2">
        <v>27.85</v>
      </c>
      <c r="N102" s="7">
        <f t="shared" si="12"/>
        <v>378.60000000009313</v>
      </c>
      <c r="O102" s="1">
        <v>0</v>
      </c>
      <c r="P102" s="1" t="str">
        <f t="shared" si="9"/>
        <v>378.600000000093,0</v>
      </c>
      <c r="Q102" s="6" t="s">
        <v>10</v>
      </c>
      <c r="R102" s="1">
        <v>90</v>
      </c>
      <c r="S102" s="1">
        <v>2.5</v>
      </c>
      <c r="T102" s="1" t="str">
        <f t="shared" si="11"/>
        <v>-text 378.600000000093,0 2.5 90 1144953.3</v>
      </c>
    </row>
    <row r="103" spans="1:20" x14ac:dyDescent="0.35">
      <c r="A103" s="1">
        <v>256400</v>
      </c>
      <c r="B103" s="7">
        <v>1144973.2</v>
      </c>
      <c r="C103" s="2">
        <v>270.79000000000002</v>
      </c>
      <c r="D103" s="2">
        <v>272.18799999999999</v>
      </c>
      <c r="E103" s="2">
        <v>1.3979999999999999</v>
      </c>
      <c r="F103" s="2">
        <v>270.11799999999999</v>
      </c>
      <c r="G103" s="2">
        <v>271.47500000000002</v>
      </c>
      <c r="H103" s="2">
        <v>1.357</v>
      </c>
      <c r="I103" s="2">
        <v>267.678</v>
      </c>
      <c r="J103" s="2">
        <v>267.81400000000002</v>
      </c>
      <c r="K103" s="15">
        <v>3.661</v>
      </c>
      <c r="L103" s="2">
        <v>27.571000000000002</v>
      </c>
      <c r="N103" s="7">
        <f t="shared" si="12"/>
        <v>398.5</v>
      </c>
      <c r="O103" s="1">
        <v>0</v>
      </c>
      <c r="P103" s="1" t="str">
        <f t="shared" si="9"/>
        <v>398.5,0</v>
      </c>
      <c r="Q103" s="6" t="s">
        <v>10</v>
      </c>
      <c r="R103" s="1">
        <v>90</v>
      </c>
      <c r="S103" s="1">
        <v>2.5</v>
      </c>
      <c r="T103" s="1" t="str">
        <f t="shared" si="11"/>
        <v>-text 398.5,0 2.5 90 1144973.2</v>
      </c>
    </row>
    <row r="104" spans="1:20" x14ac:dyDescent="0.35">
      <c r="A104" s="1">
        <v>256420</v>
      </c>
      <c r="B104" s="7">
        <v>1144993.2</v>
      </c>
      <c r="C104" s="2">
        <v>270.79300000000001</v>
      </c>
      <c r="D104" s="2">
        <v>272.20100000000002</v>
      </c>
      <c r="E104" s="2">
        <v>1.409</v>
      </c>
      <c r="F104" s="2">
        <v>270.12099999999998</v>
      </c>
      <c r="G104" s="2">
        <v>271.488</v>
      </c>
      <c r="H104" s="2">
        <v>1.3680000000000001</v>
      </c>
      <c r="I104" s="2">
        <v>267.68900000000002</v>
      </c>
      <c r="J104" s="2">
        <v>267.77699999999999</v>
      </c>
      <c r="K104" s="15">
        <v>3.7120000000000002</v>
      </c>
      <c r="L104" s="2">
        <v>27.263999999999999</v>
      </c>
      <c r="N104" s="7">
        <f t="shared" si="12"/>
        <v>418.5</v>
      </c>
      <c r="O104" s="1">
        <v>0</v>
      </c>
      <c r="P104" s="1" t="str">
        <f t="shared" si="9"/>
        <v>418.5,0</v>
      </c>
      <c r="Q104" s="6" t="s">
        <v>10</v>
      </c>
      <c r="R104" s="1">
        <v>90</v>
      </c>
      <c r="S104" s="1">
        <v>2.5</v>
      </c>
      <c r="T104" s="1" t="str">
        <f t="shared" si="11"/>
        <v>-text 418.5,0 2.5 90 1144993.2</v>
      </c>
    </row>
    <row r="105" spans="1:20" x14ac:dyDescent="0.35">
      <c r="A105" s="1">
        <v>256440</v>
      </c>
      <c r="B105" s="7">
        <v>1145013.2</v>
      </c>
      <c r="C105" s="2">
        <v>270.822</v>
      </c>
      <c r="D105" s="2">
        <v>272.21499999999997</v>
      </c>
      <c r="E105" s="2">
        <v>1.3919999999999999</v>
      </c>
      <c r="F105" s="2">
        <v>270.14999999999998</v>
      </c>
      <c r="G105" s="2">
        <v>271.50200000000001</v>
      </c>
      <c r="H105" s="2">
        <v>1.351</v>
      </c>
      <c r="I105" s="2">
        <v>267.71199999999999</v>
      </c>
      <c r="J105" s="2">
        <v>267.77999999999997</v>
      </c>
      <c r="K105" s="15">
        <v>3.722</v>
      </c>
      <c r="L105" s="2">
        <v>26.968</v>
      </c>
      <c r="N105" s="7">
        <f t="shared" si="12"/>
        <v>438.5</v>
      </c>
      <c r="O105" s="1">
        <v>0</v>
      </c>
      <c r="P105" s="1" t="str">
        <f t="shared" si="9"/>
        <v>438.5,0</v>
      </c>
      <c r="Q105" s="6" t="s">
        <v>10</v>
      </c>
      <c r="R105" s="1">
        <v>90</v>
      </c>
      <c r="S105" s="1">
        <v>2.5</v>
      </c>
      <c r="T105" s="1" t="str">
        <f t="shared" si="11"/>
        <v>-text 438.5,0 2.5 90 1145013.2</v>
      </c>
    </row>
    <row r="106" spans="1:20" x14ac:dyDescent="0.35">
      <c r="A106" s="1">
        <v>256460</v>
      </c>
      <c r="B106" s="7">
        <v>1145033.3</v>
      </c>
      <c r="C106" s="2">
        <v>270.81</v>
      </c>
      <c r="D106" s="2">
        <v>272.22800000000001</v>
      </c>
      <c r="E106" s="2">
        <v>1.4179999999999999</v>
      </c>
      <c r="F106" s="2">
        <v>270.13799999999998</v>
      </c>
      <c r="G106" s="2">
        <v>271.51499999999999</v>
      </c>
      <c r="H106" s="2">
        <v>1.377</v>
      </c>
      <c r="I106" s="2">
        <v>267.79700000000003</v>
      </c>
      <c r="J106" s="2">
        <v>267.84300000000002</v>
      </c>
      <c r="K106" s="15">
        <v>3.6720000000000002</v>
      </c>
      <c r="L106" s="2">
        <v>26.707000000000001</v>
      </c>
      <c r="N106" s="7">
        <f t="shared" si="12"/>
        <v>458.60000000009313</v>
      </c>
      <c r="O106" s="1">
        <v>0</v>
      </c>
      <c r="P106" s="1" t="str">
        <f t="shared" si="9"/>
        <v>458.600000000093,0</v>
      </c>
      <c r="Q106" s="6" t="s">
        <v>10</v>
      </c>
      <c r="R106" s="1">
        <v>90</v>
      </c>
      <c r="S106" s="1">
        <v>2.5</v>
      </c>
      <c r="T106" s="1" t="str">
        <f t="shared" si="11"/>
        <v>-text 458.600000000093,0 2.5 90 1145033.3</v>
      </c>
    </row>
    <row r="107" spans="1:20" x14ac:dyDescent="0.35">
      <c r="A107" s="1">
        <v>256480</v>
      </c>
      <c r="B107" s="7">
        <v>1145053.2</v>
      </c>
      <c r="C107" s="2">
        <v>270.80099999999999</v>
      </c>
      <c r="D107" s="2">
        <v>272.24099999999999</v>
      </c>
      <c r="E107" s="2">
        <v>1.44</v>
      </c>
      <c r="F107" s="2">
        <v>270.12900000000002</v>
      </c>
      <c r="G107" s="2">
        <v>271.52800000000002</v>
      </c>
      <c r="H107" s="2">
        <v>1.399</v>
      </c>
      <c r="I107" s="2">
        <v>267.786</v>
      </c>
      <c r="J107" s="2">
        <v>267.8</v>
      </c>
      <c r="K107" s="15">
        <v>3.7280000000000002</v>
      </c>
      <c r="L107" s="2">
        <v>26.391999999999999</v>
      </c>
      <c r="N107" s="7">
        <f t="shared" si="12"/>
        <v>478.5</v>
      </c>
      <c r="O107" s="1">
        <v>0</v>
      </c>
      <c r="P107" s="1" t="str">
        <f t="shared" si="9"/>
        <v>478.5,0</v>
      </c>
      <c r="Q107" s="6" t="s">
        <v>10</v>
      </c>
      <c r="R107" s="1">
        <v>90</v>
      </c>
      <c r="S107" s="1">
        <v>2.5</v>
      </c>
      <c r="T107" s="1" t="str">
        <f t="shared" si="11"/>
        <v>-text 478.5,0 2.5 90 1145053.2</v>
      </c>
    </row>
    <row r="108" spans="1:20" x14ac:dyDescent="0.35">
      <c r="A108" s="1">
        <v>256500</v>
      </c>
      <c r="B108" s="7">
        <v>1145073.2</v>
      </c>
      <c r="C108" s="2">
        <v>270.78899999999999</v>
      </c>
      <c r="D108" s="2">
        <v>272.255</v>
      </c>
      <c r="E108" s="2">
        <v>1.466</v>
      </c>
      <c r="F108" s="2">
        <v>270.11700000000002</v>
      </c>
      <c r="G108" s="2">
        <v>271.54199999999997</v>
      </c>
      <c r="H108" s="2">
        <v>1.425</v>
      </c>
      <c r="I108" s="2">
        <v>268.488</v>
      </c>
      <c r="J108" s="2">
        <v>267.75799999999998</v>
      </c>
      <c r="K108" s="15">
        <v>3.7829999999999999</v>
      </c>
      <c r="L108" s="2">
        <v>26.06</v>
      </c>
      <c r="N108" s="7">
        <f>N105+(B108-B105)</f>
        <v>498.5</v>
      </c>
      <c r="O108" s="1">
        <v>0</v>
      </c>
      <c r="P108" s="1" t="str">
        <f t="shared" ref="P108" si="13">CONCATENATE(N108,",",O108)</f>
        <v>498.5,0</v>
      </c>
      <c r="Q108" s="6" t="s">
        <v>10</v>
      </c>
      <c r="R108" s="1">
        <v>90</v>
      </c>
      <c r="S108" s="1">
        <v>2.5</v>
      </c>
      <c r="T108" s="1" t="str">
        <f t="shared" si="11"/>
        <v>-text 498.5,0 2.5 90 1145073.2</v>
      </c>
    </row>
    <row r="109" spans="1:20" s="10" customFormat="1" x14ac:dyDescent="0.35">
      <c r="B109" s="11"/>
      <c r="C109" s="9"/>
      <c r="D109" s="9"/>
      <c r="E109" s="9"/>
      <c r="F109" s="9"/>
      <c r="G109" s="9"/>
      <c r="H109" s="9"/>
      <c r="I109" s="9"/>
      <c r="J109" s="9"/>
      <c r="K109" s="16"/>
      <c r="L109" s="9"/>
      <c r="M109" s="9"/>
      <c r="N109" s="11"/>
      <c r="Q109" s="12"/>
    </row>
    <row r="110" spans="1:20" x14ac:dyDescent="0.35">
      <c r="A110" s="1">
        <v>256500</v>
      </c>
      <c r="B110" s="7">
        <v>1145073.2</v>
      </c>
      <c r="C110" s="2">
        <v>270.78899999999999</v>
      </c>
      <c r="D110" s="2">
        <v>272.255</v>
      </c>
      <c r="E110" s="2">
        <v>1.466</v>
      </c>
      <c r="F110" s="2">
        <v>270.11700000000002</v>
      </c>
      <c r="G110" s="2">
        <v>271.54199999999997</v>
      </c>
      <c r="H110" s="2">
        <v>1.425</v>
      </c>
      <c r="I110" s="2">
        <v>268.488</v>
      </c>
      <c r="J110" s="2">
        <v>267.75799999999998</v>
      </c>
      <c r="K110" s="15">
        <v>3.7829999999999999</v>
      </c>
      <c r="L110" s="2">
        <v>26.06</v>
      </c>
      <c r="N110" s="7">
        <v>0</v>
      </c>
      <c r="O110" s="1">
        <v>0</v>
      </c>
      <c r="P110" s="1" t="str">
        <f t="shared" si="9"/>
        <v>0,0</v>
      </c>
      <c r="Q110" s="6" t="s">
        <v>10</v>
      </c>
      <c r="R110" s="1">
        <v>90</v>
      </c>
      <c r="S110" s="1">
        <v>2.5</v>
      </c>
      <c r="T110" s="1" t="str">
        <f t="shared" ref="T110:T138" si="14">$Q110&amp;" "&amp;$P110&amp;" "&amp;$S110&amp;" "&amp;$R110&amp;" "&amp;$B110</f>
        <v>-text 0,0 2.5 90 1145073.2</v>
      </c>
    </row>
    <row r="111" spans="1:20" x14ac:dyDescent="0.35">
      <c r="A111" s="1">
        <v>256520</v>
      </c>
      <c r="B111" s="7">
        <v>1145093.3</v>
      </c>
      <c r="C111" s="2">
        <v>270.79700000000003</v>
      </c>
      <c r="D111" s="2">
        <v>272.26799999999997</v>
      </c>
      <c r="E111" s="2">
        <v>1.4710000000000001</v>
      </c>
      <c r="F111" s="2">
        <v>270.125</v>
      </c>
      <c r="G111" s="2">
        <v>271.55500000000001</v>
      </c>
      <c r="H111" s="2">
        <v>1.43</v>
      </c>
      <c r="I111" s="2">
        <v>268.32499999999999</v>
      </c>
      <c r="J111" s="2">
        <v>267.71800000000002</v>
      </c>
      <c r="K111" s="15">
        <v>3.8380000000000001</v>
      </c>
      <c r="L111" s="2">
        <v>25.762</v>
      </c>
      <c r="N111" s="7">
        <f t="shared" ref="N111:N138" si="15">N110+(B111-B110)</f>
        <v>20.100000000093132</v>
      </c>
      <c r="O111" s="1">
        <v>0</v>
      </c>
      <c r="P111" s="1" t="str">
        <f t="shared" si="9"/>
        <v>20.1000000000931,0</v>
      </c>
      <c r="Q111" s="6" t="s">
        <v>10</v>
      </c>
      <c r="R111" s="1">
        <v>90</v>
      </c>
      <c r="S111" s="1">
        <v>2.5</v>
      </c>
      <c r="T111" s="1" t="str">
        <f t="shared" si="14"/>
        <v>-text 20.1000000000931,0 2.5 90 1145093.3</v>
      </c>
    </row>
    <row r="112" spans="1:20" x14ac:dyDescent="0.35">
      <c r="A112" s="1">
        <v>256540</v>
      </c>
      <c r="B112" s="7">
        <v>1145113.2</v>
      </c>
      <c r="C112" s="2">
        <v>270.81799999999998</v>
      </c>
      <c r="D112" s="2">
        <v>272.28199999999998</v>
      </c>
      <c r="E112" s="2">
        <v>1.464</v>
      </c>
      <c r="F112" s="2">
        <v>270.14600000000002</v>
      </c>
      <c r="G112" s="2">
        <v>271.56900000000002</v>
      </c>
      <c r="H112" s="2">
        <v>1.423</v>
      </c>
      <c r="I112" s="2">
        <v>268.32499999999999</v>
      </c>
      <c r="J112" s="2">
        <v>267.74900000000002</v>
      </c>
      <c r="K112" s="15">
        <v>3.819</v>
      </c>
      <c r="L112" s="2">
        <v>25.489000000000001</v>
      </c>
      <c r="N112" s="7">
        <f t="shared" si="15"/>
        <v>40</v>
      </c>
      <c r="O112" s="1">
        <v>0</v>
      </c>
      <c r="P112" s="1" t="str">
        <f t="shared" si="9"/>
        <v>40,0</v>
      </c>
      <c r="Q112" s="6" t="s">
        <v>10</v>
      </c>
      <c r="R112" s="1">
        <v>90</v>
      </c>
      <c r="S112" s="1">
        <v>2.5</v>
      </c>
      <c r="T112" s="1" t="str">
        <f t="shared" si="14"/>
        <v>-text 40,0 2.5 90 1145113.2</v>
      </c>
    </row>
    <row r="113" spans="1:20" x14ac:dyDescent="0.35">
      <c r="A113" s="1">
        <v>256560</v>
      </c>
      <c r="B113" s="7">
        <v>1145133.2</v>
      </c>
      <c r="C113" s="2">
        <v>270.83300000000003</v>
      </c>
      <c r="D113" s="2">
        <v>272.29500000000002</v>
      </c>
      <c r="E113" s="2">
        <v>1.462</v>
      </c>
      <c r="F113" s="2">
        <v>270.161</v>
      </c>
      <c r="G113" s="2">
        <v>271.58199999999999</v>
      </c>
      <c r="H113" s="2">
        <v>1.421</v>
      </c>
      <c r="I113" s="2">
        <v>268.32100000000003</v>
      </c>
      <c r="J113" s="2">
        <v>267.77600000000001</v>
      </c>
      <c r="K113" s="15">
        <v>3.806</v>
      </c>
      <c r="L113" s="2">
        <v>25.175999999999998</v>
      </c>
      <c r="N113" s="7">
        <f t="shared" si="15"/>
        <v>60</v>
      </c>
      <c r="O113" s="1">
        <v>0</v>
      </c>
      <c r="P113" s="1" t="str">
        <f t="shared" si="9"/>
        <v>60,0</v>
      </c>
      <c r="Q113" s="6" t="s">
        <v>10</v>
      </c>
      <c r="R113" s="1">
        <v>90</v>
      </c>
      <c r="S113" s="1">
        <v>2.5</v>
      </c>
      <c r="T113" s="1" t="str">
        <f t="shared" si="14"/>
        <v>-text 60,0 2.5 90 1145133.2</v>
      </c>
    </row>
    <row r="114" spans="1:20" x14ac:dyDescent="0.35">
      <c r="A114" s="1">
        <v>256580</v>
      </c>
      <c r="B114" s="7">
        <v>1145153.2</v>
      </c>
      <c r="C114" s="2">
        <v>270.839</v>
      </c>
      <c r="D114" s="2">
        <v>272.30799999999999</v>
      </c>
      <c r="E114" s="2">
        <v>1.4690000000000001</v>
      </c>
      <c r="F114" s="2">
        <v>270.16699999999997</v>
      </c>
      <c r="G114" s="2">
        <v>271.59500000000003</v>
      </c>
      <c r="H114" s="2">
        <v>1.4279999999999999</v>
      </c>
      <c r="I114" s="2">
        <v>268.26799999999997</v>
      </c>
      <c r="J114" s="2">
        <v>267.79199999999997</v>
      </c>
      <c r="K114" s="15">
        <v>3.8029999999999999</v>
      </c>
      <c r="L114" s="2">
        <v>24.837</v>
      </c>
      <c r="N114" s="7">
        <f t="shared" si="15"/>
        <v>80</v>
      </c>
      <c r="O114" s="1">
        <v>0</v>
      </c>
      <c r="P114" s="1" t="str">
        <f t="shared" si="9"/>
        <v>80,0</v>
      </c>
      <c r="Q114" s="6" t="s">
        <v>10</v>
      </c>
      <c r="R114" s="1">
        <v>90</v>
      </c>
      <c r="S114" s="1">
        <v>2.5</v>
      </c>
      <c r="T114" s="1" t="str">
        <f t="shared" si="14"/>
        <v>-text 80,0 2.5 90 1145153.2</v>
      </c>
    </row>
    <row r="115" spans="1:20" x14ac:dyDescent="0.35">
      <c r="A115" s="1">
        <v>256600</v>
      </c>
      <c r="B115" s="7">
        <v>1145173.3</v>
      </c>
      <c r="C115" s="2">
        <v>270.86</v>
      </c>
      <c r="D115" s="2">
        <v>272.322</v>
      </c>
      <c r="E115" s="2">
        <v>1.462</v>
      </c>
      <c r="F115" s="2">
        <v>270.18799999999999</v>
      </c>
      <c r="G115" s="2">
        <v>271.60899999999998</v>
      </c>
      <c r="H115" s="2">
        <v>1.421</v>
      </c>
      <c r="I115" s="2">
        <v>267.93299999999999</v>
      </c>
      <c r="J115" s="2">
        <v>267.858</v>
      </c>
      <c r="K115" s="15">
        <v>3.7509999999999999</v>
      </c>
      <c r="L115" s="2">
        <v>24.553999999999998</v>
      </c>
      <c r="N115" s="7">
        <f t="shared" si="15"/>
        <v>100.10000000009313</v>
      </c>
      <c r="O115" s="1">
        <v>0</v>
      </c>
      <c r="P115" s="1" t="str">
        <f t="shared" si="9"/>
        <v>100.100000000093,0</v>
      </c>
      <c r="Q115" s="6" t="s">
        <v>10</v>
      </c>
      <c r="R115" s="1">
        <v>90</v>
      </c>
      <c r="S115" s="1">
        <v>2.5</v>
      </c>
      <c r="T115" s="1" t="str">
        <f t="shared" si="14"/>
        <v>-text 100.100000000093,0 2.5 90 1145173.3</v>
      </c>
    </row>
    <row r="116" spans="1:20" x14ac:dyDescent="0.35">
      <c r="A116" s="1">
        <v>256620</v>
      </c>
      <c r="B116" s="7">
        <v>1145193.2</v>
      </c>
      <c r="C116" s="2">
        <v>270.86099999999999</v>
      </c>
      <c r="D116" s="2">
        <v>272.33499999999998</v>
      </c>
      <c r="E116" s="2">
        <v>1.474</v>
      </c>
      <c r="F116" s="2">
        <v>270.18900000000002</v>
      </c>
      <c r="G116" s="2">
        <v>271.62200000000001</v>
      </c>
      <c r="H116" s="2">
        <v>1.4330000000000001</v>
      </c>
      <c r="I116" s="2">
        <v>267.85300000000001</v>
      </c>
      <c r="J116" s="2">
        <v>267.90300000000002</v>
      </c>
      <c r="K116" s="15">
        <v>3.7189999999999999</v>
      </c>
      <c r="L116" s="2">
        <v>24.222999999999999</v>
      </c>
      <c r="N116" s="7">
        <f t="shared" si="15"/>
        <v>120</v>
      </c>
      <c r="O116" s="1">
        <v>0</v>
      </c>
      <c r="P116" s="1" t="str">
        <f t="shared" si="9"/>
        <v>120,0</v>
      </c>
      <c r="Q116" s="6" t="s">
        <v>10</v>
      </c>
      <c r="R116" s="1">
        <v>90</v>
      </c>
      <c r="S116" s="1">
        <v>2.5</v>
      </c>
      <c r="T116" s="1" t="str">
        <f t="shared" si="14"/>
        <v>-text 120,0 2.5 90 1145193.2</v>
      </c>
    </row>
    <row r="117" spans="1:20" x14ac:dyDescent="0.35">
      <c r="A117" s="1">
        <v>256640</v>
      </c>
      <c r="B117" s="7">
        <v>1145213.3</v>
      </c>
      <c r="C117" s="2">
        <v>270.863</v>
      </c>
      <c r="D117" s="2">
        <v>272.34800000000001</v>
      </c>
      <c r="E117" s="2">
        <v>1.4850000000000001</v>
      </c>
      <c r="F117" s="2">
        <v>270.19099999999997</v>
      </c>
      <c r="G117" s="2">
        <v>271.63499999999999</v>
      </c>
      <c r="H117" s="2">
        <v>1.444</v>
      </c>
      <c r="I117" s="2">
        <v>267.85199999999998</v>
      </c>
      <c r="J117" s="2">
        <v>267.94</v>
      </c>
      <c r="K117" s="15">
        <v>3.6960000000000002</v>
      </c>
      <c r="L117" s="2">
        <v>23.899000000000001</v>
      </c>
      <c r="N117" s="7">
        <f t="shared" si="15"/>
        <v>140.10000000009313</v>
      </c>
      <c r="O117" s="1">
        <v>0</v>
      </c>
      <c r="P117" s="1" t="str">
        <f t="shared" si="9"/>
        <v>140.100000000093,0</v>
      </c>
      <c r="Q117" s="6" t="s">
        <v>10</v>
      </c>
      <c r="R117" s="1">
        <v>90</v>
      </c>
      <c r="S117" s="1">
        <v>2.5</v>
      </c>
      <c r="T117" s="1" t="str">
        <f t="shared" si="14"/>
        <v>-text 140.100000000093,0 2.5 90 1145213.3</v>
      </c>
    </row>
    <row r="118" spans="1:20" x14ac:dyDescent="0.35">
      <c r="A118" s="1">
        <v>256660</v>
      </c>
      <c r="B118" s="7">
        <v>1145233.2</v>
      </c>
      <c r="C118" s="2">
        <v>270.85899999999998</v>
      </c>
      <c r="D118" s="2">
        <v>272.36200000000002</v>
      </c>
      <c r="E118" s="2">
        <v>1.5029999999999999</v>
      </c>
      <c r="F118" s="2">
        <v>270.18700000000001</v>
      </c>
      <c r="G118" s="2">
        <v>271.649</v>
      </c>
      <c r="H118" s="2">
        <v>1.462</v>
      </c>
      <c r="I118" s="2">
        <v>267.84699999999998</v>
      </c>
      <c r="J118" s="2">
        <v>267.86799999999999</v>
      </c>
      <c r="K118" s="15">
        <v>3.78</v>
      </c>
      <c r="L118" s="2">
        <v>23.588999999999999</v>
      </c>
      <c r="N118" s="7">
        <f t="shared" si="15"/>
        <v>160</v>
      </c>
      <c r="O118" s="1">
        <v>0</v>
      </c>
      <c r="P118" s="1" t="str">
        <f t="shared" si="9"/>
        <v>160,0</v>
      </c>
      <c r="Q118" s="6" t="s">
        <v>10</v>
      </c>
      <c r="R118" s="1">
        <v>90</v>
      </c>
      <c r="S118" s="1">
        <v>2.5</v>
      </c>
      <c r="T118" s="1" t="str">
        <f t="shared" si="14"/>
        <v>-text 160,0 2.5 90 1145233.2</v>
      </c>
    </row>
    <row r="119" spans="1:20" x14ac:dyDescent="0.35">
      <c r="A119" s="1">
        <v>256680</v>
      </c>
      <c r="B119" s="7">
        <v>1145253.3</v>
      </c>
      <c r="C119" s="2">
        <v>270.85300000000001</v>
      </c>
      <c r="D119" s="2">
        <v>272.375</v>
      </c>
      <c r="E119" s="2">
        <v>1.522</v>
      </c>
      <c r="F119" s="2">
        <v>270.18099999999998</v>
      </c>
      <c r="G119" s="2">
        <v>271.66199999999998</v>
      </c>
      <c r="H119" s="2">
        <v>1.4810000000000001</v>
      </c>
      <c r="I119" s="2">
        <v>267.83999999999997</v>
      </c>
      <c r="J119" s="2">
        <v>267.78300000000002</v>
      </c>
      <c r="K119" s="15">
        <v>3.879</v>
      </c>
      <c r="L119" s="2">
        <v>23.268999999999998</v>
      </c>
      <c r="N119" s="7">
        <f t="shared" si="15"/>
        <v>180.10000000009313</v>
      </c>
      <c r="O119" s="1">
        <v>0</v>
      </c>
      <c r="P119" s="1" t="str">
        <f t="shared" si="9"/>
        <v>180.100000000093,0</v>
      </c>
      <c r="Q119" s="6" t="s">
        <v>10</v>
      </c>
      <c r="R119" s="1">
        <v>90</v>
      </c>
      <c r="S119" s="1">
        <v>2.5</v>
      </c>
      <c r="T119" s="1" t="str">
        <f t="shared" si="14"/>
        <v>-text 180.100000000093,0 2.5 90 1145253.3</v>
      </c>
    </row>
    <row r="120" spans="1:20" x14ac:dyDescent="0.35">
      <c r="A120" s="1">
        <v>256700</v>
      </c>
      <c r="B120" s="7">
        <v>1145273.2</v>
      </c>
      <c r="C120" s="2">
        <v>270.87099999999998</v>
      </c>
      <c r="D120" s="2">
        <v>272.38600000000002</v>
      </c>
      <c r="E120" s="2">
        <v>1.5149999999999999</v>
      </c>
      <c r="F120" s="2">
        <v>270.19900000000001</v>
      </c>
      <c r="G120" s="2">
        <v>271.673</v>
      </c>
      <c r="H120" s="2">
        <v>1.474</v>
      </c>
      <c r="I120" s="2">
        <v>267.80200000000002</v>
      </c>
      <c r="J120" s="2">
        <v>267.83199999999999</v>
      </c>
      <c r="K120" s="15">
        <v>3.8410000000000002</v>
      </c>
      <c r="L120" s="2">
        <v>22.954000000000001</v>
      </c>
      <c r="N120" s="7">
        <f t="shared" si="15"/>
        <v>200</v>
      </c>
      <c r="O120" s="1">
        <v>0</v>
      </c>
      <c r="P120" s="1" t="str">
        <f t="shared" si="9"/>
        <v>200,0</v>
      </c>
      <c r="Q120" s="6" t="s">
        <v>10</v>
      </c>
      <c r="R120" s="1">
        <v>90</v>
      </c>
      <c r="S120" s="1">
        <v>2.5</v>
      </c>
      <c r="T120" s="1" t="str">
        <f t="shared" si="14"/>
        <v>-text 200,0 2.5 90 1145273.2</v>
      </c>
    </row>
    <row r="121" spans="1:20" x14ac:dyDescent="0.35">
      <c r="A121" s="1">
        <v>256720</v>
      </c>
      <c r="B121" s="7">
        <v>1145293.2</v>
      </c>
      <c r="C121" s="2">
        <v>270.88799999999998</v>
      </c>
      <c r="D121" s="2">
        <v>272.39499999999998</v>
      </c>
      <c r="E121" s="2">
        <v>1.506</v>
      </c>
      <c r="F121" s="2">
        <v>270.21600000000001</v>
      </c>
      <c r="G121" s="2">
        <v>271.68200000000002</v>
      </c>
      <c r="H121" s="2">
        <v>1.4650000000000001</v>
      </c>
      <c r="I121" s="2">
        <v>267.72899999999998</v>
      </c>
      <c r="J121" s="2">
        <v>267.85599999999999</v>
      </c>
      <c r="K121" s="15">
        <v>3.8250000000000002</v>
      </c>
      <c r="L121" s="2">
        <v>22.62</v>
      </c>
      <c r="N121" s="7">
        <f t="shared" si="15"/>
        <v>220</v>
      </c>
      <c r="O121" s="1">
        <v>0</v>
      </c>
      <c r="P121" s="1" t="str">
        <f t="shared" si="9"/>
        <v>220,0</v>
      </c>
      <c r="Q121" s="6" t="s">
        <v>10</v>
      </c>
      <c r="R121" s="1">
        <v>90</v>
      </c>
      <c r="S121" s="1">
        <v>2.5</v>
      </c>
      <c r="T121" s="1" t="str">
        <f t="shared" si="14"/>
        <v>-text 220,0 2.5 90 1145293.2</v>
      </c>
    </row>
    <row r="122" spans="1:20" x14ac:dyDescent="0.35">
      <c r="A122" s="1">
        <v>256740</v>
      </c>
      <c r="B122" s="7">
        <v>1145313.3</v>
      </c>
      <c r="C122" s="2">
        <v>270.85500000000002</v>
      </c>
      <c r="D122" s="2">
        <v>272.40300000000002</v>
      </c>
      <c r="E122" s="2">
        <v>1.548</v>
      </c>
      <c r="F122" s="2">
        <v>270.18299999999999</v>
      </c>
      <c r="G122" s="2">
        <v>271.69</v>
      </c>
      <c r="H122" s="2">
        <v>1.5069999999999999</v>
      </c>
      <c r="I122" s="2">
        <v>267.58100000000002</v>
      </c>
      <c r="J122" s="2">
        <v>267.64100000000002</v>
      </c>
      <c r="K122" s="15">
        <v>4.0490000000000004</v>
      </c>
      <c r="L122" s="2">
        <v>22.317</v>
      </c>
      <c r="N122" s="7">
        <f t="shared" si="15"/>
        <v>240.10000000009313</v>
      </c>
      <c r="O122" s="1">
        <v>0</v>
      </c>
      <c r="P122" s="1" t="str">
        <f t="shared" si="9"/>
        <v>240.100000000093,0</v>
      </c>
      <c r="Q122" s="6" t="s">
        <v>10</v>
      </c>
      <c r="R122" s="1">
        <v>90</v>
      </c>
      <c r="S122" s="1">
        <v>2.5</v>
      </c>
      <c r="T122" s="1" t="str">
        <f t="shared" si="14"/>
        <v>-text 240.100000000093,0 2.5 90 1145313.3</v>
      </c>
    </row>
    <row r="123" spans="1:20" x14ac:dyDescent="0.35">
      <c r="A123" s="1">
        <v>256760</v>
      </c>
      <c r="B123" s="7">
        <v>1145333.3</v>
      </c>
      <c r="C123" s="2">
        <v>270.85599999999999</v>
      </c>
      <c r="D123" s="2">
        <v>272.41199999999998</v>
      </c>
      <c r="E123" s="2">
        <v>1.556</v>
      </c>
      <c r="F123" s="2">
        <v>270.18400000000003</v>
      </c>
      <c r="G123" s="2">
        <v>271.69900000000001</v>
      </c>
      <c r="H123" s="2">
        <v>1.5149999999999999</v>
      </c>
      <c r="I123" s="2">
        <v>267.58800000000002</v>
      </c>
      <c r="J123" s="2">
        <v>267.55500000000001</v>
      </c>
      <c r="K123" s="15">
        <v>4.1440000000000001</v>
      </c>
      <c r="L123" s="2">
        <v>22.016999999999999</v>
      </c>
      <c r="N123" s="7">
        <f t="shared" si="15"/>
        <v>260.10000000009313</v>
      </c>
      <c r="O123" s="1">
        <v>0</v>
      </c>
      <c r="P123" s="1" t="str">
        <f t="shared" si="9"/>
        <v>260.100000000093,0</v>
      </c>
      <c r="Q123" s="6" t="s">
        <v>10</v>
      </c>
      <c r="R123" s="1">
        <v>90</v>
      </c>
      <c r="S123" s="1">
        <v>2.5</v>
      </c>
      <c r="T123" s="1" t="str">
        <f t="shared" si="14"/>
        <v>-text 260.100000000093,0 2.5 90 1145333.3</v>
      </c>
    </row>
    <row r="124" spans="1:20" x14ac:dyDescent="0.35">
      <c r="A124" s="1">
        <v>256780</v>
      </c>
      <c r="B124" s="7">
        <v>1145353.3</v>
      </c>
      <c r="C124" s="2">
        <v>270.85300000000001</v>
      </c>
      <c r="D124" s="2">
        <v>272.42</v>
      </c>
      <c r="E124" s="2">
        <v>1.5669999999999999</v>
      </c>
      <c r="F124" s="2">
        <v>270.18099999999998</v>
      </c>
      <c r="G124" s="2">
        <v>271.70699999999999</v>
      </c>
      <c r="H124" s="2">
        <v>1.526</v>
      </c>
      <c r="I124" s="2">
        <v>267.64600000000002</v>
      </c>
      <c r="J124" s="2">
        <v>267.62</v>
      </c>
      <c r="K124" s="15">
        <v>4.0869999999999997</v>
      </c>
      <c r="L124" s="2">
        <v>21.727</v>
      </c>
      <c r="N124" s="7">
        <f t="shared" si="15"/>
        <v>280.10000000009313</v>
      </c>
      <c r="O124" s="1">
        <v>0</v>
      </c>
      <c r="P124" s="1" t="str">
        <f t="shared" si="9"/>
        <v>280.100000000093,0</v>
      </c>
      <c r="Q124" s="6" t="s">
        <v>10</v>
      </c>
      <c r="R124" s="1">
        <v>90</v>
      </c>
      <c r="S124" s="1">
        <v>2.5</v>
      </c>
      <c r="T124" s="1" t="str">
        <f t="shared" si="14"/>
        <v>-text 280.100000000093,0 2.5 90 1145353.3</v>
      </c>
    </row>
    <row r="125" spans="1:20" x14ac:dyDescent="0.35">
      <c r="A125" s="1">
        <v>256800</v>
      </c>
      <c r="B125" s="7">
        <v>1145373.3</v>
      </c>
      <c r="C125" s="2">
        <v>270.85899999999998</v>
      </c>
      <c r="D125" s="2">
        <v>272.42899999999997</v>
      </c>
      <c r="E125" s="2">
        <v>1.57</v>
      </c>
      <c r="F125" s="2">
        <v>270.18700000000001</v>
      </c>
      <c r="G125" s="2">
        <v>271.71600000000001</v>
      </c>
      <c r="H125" s="2">
        <v>1.5289999999999999</v>
      </c>
      <c r="I125" s="2">
        <v>267.58699999999999</v>
      </c>
      <c r="J125" s="2">
        <v>267.608</v>
      </c>
      <c r="K125" s="15">
        <v>4.1079999999999997</v>
      </c>
      <c r="L125" s="2">
        <v>21.456</v>
      </c>
      <c r="N125" s="7">
        <f t="shared" si="15"/>
        <v>300.10000000009313</v>
      </c>
      <c r="O125" s="1">
        <v>0</v>
      </c>
      <c r="P125" s="1" t="str">
        <f t="shared" si="9"/>
        <v>300.100000000093,0</v>
      </c>
      <c r="Q125" s="6" t="s">
        <v>10</v>
      </c>
      <c r="R125" s="1">
        <v>90</v>
      </c>
      <c r="S125" s="1">
        <v>2.5</v>
      </c>
      <c r="T125" s="1" t="str">
        <f t="shared" si="14"/>
        <v>-text 300.100000000093,0 2.5 90 1145373.3</v>
      </c>
    </row>
    <row r="126" spans="1:20" x14ac:dyDescent="0.35">
      <c r="A126" s="1">
        <v>256820</v>
      </c>
      <c r="B126" s="7">
        <v>1145393.3</v>
      </c>
      <c r="C126" s="2">
        <v>270.88</v>
      </c>
      <c r="D126" s="2">
        <v>272.43799999999999</v>
      </c>
      <c r="E126" s="2">
        <v>1.5569999999999999</v>
      </c>
      <c r="F126" s="2">
        <v>270.20800000000003</v>
      </c>
      <c r="G126" s="2">
        <v>271.72500000000002</v>
      </c>
      <c r="H126" s="2">
        <v>1.516</v>
      </c>
      <c r="I126" s="2">
        <v>267.505</v>
      </c>
      <c r="J126" s="2">
        <v>267.50299999999999</v>
      </c>
      <c r="K126" s="15">
        <v>4.2220000000000004</v>
      </c>
      <c r="L126" s="2">
        <v>21.164999999999999</v>
      </c>
      <c r="N126" s="7">
        <f t="shared" si="15"/>
        <v>320.10000000009313</v>
      </c>
      <c r="O126" s="1">
        <v>0</v>
      </c>
      <c r="P126" s="1" t="str">
        <f t="shared" si="9"/>
        <v>320.100000000093,0</v>
      </c>
      <c r="Q126" s="6" t="s">
        <v>10</v>
      </c>
      <c r="R126" s="1">
        <v>90</v>
      </c>
      <c r="S126" s="1">
        <v>2.5</v>
      </c>
      <c r="T126" s="1" t="str">
        <f t="shared" si="14"/>
        <v>-text 320.100000000093,0 2.5 90 1145393.3</v>
      </c>
    </row>
    <row r="127" spans="1:20" x14ac:dyDescent="0.35">
      <c r="A127" s="1">
        <v>256840</v>
      </c>
      <c r="B127" s="7">
        <v>1145413.3999999999</v>
      </c>
      <c r="C127" s="2">
        <v>270.91000000000003</v>
      </c>
      <c r="D127" s="2">
        <v>272.44600000000003</v>
      </c>
      <c r="E127" s="2">
        <v>1.536</v>
      </c>
      <c r="F127" s="2">
        <v>270.238</v>
      </c>
      <c r="G127" s="2">
        <v>271.733</v>
      </c>
      <c r="H127" s="2">
        <v>1.4950000000000001</v>
      </c>
      <c r="I127" s="2">
        <v>267.488</v>
      </c>
      <c r="J127" s="2">
        <v>267.50099999999998</v>
      </c>
      <c r="K127" s="15">
        <v>4.2320000000000002</v>
      </c>
      <c r="L127" s="2">
        <v>20.858000000000001</v>
      </c>
      <c r="N127" s="7">
        <f t="shared" si="15"/>
        <v>340.19999999995343</v>
      </c>
      <c r="O127" s="1">
        <v>0</v>
      </c>
      <c r="P127" s="1" t="str">
        <f t="shared" si="9"/>
        <v>340.199999999953,0</v>
      </c>
      <c r="Q127" s="6" t="s">
        <v>10</v>
      </c>
      <c r="R127" s="1">
        <v>90</v>
      </c>
      <c r="S127" s="1">
        <v>2.5</v>
      </c>
      <c r="T127" s="1" t="str">
        <f t="shared" si="14"/>
        <v>-text 340.199999999953,0 2.5 90 1145413.4</v>
      </c>
    </row>
    <row r="128" spans="1:20" x14ac:dyDescent="0.35">
      <c r="A128" s="1">
        <v>256860</v>
      </c>
      <c r="B128" s="7">
        <v>1145433.5</v>
      </c>
      <c r="C128" s="2">
        <v>270.94299999999998</v>
      </c>
      <c r="D128" s="2">
        <v>272.45499999999998</v>
      </c>
      <c r="E128" s="2">
        <v>1.512</v>
      </c>
      <c r="F128" s="2">
        <v>270.27100000000002</v>
      </c>
      <c r="G128" s="2">
        <v>271.74200000000002</v>
      </c>
      <c r="H128" s="2">
        <v>1.4710000000000001</v>
      </c>
      <c r="I128" s="2">
        <v>267.61700000000002</v>
      </c>
      <c r="J128" s="2">
        <v>267.65300000000002</v>
      </c>
      <c r="K128" s="15">
        <v>4.0890000000000004</v>
      </c>
      <c r="L128" s="2">
        <v>20.652999999999999</v>
      </c>
      <c r="N128" s="7">
        <f t="shared" si="15"/>
        <v>360.30000000004657</v>
      </c>
      <c r="O128" s="1">
        <v>0</v>
      </c>
      <c r="P128" s="1" t="str">
        <f t="shared" si="9"/>
        <v>360.300000000047,0</v>
      </c>
      <c r="Q128" s="6" t="s">
        <v>10</v>
      </c>
      <c r="R128" s="1">
        <v>90</v>
      </c>
      <c r="S128" s="1">
        <v>2.5</v>
      </c>
      <c r="T128" s="1" t="str">
        <f t="shared" si="14"/>
        <v>-text 360.300000000047,0 2.5 90 1145433.5</v>
      </c>
    </row>
    <row r="129" spans="1:20" x14ac:dyDescent="0.35">
      <c r="A129" s="1">
        <v>256880</v>
      </c>
      <c r="B129" s="7">
        <v>1145453.7</v>
      </c>
      <c r="C129" s="2">
        <v>271.00299999999999</v>
      </c>
      <c r="D129" s="2">
        <v>272.464</v>
      </c>
      <c r="E129" s="2">
        <v>1.46</v>
      </c>
      <c r="F129" s="2">
        <v>270.33100000000002</v>
      </c>
      <c r="G129" s="2">
        <v>271.75099999999998</v>
      </c>
      <c r="H129" s="2">
        <v>1.419</v>
      </c>
      <c r="I129" s="2">
        <v>267.72899999999998</v>
      </c>
      <c r="J129" s="2">
        <v>267.685</v>
      </c>
      <c r="K129" s="15">
        <v>4.0650000000000004</v>
      </c>
      <c r="L129" s="2">
        <v>20.585999999999999</v>
      </c>
      <c r="N129" s="7">
        <f t="shared" si="15"/>
        <v>380.5</v>
      </c>
      <c r="O129" s="1">
        <v>0</v>
      </c>
      <c r="P129" s="1" t="str">
        <f t="shared" si="9"/>
        <v>380.5,0</v>
      </c>
      <c r="Q129" s="6" t="s">
        <v>10</v>
      </c>
      <c r="R129" s="1">
        <v>90</v>
      </c>
      <c r="S129" s="1">
        <v>2.5</v>
      </c>
      <c r="T129" s="1" t="str">
        <f t="shared" si="14"/>
        <v>-text 380.5,0 2.5 90 1145453.7</v>
      </c>
    </row>
    <row r="130" spans="1:20" x14ac:dyDescent="0.35">
      <c r="A130" s="1">
        <v>256900</v>
      </c>
      <c r="B130" s="7">
        <v>1145473.7</v>
      </c>
      <c r="C130" s="2">
        <v>270.99</v>
      </c>
      <c r="D130" s="2">
        <v>272.47199999999998</v>
      </c>
      <c r="E130" s="2">
        <v>1.482</v>
      </c>
      <c r="F130" s="2">
        <v>270.31799999999998</v>
      </c>
      <c r="G130" s="2">
        <v>271.75900000000001</v>
      </c>
      <c r="H130" s="2">
        <v>1.4410000000000001</v>
      </c>
      <c r="I130" s="2">
        <v>267.55200000000002</v>
      </c>
      <c r="J130" s="2">
        <v>267.50700000000001</v>
      </c>
      <c r="K130" s="15">
        <v>4.2519999999999998</v>
      </c>
      <c r="L130" s="2">
        <v>20.672999999999998</v>
      </c>
      <c r="N130" s="7">
        <f t="shared" si="15"/>
        <v>400.5</v>
      </c>
      <c r="O130" s="1">
        <v>0</v>
      </c>
      <c r="P130" s="1" t="str">
        <f t="shared" si="9"/>
        <v>400.5,0</v>
      </c>
      <c r="Q130" s="6" t="s">
        <v>10</v>
      </c>
      <c r="R130" s="1">
        <v>90</v>
      </c>
      <c r="S130" s="1">
        <v>2.5</v>
      </c>
      <c r="T130" s="1" t="str">
        <f t="shared" si="14"/>
        <v>-text 400.5,0 2.5 90 1145473.7</v>
      </c>
    </row>
    <row r="131" spans="1:20" x14ac:dyDescent="0.35">
      <c r="A131" s="1">
        <v>256920</v>
      </c>
      <c r="B131" s="7">
        <v>1145493.8999999999</v>
      </c>
      <c r="C131" s="2">
        <v>271.02199999999999</v>
      </c>
      <c r="D131" s="2">
        <v>272.48099999999999</v>
      </c>
      <c r="E131" s="2">
        <v>1.4590000000000001</v>
      </c>
      <c r="F131" s="2">
        <v>270.35000000000002</v>
      </c>
      <c r="G131" s="2">
        <v>271.76799999999997</v>
      </c>
      <c r="H131" s="2">
        <v>1.4179999999999999</v>
      </c>
      <c r="I131" s="2">
        <v>267.44799999999998</v>
      </c>
      <c r="J131" s="2">
        <v>267.34800000000001</v>
      </c>
      <c r="K131" s="15">
        <v>4.42</v>
      </c>
      <c r="L131" s="2">
        <v>20.975999999999999</v>
      </c>
      <c r="N131" s="7">
        <f t="shared" si="15"/>
        <v>420.69999999995343</v>
      </c>
      <c r="O131" s="1">
        <v>0</v>
      </c>
      <c r="P131" s="1" t="str">
        <f t="shared" si="9"/>
        <v>420.699999999953,0</v>
      </c>
      <c r="Q131" s="6" t="s">
        <v>10</v>
      </c>
      <c r="R131" s="1">
        <v>90</v>
      </c>
      <c r="S131" s="1">
        <v>2.5</v>
      </c>
      <c r="T131" s="1" t="str">
        <f t="shared" si="14"/>
        <v>-text 420.699999999953,0 2.5 90 1145493.9</v>
      </c>
    </row>
    <row r="132" spans="1:20" x14ac:dyDescent="0.35">
      <c r="A132" s="1">
        <v>256940</v>
      </c>
      <c r="B132" s="7">
        <v>1145514.2</v>
      </c>
      <c r="C132" s="2">
        <v>271.048</v>
      </c>
      <c r="D132" s="2">
        <v>272.48899999999998</v>
      </c>
      <c r="E132" s="2">
        <v>1.4410000000000001</v>
      </c>
      <c r="F132" s="2">
        <v>270.37599999999998</v>
      </c>
      <c r="G132" s="2">
        <v>271.77600000000001</v>
      </c>
      <c r="H132" s="2">
        <v>1.4</v>
      </c>
      <c r="I132" s="2">
        <v>267.38200000000001</v>
      </c>
      <c r="J132" s="2">
        <v>267.327</v>
      </c>
      <c r="K132" s="15">
        <v>4.4489999999999998</v>
      </c>
      <c r="L132" s="2">
        <v>21.47</v>
      </c>
      <c r="N132" s="7">
        <f t="shared" si="15"/>
        <v>441</v>
      </c>
      <c r="O132" s="1">
        <v>0</v>
      </c>
      <c r="P132" s="1" t="str">
        <f t="shared" si="9"/>
        <v>441,0</v>
      </c>
      <c r="Q132" s="6" t="s">
        <v>10</v>
      </c>
      <c r="R132" s="1">
        <v>90</v>
      </c>
      <c r="S132" s="1">
        <v>2.5</v>
      </c>
      <c r="T132" s="1" t="str">
        <f t="shared" si="14"/>
        <v>-text 441,0 2.5 90 1145514.2</v>
      </c>
    </row>
    <row r="133" spans="1:20" x14ac:dyDescent="0.35">
      <c r="A133" s="1">
        <v>256960</v>
      </c>
      <c r="B133" s="7">
        <v>1145534.3999999999</v>
      </c>
      <c r="C133" s="2">
        <v>271.05</v>
      </c>
      <c r="D133" s="2">
        <v>272.49799999999999</v>
      </c>
      <c r="E133" s="2">
        <v>1.448</v>
      </c>
      <c r="F133" s="2">
        <v>270.37799999999999</v>
      </c>
      <c r="G133" s="2">
        <v>271.78500000000003</v>
      </c>
      <c r="H133" s="2">
        <v>1.407</v>
      </c>
      <c r="I133" s="2">
        <v>267.31599999999997</v>
      </c>
      <c r="J133" s="2">
        <v>267.31299999999999</v>
      </c>
      <c r="K133" s="15">
        <v>4.4720000000000004</v>
      </c>
      <c r="L133" s="2">
        <v>22.103999999999999</v>
      </c>
      <c r="N133" s="7">
        <f t="shared" si="15"/>
        <v>461.19999999995343</v>
      </c>
      <c r="O133" s="1">
        <v>0</v>
      </c>
      <c r="P133" s="1" t="str">
        <f t="shared" si="9"/>
        <v>461.199999999953,0</v>
      </c>
      <c r="Q133" s="6" t="s">
        <v>10</v>
      </c>
      <c r="R133" s="1">
        <v>90</v>
      </c>
      <c r="S133" s="1">
        <v>2.5</v>
      </c>
      <c r="T133" s="1" t="str">
        <f t="shared" si="14"/>
        <v>-text 461.199999999953,0 2.5 90 1145534.4</v>
      </c>
    </row>
    <row r="134" spans="1:20" x14ac:dyDescent="0.35">
      <c r="A134" s="1">
        <v>256980</v>
      </c>
      <c r="B134" s="7">
        <v>1145554.7</v>
      </c>
      <c r="C134" s="2">
        <v>271.05799999999999</v>
      </c>
      <c r="D134" s="2">
        <v>272.50700000000001</v>
      </c>
      <c r="E134" s="2">
        <v>1.4490000000000001</v>
      </c>
      <c r="F134" s="2">
        <v>270.38600000000002</v>
      </c>
      <c r="G134" s="2">
        <v>271.79399999999998</v>
      </c>
      <c r="H134" s="2">
        <v>1.4079999999999999</v>
      </c>
      <c r="I134" s="2">
        <v>267.31599999999997</v>
      </c>
      <c r="J134" s="2">
        <v>267.31700000000001</v>
      </c>
      <c r="K134" s="15">
        <v>4.4770000000000003</v>
      </c>
      <c r="L134" s="2">
        <v>22.821000000000002</v>
      </c>
      <c r="N134" s="7">
        <f t="shared" si="15"/>
        <v>481.5</v>
      </c>
      <c r="O134" s="1">
        <v>0</v>
      </c>
      <c r="P134" s="1" t="str">
        <f t="shared" si="9"/>
        <v>481.5,0</v>
      </c>
      <c r="Q134" s="6" t="s">
        <v>10</v>
      </c>
      <c r="R134" s="1">
        <v>90</v>
      </c>
      <c r="S134" s="1">
        <v>2.5</v>
      </c>
      <c r="T134" s="1" t="str">
        <f t="shared" si="14"/>
        <v>-text 481.5,0 2.5 90 1145554.7</v>
      </c>
    </row>
    <row r="135" spans="1:20" x14ac:dyDescent="0.35">
      <c r="A135" s="1">
        <v>257000</v>
      </c>
      <c r="B135" s="7">
        <v>1145574.8</v>
      </c>
      <c r="C135" s="2">
        <v>271.08300000000003</v>
      </c>
      <c r="D135" s="2">
        <v>272.51600000000002</v>
      </c>
      <c r="E135" s="2">
        <v>1.4319999999999999</v>
      </c>
      <c r="F135" s="2">
        <v>270.411</v>
      </c>
      <c r="G135" s="2">
        <v>271.803</v>
      </c>
      <c r="H135" s="2">
        <v>1.391</v>
      </c>
      <c r="I135" s="2">
        <v>267.35700000000003</v>
      </c>
      <c r="J135" s="2">
        <v>267.315</v>
      </c>
      <c r="K135" s="15">
        <v>4.4880000000000004</v>
      </c>
      <c r="L135" s="2">
        <v>23.521999999999998</v>
      </c>
      <c r="N135" s="7">
        <f t="shared" si="15"/>
        <v>501.60000000009313</v>
      </c>
      <c r="O135" s="1">
        <v>0</v>
      </c>
      <c r="P135" s="1" t="str">
        <f t="shared" si="9"/>
        <v>501.600000000093,0</v>
      </c>
      <c r="Q135" s="6" t="s">
        <v>10</v>
      </c>
      <c r="R135" s="1">
        <v>90</v>
      </c>
      <c r="S135" s="1">
        <v>2.5</v>
      </c>
      <c r="T135" s="1" t="str">
        <f t="shared" si="14"/>
        <v>-text 501.600000000093,0 2.5 90 1145574.8</v>
      </c>
    </row>
    <row r="136" spans="1:20" x14ac:dyDescent="0.35">
      <c r="A136" s="1">
        <v>257020</v>
      </c>
      <c r="B136" s="7">
        <v>1145594.8999999999</v>
      </c>
      <c r="C136" s="2">
        <v>271.11099999999999</v>
      </c>
      <c r="D136" s="2">
        <v>272.524</v>
      </c>
      <c r="E136" s="2">
        <v>1.4139999999999999</v>
      </c>
      <c r="F136" s="2">
        <v>270.43900000000002</v>
      </c>
      <c r="G136" s="2">
        <v>271.81099999999998</v>
      </c>
      <c r="H136" s="2">
        <v>1.373</v>
      </c>
      <c r="I136" s="2">
        <v>267.38</v>
      </c>
      <c r="J136" s="2">
        <v>267.31900000000002</v>
      </c>
      <c r="K136" s="15">
        <v>4.492</v>
      </c>
      <c r="L136" s="2">
        <v>24.088999999999999</v>
      </c>
      <c r="N136" s="7">
        <f t="shared" si="15"/>
        <v>521.69999999995343</v>
      </c>
      <c r="O136" s="1">
        <v>0</v>
      </c>
      <c r="P136" s="1" t="str">
        <f t="shared" si="9"/>
        <v>521.699999999953,0</v>
      </c>
      <c r="Q136" s="6" t="s">
        <v>10</v>
      </c>
      <c r="R136" s="1">
        <v>90</v>
      </c>
      <c r="S136" s="1">
        <v>2.5</v>
      </c>
      <c r="T136" s="1" t="str">
        <f t="shared" si="14"/>
        <v>-text 521.699999999953,0 2.5 90 1145594.9</v>
      </c>
    </row>
    <row r="137" spans="1:20" x14ac:dyDescent="0.35">
      <c r="A137" s="1">
        <v>257020.05879929999</v>
      </c>
      <c r="B137" s="7">
        <v>1145595</v>
      </c>
      <c r="C137" s="2">
        <v>271.11099999999999</v>
      </c>
      <c r="D137" s="2">
        <v>272.524</v>
      </c>
      <c r="E137" s="2">
        <v>1.4139999999999999</v>
      </c>
      <c r="F137" s="2">
        <v>270.43900000000002</v>
      </c>
      <c r="G137" s="2">
        <v>271.81099999999998</v>
      </c>
      <c r="H137" s="2">
        <v>1.373</v>
      </c>
      <c r="I137" s="2">
        <v>267.38</v>
      </c>
      <c r="J137" s="2">
        <v>267.31900000000002</v>
      </c>
      <c r="K137" s="15">
        <v>4.492</v>
      </c>
      <c r="L137" s="2">
        <v>24.09</v>
      </c>
      <c r="N137" s="7">
        <f t="shared" si="15"/>
        <v>521.80000000004657</v>
      </c>
      <c r="O137" s="1">
        <v>0</v>
      </c>
      <c r="P137" s="1" t="str">
        <f t="shared" si="9"/>
        <v>521.800000000047,0</v>
      </c>
      <c r="Q137" s="6" t="s">
        <v>10</v>
      </c>
      <c r="R137" s="1">
        <v>90</v>
      </c>
      <c r="S137" s="1">
        <v>2.5</v>
      </c>
      <c r="T137" s="1" t="str">
        <f t="shared" si="14"/>
        <v>-text 521.800000000047,0 2.5 90 1145595</v>
      </c>
    </row>
    <row r="138" spans="1:20" x14ac:dyDescent="0.35">
      <c r="A138" s="1">
        <v>257000</v>
      </c>
      <c r="B138" s="7">
        <v>1145595</v>
      </c>
      <c r="C138" s="2">
        <v>271.11099999999999</v>
      </c>
      <c r="D138" s="2">
        <v>272.524</v>
      </c>
      <c r="E138" s="2">
        <v>1.4139999999999999</v>
      </c>
      <c r="F138" s="2">
        <v>270.43900000000002</v>
      </c>
      <c r="G138" s="2">
        <v>271.81099999999998</v>
      </c>
      <c r="H138" s="2">
        <v>1.373</v>
      </c>
      <c r="I138" s="2">
        <v>267.38</v>
      </c>
      <c r="J138" s="2">
        <v>267.31900000000002</v>
      </c>
      <c r="K138" s="15">
        <v>4.492</v>
      </c>
      <c r="L138" s="2">
        <v>24.09</v>
      </c>
      <c r="N138" s="7">
        <f t="shared" si="15"/>
        <v>521.80000000004657</v>
      </c>
      <c r="O138" s="1">
        <v>0</v>
      </c>
      <c r="P138" s="1" t="str">
        <f t="shared" si="9"/>
        <v>521.800000000047,0</v>
      </c>
      <c r="Q138" s="6" t="s">
        <v>10</v>
      </c>
      <c r="R138" s="1">
        <v>90</v>
      </c>
      <c r="S138" s="1">
        <v>2.5</v>
      </c>
      <c r="T138" s="1" t="str">
        <f t="shared" si="14"/>
        <v>-text 521.800000000047,0 2.5 90 1145595</v>
      </c>
    </row>
    <row r="139" spans="1:20" s="19" customFormat="1" x14ac:dyDescent="0.35">
      <c r="B139" s="20"/>
      <c r="C139" s="21"/>
      <c r="D139" s="21"/>
      <c r="E139" s="21"/>
      <c r="F139" s="21"/>
      <c r="G139" s="21"/>
      <c r="H139" s="21"/>
      <c r="I139" s="21"/>
      <c r="J139" s="21"/>
      <c r="K139" s="22"/>
      <c r="L139" s="21"/>
      <c r="M139" s="21"/>
    </row>
    <row r="140" spans="1:20" x14ac:dyDescent="0.35">
      <c r="A140" s="1">
        <v>257000</v>
      </c>
      <c r="B140" s="7">
        <v>1145595</v>
      </c>
      <c r="C140" s="2">
        <v>271.11099999999999</v>
      </c>
      <c r="D140" s="2">
        <v>272.524</v>
      </c>
      <c r="E140" s="2">
        <v>1.4139999999999999</v>
      </c>
      <c r="F140" s="2">
        <v>270.43900000000002</v>
      </c>
      <c r="G140" s="2">
        <v>271.81099999999998</v>
      </c>
      <c r="H140" s="2">
        <v>1.373</v>
      </c>
      <c r="I140" s="2">
        <v>267.38</v>
      </c>
      <c r="J140" s="2">
        <v>267.31900000000002</v>
      </c>
      <c r="K140" s="15">
        <v>4.492</v>
      </c>
      <c r="L140" s="2">
        <v>24.09</v>
      </c>
      <c r="N140" s="7">
        <v>0</v>
      </c>
      <c r="O140" s="1">
        <v>0</v>
      </c>
      <c r="P140" s="1" t="str">
        <f t="shared" ref="P140:P141" si="16">CONCATENATE(N140,",",O140)</f>
        <v>0,0</v>
      </c>
      <c r="Q140" s="6" t="s">
        <v>10</v>
      </c>
      <c r="R140" s="1">
        <v>90</v>
      </c>
      <c r="S140" s="1">
        <v>2.5</v>
      </c>
      <c r="T140" s="1" t="str">
        <f t="shared" ref="T140:T165" si="17">$Q140&amp;" "&amp;$P140&amp;" "&amp;$S140&amp;" "&amp;$R140&amp;" "&amp;$B140</f>
        <v>-text 0,0 2.5 90 1145595</v>
      </c>
    </row>
    <row r="141" spans="1:20" x14ac:dyDescent="0.35">
      <c r="A141" s="1">
        <v>257020</v>
      </c>
      <c r="B141" s="7">
        <v>1145615.1000000001</v>
      </c>
      <c r="C141" s="2">
        <v>271.11500000000001</v>
      </c>
      <c r="D141" s="2">
        <v>272.53300000000002</v>
      </c>
      <c r="E141" s="2">
        <v>1.4179999999999999</v>
      </c>
      <c r="F141" s="2">
        <v>270.44299999999998</v>
      </c>
      <c r="G141" s="2">
        <v>271.82</v>
      </c>
      <c r="H141" s="2">
        <v>1.377</v>
      </c>
      <c r="I141" s="2">
        <v>267.38</v>
      </c>
      <c r="J141" s="2">
        <v>267.28899999999999</v>
      </c>
      <c r="K141" s="15">
        <v>4.5309999999999997</v>
      </c>
      <c r="L141" s="2">
        <v>24.481000000000002</v>
      </c>
      <c r="N141" s="7">
        <f t="shared" ref="N141:N165" si="18">N140+(B141-B140)</f>
        <v>20.100000000093132</v>
      </c>
      <c r="O141" s="1">
        <v>0</v>
      </c>
      <c r="P141" s="1" t="str">
        <f t="shared" si="16"/>
        <v>20.1000000000931,0</v>
      </c>
      <c r="Q141" s="6" t="s">
        <v>10</v>
      </c>
      <c r="R141" s="1">
        <v>90</v>
      </c>
      <c r="S141" s="1">
        <v>2.5</v>
      </c>
      <c r="T141" s="1" t="str">
        <f t="shared" si="17"/>
        <v>-text 20.1000000000931,0 2.5 90 1145615.1</v>
      </c>
    </row>
    <row r="142" spans="1:20" x14ac:dyDescent="0.35">
      <c r="A142" s="1">
        <v>257040</v>
      </c>
      <c r="B142" s="7">
        <v>1145635.3</v>
      </c>
      <c r="C142" s="2">
        <v>271.09899999999999</v>
      </c>
      <c r="D142" s="2">
        <v>272.541</v>
      </c>
      <c r="E142" s="2">
        <v>1.4430000000000001</v>
      </c>
      <c r="F142" s="2">
        <v>270.42700000000002</v>
      </c>
      <c r="G142" s="2">
        <v>271.82799999999997</v>
      </c>
      <c r="H142" s="2">
        <v>1.4019999999999999</v>
      </c>
      <c r="I142" s="2">
        <v>267.36799999999999</v>
      </c>
      <c r="J142" s="2">
        <v>267.33300000000003</v>
      </c>
      <c r="K142" s="15">
        <v>4.4960000000000004</v>
      </c>
      <c r="L142" s="2">
        <v>24.716999999999999</v>
      </c>
      <c r="N142" s="7">
        <f t="shared" si="18"/>
        <v>40.300000000046566</v>
      </c>
      <c r="O142" s="1">
        <v>0</v>
      </c>
      <c r="P142" s="1" t="str">
        <f t="shared" ref="P142:P165" si="19">CONCATENATE(N142,",",O142)</f>
        <v>40.3000000000466,0</v>
      </c>
      <c r="Q142" s="6" t="s">
        <v>10</v>
      </c>
      <c r="R142" s="1">
        <v>90</v>
      </c>
      <c r="S142" s="1">
        <v>2.5</v>
      </c>
      <c r="T142" s="1" t="str">
        <f t="shared" si="17"/>
        <v>-text 40.3000000000466,0 2.5 90 1145635.3</v>
      </c>
    </row>
    <row r="143" spans="1:20" x14ac:dyDescent="0.35">
      <c r="A143" s="1">
        <v>257060</v>
      </c>
      <c r="B143" s="7">
        <v>1145655.2</v>
      </c>
      <c r="C143" s="2">
        <v>271.096</v>
      </c>
      <c r="D143" s="2">
        <v>272.55</v>
      </c>
      <c r="E143" s="2">
        <v>1.454</v>
      </c>
      <c r="F143" s="2">
        <v>270.42399999999998</v>
      </c>
      <c r="G143" s="2">
        <v>271.83699999999999</v>
      </c>
      <c r="H143" s="2">
        <v>1.413</v>
      </c>
      <c r="I143" s="2">
        <v>267.339</v>
      </c>
      <c r="J143" s="2">
        <v>267.41000000000003</v>
      </c>
      <c r="K143" s="15">
        <v>4.4269999999999996</v>
      </c>
      <c r="L143" s="2">
        <v>24.826000000000001</v>
      </c>
      <c r="N143" s="7">
        <f t="shared" si="18"/>
        <v>60.199999999953434</v>
      </c>
      <c r="O143" s="1">
        <v>0</v>
      </c>
      <c r="P143" s="1" t="str">
        <f t="shared" si="19"/>
        <v>60.1999999999534,0</v>
      </c>
      <c r="Q143" s="6" t="s">
        <v>10</v>
      </c>
      <c r="R143" s="1">
        <v>90</v>
      </c>
      <c r="S143" s="1">
        <v>2.5</v>
      </c>
      <c r="T143" s="1" t="str">
        <f t="shared" si="17"/>
        <v>-text 60.1999999999534,0 2.5 90 1145655.2</v>
      </c>
    </row>
    <row r="144" spans="1:20" x14ac:dyDescent="0.35">
      <c r="A144" s="1">
        <v>257080</v>
      </c>
      <c r="B144" s="7">
        <v>1145675.2</v>
      </c>
      <c r="C144" s="2">
        <v>271.10300000000001</v>
      </c>
      <c r="D144" s="2">
        <v>272.55900000000003</v>
      </c>
      <c r="E144" s="2">
        <v>1.4550000000000001</v>
      </c>
      <c r="F144" s="2">
        <v>270.43099999999998</v>
      </c>
      <c r="G144" s="2">
        <v>271.846</v>
      </c>
      <c r="H144" s="2">
        <v>1.4139999999999999</v>
      </c>
      <c r="I144" s="2">
        <v>266.839</v>
      </c>
      <c r="J144" s="2">
        <v>266.32499999999999</v>
      </c>
      <c r="K144" s="15">
        <v>5.5209999999999999</v>
      </c>
      <c r="L144" s="2">
        <v>24.797000000000001</v>
      </c>
      <c r="N144" s="7">
        <f t="shared" si="18"/>
        <v>80.199999999953434</v>
      </c>
      <c r="O144" s="1">
        <v>0</v>
      </c>
      <c r="P144" s="1" t="str">
        <f t="shared" si="19"/>
        <v>80.1999999999534,0</v>
      </c>
      <c r="Q144" s="6" t="s">
        <v>10</v>
      </c>
      <c r="R144" s="1">
        <v>90</v>
      </c>
      <c r="S144" s="1">
        <v>2.5</v>
      </c>
      <c r="T144" s="1" t="str">
        <f t="shared" si="17"/>
        <v>-text 80.1999999999534,0 2.5 90 1145675.2</v>
      </c>
    </row>
    <row r="145" spans="1:20" x14ac:dyDescent="0.35">
      <c r="A145" s="1">
        <v>257100</v>
      </c>
      <c r="B145" s="7">
        <v>1145695.2</v>
      </c>
      <c r="C145" s="2">
        <v>271.07</v>
      </c>
      <c r="D145" s="2">
        <v>272.56700000000001</v>
      </c>
      <c r="E145" s="2">
        <v>1.4970000000000001</v>
      </c>
      <c r="F145" s="2">
        <v>270.39800000000002</v>
      </c>
      <c r="G145" s="2">
        <v>271.85399999999998</v>
      </c>
      <c r="H145" s="2">
        <v>1.456</v>
      </c>
      <c r="I145" s="2">
        <v>266.36900000000003</v>
      </c>
      <c r="J145" s="2">
        <v>267.483</v>
      </c>
      <c r="K145" s="15">
        <v>4.3719999999999999</v>
      </c>
      <c r="L145" s="2">
        <v>24.719000000000001</v>
      </c>
      <c r="N145" s="7">
        <f t="shared" si="18"/>
        <v>100.19999999995343</v>
      </c>
      <c r="O145" s="1">
        <v>0</v>
      </c>
      <c r="P145" s="1" t="str">
        <f t="shared" si="19"/>
        <v>100.199999999953,0</v>
      </c>
      <c r="Q145" s="6" t="s">
        <v>10</v>
      </c>
      <c r="R145" s="1">
        <v>90</v>
      </c>
      <c r="S145" s="1">
        <v>2.5</v>
      </c>
      <c r="T145" s="1" t="str">
        <f t="shared" si="17"/>
        <v>-text 100.199999999953,0 2.5 90 1145695.2</v>
      </c>
    </row>
    <row r="146" spans="1:20" x14ac:dyDescent="0.35">
      <c r="A146" s="1">
        <v>257120</v>
      </c>
      <c r="B146" s="7">
        <v>1145715.2</v>
      </c>
      <c r="C146" s="2">
        <v>271.06</v>
      </c>
      <c r="D146" s="2">
        <v>272.60000000000002</v>
      </c>
      <c r="E146" s="2">
        <v>1.54</v>
      </c>
      <c r="F146" s="2">
        <v>270.38799999999998</v>
      </c>
      <c r="G146" s="2">
        <v>271.887</v>
      </c>
      <c r="H146" s="2">
        <v>1.4990000000000001</v>
      </c>
      <c r="I146" s="2">
        <v>266.08199999999999</v>
      </c>
      <c r="J146" s="2">
        <v>266.92899999999997</v>
      </c>
      <c r="K146" s="15">
        <v>4.9580000000000002</v>
      </c>
      <c r="L146" s="2">
        <v>24.635000000000002</v>
      </c>
      <c r="N146" s="7">
        <f t="shared" si="18"/>
        <v>120.19999999995343</v>
      </c>
      <c r="O146" s="1">
        <v>0</v>
      </c>
      <c r="P146" s="1" t="str">
        <f t="shared" si="19"/>
        <v>120.199999999953,0</v>
      </c>
      <c r="Q146" s="6" t="s">
        <v>10</v>
      </c>
      <c r="R146" s="1">
        <v>90</v>
      </c>
      <c r="S146" s="1">
        <v>2.5</v>
      </c>
      <c r="T146" s="1" t="str">
        <f t="shared" si="17"/>
        <v>-text 120.199999999953,0 2.5 90 1145715.2</v>
      </c>
    </row>
    <row r="147" spans="1:20" x14ac:dyDescent="0.35">
      <c r="A147" s="1">
        <v>257140</v>
      </c>
      <c r="B147" s="7">
        <v>1145735.2</v>
      </c>
      <c r="C147" s="2">
        <v>271.053</v>
      </c>
      <c r="D147" s="2">
        <v>272.60000000000002</v>
      </c>
      <c r="E147" s="2">
        <v>1.5469999999999999</v>
      </c>
      <c r="F147" s="2">
        <v>270.38099999999997</v>
      </c>
      <c r="G147" s="2">
        <v>271.887</v>
      </c>
      <c r="H147" s="2">
        <v>1.506</v>
      </c>
      <c r="I147" s="2">
        <v>266.74599999999998</v>
      </c>
      <c r="J147" s="2">
        <v>267.17899999999997</v>
      </c>
      <c r="K147" s="15">
        <v>4.7080000000000002</v>
      </c>
      <c r="L147" s="2">
        <v>24.558</v>
      </c>
      <c r="N147" s="7">
        <f t="shared" si="18"/>
        <v>140.19999999995343</v>
      </c>
      <c r="O147" s="1">
        <v>0</v>
      </c>
      <c r="P147" s="1" t="str">
        <f t="shared" si="19"/>
        <v>140.199999999953,0</v>
      </c>
      <c r="Q147" s="6" t="s">
        <v>10</v>
      </c>
      <c r="R147" s="1">
        <v>90</v>
      </c>
      <c r="S147" s="1">
        <v>2.5</v>
      </c>
      <c r="T147" s="1" t="str">
        <f t="shared" si="17"/>
        <v>-text 140.199999999953,0 2.5 90 1145735.2</v>
      </c>
    </row>
    <row r="148" spans="1:20" x14ac:dyDescent="0.35">
      <c r="A148" s="1">
        <v>257160</v>
      </c>
      <c r="B148" s="7">
        <v>1145755.3</v>
      </c>
      <c r="C148" s="2">
        <v>271.06</v>
      </c>
      <c r="D148" s="2">
        <v>272.60000000000002</v>
      </c>
      <c r="E148" s="2">
        <v>1.54</v>
      </c>
      <c r="F148" s="2">
        <v>270.38799999999998</v>
      </c>
      <c r="G148" s="2">
        <v>271.887</v>
      </c>
      <c r="H148" s="2">
        <v>1.4990000000000001</v>
      </c>
      <c r="I148" s="2">
        <v>267.11900000000003</v>
      </c>
      <c r="J148" s="2">
        <v>267.47399999999999</v>
      </c>
      <c r="K148" s="15">
        <v>4.4130000000000003</v>
      </c>
      <c r="L148" s="2">
        <v>24.474</v>
      </c>
      <c r="N148" s="7">
        <f t="shared" si="18"/>
        <v>160.30000000004657</v>
      </c>
      <c r="O148" s="1">
        <v>0</v>
      </c>
      <c r="P148" s="1" t="str">
        <f t="shared" si="19"/>
        <v>160.300000000047,0</v>
      </c>
      <c r="Q148" s="6" t="s">
        <v>10</v>
      </c>
      <c r="R148" s="1">
        <v>90</v>
      </c>
      <c r="S148" s="1">
        <v>2.5</v>
      </c>
      <c r="T148" s="1" t="str">
        <f t="shared" si="17"/>
        <v>-text 160.300000000047,0 2.5 90 1145755.3</v>
      </c>
    </row>
    <row r="149" spans="1:20" x14ac:dyDescent="0.35">
      <c r="A149" s="1">
        <v>257180</v>
      </c>
      <c r="B149" s="7">
        <v>1145775.2</v>
      </c>
      <c r="C149" s="2">
        <v>271.03699999999998</v>
      </c>
      <c r="D149" s="2">
        <v>272.60000000000002</v>
      </c>
      <c r="E149" s="2">
        <v>1.5629999999999999</v>
      </c>
      <c r="F149" s="2">
        <v>270.36500000000001</v>
      </c>
      <c r="G149" s="2">
        <v>271.887</v>
      </c>
      <c r="H149" s="2">
        <v>1.522</v>
      </c>
      <c r="I149" s="2">
        <v>267.83199999999999</v>
      </c>
      <c r="J149" s="2">
        <v>267.67099999999999</v>
      </c>
      <c r="K149" s="15">
        <v>4.2160000000000002</v>
      </c>
      <c r="L149" s="2">
        <v>24.457000000000001</v>
      </c>
      <c r="N149" s="7">
        <f t="shared" si="18"/>
        <v>180.19999999995343</v>
      </c>
      <c r="O149" s="1">
        <v>0</v>
      </c>
      <c r="P149" s="1" t="str">
        <f t="shared" si="19"/>
        <v>180.199999999953,0</v>
      </c>
      <c r="Q149" s="6" t="s">
        <v>10</v>
      </c>
      <c r="R149" s="1">
        <v>90</v>
      </c>
      <c r="S149" s="1">
        <v>2.5</v>
      </c>
      <c r="T149" s="1" t="str">
        <f t="shared" si="17"/>
        <v>-text 180.199999999953,0 2.5 90 1145775.2</v>
      </c>
    </row>
    <row r="150" spans="1:20" x14ac:dyDescent="0.35">
      <c r="A150" s="1">
        <v>257200</v>
      </c>
      <c r="B150" s="7">
        <v>1145794.5</v>
      </c>
      <c r="C150" s="2">
        <v>270.99700000000001</v>
      </c>
      <c r="D150" s="2">
        <v>272.60000000000002</v>
      </c>
      <c r="E150" s="2">
        <v>1.603</v>
      </c>
      <c r="F150" s="2">
        <v>270.32499999999999</v>
      </c>
      <c r="G150" s="2">
        <v>271.887</v>
      </c>
      <c r="H150" s="2">
        <v>1.5620000000000001</v>
      </c>
      <c r="I150" s="2">
        <v>268.94</v>
      </c>
      <c r="J150" s="2">
        <v>268.93299999999999</v>
      </c>
      <c r="K150" s="15">
        <v>2.9540000000000002</v>
      </c>
      <c r="L150" s="2">
        <v>24.295000000000002</v>
      </c>
      <c r="N150" s="7">
        <f t="shared" si="18"/>
        <v>199.5</v>
      </c>
      <c r="O150" s="1">
        <v>0</v>
      </c>
      <c r="P150" s="1" t="str">
        <f t="shared" si="19"/>
        <v>199.5,0</v>
      </c>
      <c r="Q150" s="6" t="s">
        <v>10</v>
      </c>
      <c r="R150" s="1">
        <v>90</v>
      </c>
      <c r="S150" s="1">
        <v>2.5</v>
      </c>
      <c r="T150" s="1" t="str">
        <f t="shared" si="17"/>
        <v>-text 199.5,0 2.5 90 1145794.5</v>
      </c>
    </row>
    <row r="151" spans="1:20" x14ac:dyDescent="0.35">
      <c r="A151" s="1">
        <v>257220</v>
      </c>
      <c r="B151" s="7">
        <v>1145815.3</v>
      </c>
      <c r="C151" s="2">
        <v>271.01400000000001</v>
      </c>
      <c r="D151" s="2">
        <v>272.60000000000002</v>
      </c>
      <c r="E151" s="2">
        <v>1.5860000000000001</v>
      </c>
      <c r="F151" s="2">
        <v>270.34199999999998</v>
      </c>
      <c r="G151" s="2">
        <v>271.887</v>
      </c>
      <c r="H151" s="2">
        <v>1.5449999999999999</v>
      </c>
      <c r="I151" s="2">
        <v>268.661</v>
      </c>
      <c r="J151" s="2">
        <v>268.75900000000001</v>
      </c>
      <c r="K151" s="15">
        <v>3.1280000000000001</v>
      </c>
      <c r="L151" s="2">
        <v>23.869</v>
      </c>
      <c r="N151" s="7">
        <f t="shared" si="18"/>
        <v>220.30000000004657</v>
      </c>
      <c r="O151" s="1">
        <v>0</v>
      </c>
      <c r="P151" s="1" t="str">
        <f t="shared" si="19"/>
        <v>220.300000000047,0</v>
      </c>
      <c r="Q151" s="6" t="s">
        <v>10</v>
      </c>
      <c r="R151" s="1">
        <v>90</v>
      </c>
      <c r="S151" s="1">
        <v>2.5</v>
      </c>
      <c r="T151" s="1" t="str">
        <f t="shared" si="17"/>
        <v>-text 220.300000000047,0 2.5 90 1145815.3</v>
      </c>
    </row>
    <row r="152" spans="1:20" x14ac:dyDescent="0.35">
      <c r="A152" s="1">
        <v>257240</v>
      </c>
      <c r="B152" s="7">
        <v>1145835.3</v>
      </c>
      <c r="C152" s="2">
        <v>271.02800000000002</v>
      </c>
      <c r="D152" s="2">
        <v>272.60000000000002</v>
      </c>
      <c r="E152" s="2">
        <v>1.5720000000000001</v>
      </c>
      <c r="F152" s="2">
        <v>270.35599999999999</v>
      </c>
      <c r="G152" s="2">
        <v>271.887</v>
      </c>
      <c r="H152" s="2">
        <v>1.5309999999999999</v>
      </c>
      <c r="I152" s="2">
        <v>267.81400000000002</v>
      </c>
      <c r="J152" s="2">
        <v>268.26</v>
      </c>
      <c r="K152" s="15">
        <v>3.6269999999999998</v>
      </c>
      <c r="L152" s="2">
        <v>23.893999999999998</v>
      </c>
      <c r="N152" s="7">
        <f t="shared" si="18"/>
        <v>240.30000000004657</v>
      </c>
      <c r="O152" s="1">
        <v>0</v>
      </c>
      <c r="P152" s="1" t="str">
        <f t="shared" si="19"/>
        <v>240.300000000047,0</v>
      </c>
      <c r="Q152" s="6" t="s">
        <v>10</v>
      </c>
      <c r="R152" s="1">
        <v>90</v>
      </c>
      <c r="S152" s="1">
        <v>2.5</v>
      </c>
      <c r="T152" s="1" t="str">
        <f t="shared" si="17"/>
        <v>-text 240.300000000047,0 2.5 90 1145835.3</v>
      </c>
    </row>
    <row r="153" spans="1:20" x14ac:dyDescent="0.35">
      <c r="A153" s="1">
        <v>257260</v>
      </c>
      <c r="B153" s="7">
        <v>1145855.2</v>
      </c>
      <c r="C153" s="2">
        <v>271.01499999999999</v>
      </c>
      <c r="D153" s="2">
        <v>272.60000000000002</v>
      </c>
      <c r="E153" s="2">
        <v>1.585</v>
      </c>
      <c r="F153" s="2">
        <v>270.34300000000002</v>
      </c>
      <c r="G153" s="2">
        <v>271.887</v>
      </c>
      <c r="H153" s="2">
        <v>1.544</v>
      </c>
      <c r="I153" s="2">
        <v>267.31400000000002</v>
      </c>
      <c r="J153" s="2">
        <v>267.58800000000002</v>
      </c>
      <c r="K153" s="15">
        <v>4.2990000000000004</v>
      </c>
      <c r="L153" s="2">
        <v>23.876000000000001</v>
      </c>
      <c r="N153" s="7">
        <f t="shared" si="18"/>
        <v>260.19999999995343</v>
      </c>
      <c r="O153" s="1">
        <v>0</v>
      </c>
      <c r="P153" s="1" t="str">
        <f t="shared" si="19"/>
        <v>260.199999999953,0</v>
      </c>
      <c r="Q153" s="6" t="s">
        <v>10</v>
      </c>
      <c r="R153" s="1">
        <v>90</v>
      </c>
      <c r="S153" s="1">
        <v>2.5</v>
      </c>
      <c r="T153" s="1" t="str">
        <f t="shared" si="17"/>
        <v>-text 260.199999999953,0 2.5 90 1145855.2</v>
      </c>
    </row>
    <row r="154" spans="1:20" x14ac:dyDescent="0.35">
      <c r="A154" s="1">
        <v>257280</v>
      </c>
      <c r="B154" s="7">
        <v>1145875.5</v>
      </c>
      <c r="C154" s="2">
        <v>270.99700000000001</v>
      </c>
      <c r="D154" s="2">
        <v>272.60000000000002</v>
      </c>
      <c r="E154" s="2">
        <v>1.603</v>
      </c>
      <c r="F154" s="2">
        <v>270.32499999999999</v>
      </c>
      <c r="G154" s="2">
        <v>271.887</v>
      </c>
      <c r="H154" s="2">
        <v>1.5620000000000001</v>
      </c>
      <c r="I154" s="2">
        <v>267.22500000000002</v>
      </c>
      <c r="J154" s="2">
        <v>266.92099999999999</v>
      </c>
      <c r="K154" s="15">
        <v>4.9660000000000002</v>
      </c>
      <c r="L154" s="2">
        <v>23.762</v>
      </c>
      <c r="N154" s="7">
        <f t="shared" si="18"/>
        <v>280.5</v>
      </c>
      <c r="O154" s="1">
        <v>0</v>
      </c>
      <c r="P154" s="1" t="str">
        <f t="shared" si="19"/>
        <v>280.5,0</v>
      </c>
      <c r="Q154" s="6" t="s">
        <v>10</v>
      </c>
      <c r="R154" s="1">
        <v>90</v>
      </c>
      <c r="S154" s="1">
        <v>2.5</v>
      </c>
      <c r="T154" s="1" t="str">
        <f t="shared" si="17"/>
        <v>-text 280.5,0 2.5 90 1145875.5</v>
      </c>
    </row>
    <row r="155" spans="1:20" x14ac:dyDescent="0.35">
      <c r="A155" s="1">
        <v>257300</v>
      </c>
      <c r="B155" s="7">
        <v>1145895.3</v>
      </c>
      <c r="C155" s="2">
        <v>270.97000000000003</v>
      </c>
      <c r="D155" s="2">
        <v>272.60000000000002</v>
      </c>
      <c r="E155" s="2">
        <v>1.63</v>
      </c>
      <c r="F155" s="2">
        <v>270.298</v>
      </c>
      <c r="G155" s="2">
        <v>271.887</v>
      </c>
      <c r="H155" s="2">
        <v>1.589</v>
      </c>
      <c r="I155" s="2">
        <v>267.37</v>
      </c>
      <c r="J155" s="2">
        <v>266.90800000000002</v>
      </c>
      <c r="K155" s="15">
        <v>4.9790000000000001</v>
      </c>
      <c r="L155" s="2">
        <v>23.893999999999998</v>
      </c>
      <c r="N155" s="7">
        <f t="shared" si="18"/>
        <v>300.30000000004657</v>
      </c>
      <c r="O155" s="1">
        <v>0</v>
      </c>
      <c r="P155" s="1" t="str">
        <f t="shared" si="19"/>
        <v>300.300000000047,0</v>
      </c>
      <c r="Q155" s="6" t="s">
        <v>10</v>
      </c>
      <c r="R155" s="1">
        <v>90</v>
      </c>
      <c r="S155" s="1">
        <v>2.5</v>
      </c>
      <c r="T155" s="1" t="str">
        <f t="shared" si="17"/>
        <v>-text 300.300000000047,0 2.5 90 1145895.3</v>
      </c>
    </row>
    <row r="156" spans="1:20" x14ac:dyDescent="0.35">
      <c r="A156" s="1">
        <v>257320</v>
      </c>
      <c r="B156" s="7">
        <v>1145915.2</v>
      </c>
      <c r="C156" s="2">
        <v>270.93299999999999</v>
      </c>
      <c r="D156" s="2">
        <v>272.60000000000002</v>
      </c>
      <c r="E156" s="2">
        <v>1.667</v>
      </c>
      <c r="F156" s="2">
        <v>270.26100000000002</v>
      </c>
      <c r="G156" s="2">
        <v>271.887</v>
      </c>
      <c r="H156" s="2">
        <v>1.6259999999999999</v>
      </c>
      <c r="I156" s="2">
        <v>265.37400000000002</v>
      </c>
      <c r="J156" s="2">
        <v>264.86399999999998</v>
      </c>
      <c r="K156" s="15">
        <v>7.0229999999999997</v>
      </c>
      <c r="L156" s="2">
        <v>23.890999999999998</v>
      </c>
      <c r="N156" s="7">
        <f t="shared" si="18"/>
        <v>320.19999999995343</v>
      </c>
      <c r="O156" s="1">
        <v>0</v>
      </c>
      <c r="P156" s="1" t="str">
        <f t="shared" si="19"/>
        <v>320.199999999953,0</v>
      </c>
      <c r="Q156" s="6" t="s">
        <v>10</v>
      </c>
      <c r="R156" s="1">
        <v>90</v>
      </c>
      <c r="S156" s="1">
        <v>2.5</v>
      </c>
      <c r="T156" s="1" t="str">
        <f t="shared" si="17"/>
        <v>-text 320.199999999953,0 2.5 90 1145915.2</v>
      </c>
    </row>
    <row r="157" spans="1:20" x14ac:dyDescent="0.35">
      <c r="A157" s="1">
        <v>257340</v>
      </c>
      <c r="B157" s="7">
        <v>1145935.3</v>
      </c>
      <c r="C157" s="2">
        <v>270.96600000000001</v>
      </c>
      <c r="D157" s="2">
        <v>272.60000000000002</v>
      </c>
      <c r="E157" s="2">
        <v>1.6339999999999999</v>
      </c>
      <c r="F157" s="2">
        <v>270.29399999999998</v>
      </c>
      <c r="G157" s="2">
        <v>271.887</v>
      </c>
      <c r="H157" s="2">
        <v>1.593</v>
      </c>
      <c r="I157" s="2">
        <v>266.83699999999999</v>
      </c>
      <c r="J157" s="2">
        <v>266.95699999999999</v>
      </c>
      <c r="K157" s="15">
        <v>4.93</v>
      </c>
      <c r="L157" s="2">
        <v>23.898</v>
      </c>
      <c r="N157" s="7">
        <f t="shared" si="18"/>
        <v>340.30000000004657</v>
      </c>
      <c r="O157" s="1">
        <v>0</v>
      </c>
      <c r="P157" s="1" t="str">
        <f t="shared" si="19"/>
        <v>340.300000000047,0</v>
      </c>
      <c r="Q157" s="6" t="s">
        <v>10</v>
      </c>
      <c r="R157" s="1">
        <v>90</v>
      </c>
      <c r="S157" s="1">
        <v>2.5</v>
      </c>
      <c r="T157" s="1" t="str">
        <f t="shared" si="17"/>
        <v>-text 340.300000000047,0 2.5 90 1145935.3</v>
      </c>
    </row>
    <row r="158" spans="1:20" x14ac:dyDescent="0.35">
      <c r="A158" s="1">
        <v>257360</v>
      </c>
      <c r="B158" s="7">
        <v>1145955.3</v>
      </c>
      <c r="C158" s="2">
        <v>270.96899999999999</v>
      </c>
      <c r="D158" s="2">
        <v>272.60000000000002</v>
      </c>
      <c r="E158" s="2">
        <v>1.631</v>
      </c>
      <c r="F158" s="2">
        <v>270.29700000000003</v>
      </c>
      <c r="G158" s="2">
        <v>271.887</v>
      </c>
      <c r="H158" s="2">
        <v>1.59</v>
      </c>
      <c r="I158" s="2">
        <v>267.67700000000002</v>
      </c>
      <c r="J158" s="2">
        <v>267.89499999999998</v>
      </c>
      <c r="K158" s="15">
        <v>3.992</v>
      </c>
      <c r="L158" s="2">
        <v>23.901</v>
      </c>
      <c r="N158" s="7">
        <f t="shared" si="18"/>
        <v>360.30000000004657</v>
      </c>
      <c r="O158" s="1">
        <v>0</v>
      </c>
      <c r="P158" s="1" t="str">
        <f t="shared" si="19"/>
        <v>360.300000000047,0</v>
      </c>
      <c r="Q158" s="6" t="s">
        <v>10</v>
      </c>
      <c r="R158" s="1">
        <v>90</v>
      </c>
      <c r="S158" s="1">
        <v>2.5</v>
      </c>
      <c r="T158" s="1" t="str">
        <f t="shared" si="17"/>
        <v>-text 360.300000000047,0 2.5 90 1145955.3</v>
      </c>
    </row>
    <row r="159" spans="1:20" x14ac:dyDescent="0.35">
      <c r="A159" s="1">
        <v>257380</v>
      </c>
      <c r="B159" s="7">
        <v>1145975.3</v>
      </c>
      <c r="C159" s="2">
        <v>270.94600000000003</v>
      </c>
      <c r="D159" s="2">
        <v>272.60000000000002</v>
      </c>
      <c r="E159" s="2">
        <v>1.6539999999999999</v>
      </c>
      <c r="F159" s="2">
        <v>270.274</v>
      </c>
      <c r="G159" s="2">
        <v>271.887</v>
      </c>
      <c r="H159" s="2">
        <v>1.613</v>
      </c>
      <c r="I159" s="2">
        <v>267.53399999999999</v>
      </c>
      <c r="J159" s="2">
        <v>269.62400000000002</v>
      </c>
      <c r="K159" s="15">
        <v>2.2629999999999999</v>
      </c>
      <c r="L159" s="2">
        <v>23.9</v>
      </c>
      <c r="N159" s="7">
        <f t="shared" si="18"/>
        <v>380.30000000004657</v>
      </c>
      <c r="O159" s="1">
        <v>0</v>
      </c>
      <c r="P159" s="1" t="str">
        <f t="shared" si="19"/>
        <v>380.300000000047,0</v>
      </c>
      <c r="Q159" s="6" t="s">
        <v>10</v>
      </c>
      <c r="R159" s="1">
        <v>90</v>
      </c>
      <c r="S159" s="1">
        <v>2.5</v>
      </c>
      <c r="T159" s="1" t="str">
        <f t="shared" si="17"/>
        <v>-text 380.300000000047,0 2.5 90 1145975.3</v>
      </c>
    </row>
    <row r="160" spans="1:20" x14ac:dyDescent="0.35">
      <c r="A160" s="1">
        <v>257400</v>
      </c>
      <c r="B160" s="7">
        <v>1145995.1000000001</v>
      </c>
      <c r="C160" s="2">
        <v>270.93299999999999</v>
      </c>
      <c r="D160" s="2">
        <v>272.60000000000002</v>
      </c>
      <c r="E160" s="2">
        <v>1.667</v>
      </c>
      <c r="F160" s="2">
        <v>270.26100000000002</v>
      </c>
      <c r="G160" s="2">
        <v>271.887</v>
      </c>
      <c r="H160" s="2">
        <v>1.6259999999999999</v>
      </c>
      <c r="I160" s="2">
        <v>267.34899999999999</v>
      </c>
      <c r="J160" s="2">
        <v>267.41699999999997</v>
      </c>
      <c r="K160" s="15">
        <v>4.47</v>
      </c>
      <c r="L160" s="2">
        <v>23.786999999999999</v>
      </c>
      <c r="N160" s="7">
        <f t="shared" si="18"/>
        <v>400.10000000009313</v>
      </c>
      <c r="O160" s="1">
        <v>0</v>
      </c>
      <c r="P160" s="1" t="str">
        <f t="shared" si="19"/>
        <v>400.100000000093,0</v>
      </c>
      <c r="Q160" s="6" t="s">
        <v>10</v>
      </c>
      <c r="R160" s="1">
        <v>90</v>
      </c>
      <c r="S160" s="1">
        <v>2.5</v>
      </c>
      <c r="T160" s="1" t="str">
        <f t="shared" si="17"/>
        <v>-text 400.100000000093,0 2.5 90 1145995.1</v>
      </c>
    </row>
    <row r="161" spans="1:20" x14ac:dyDescent="0.35">
      <c r="A161" s="1">
        <v>257420</v>
      </c>
      <c r="B161" s="7">
        <v>1146015.2</v>
      </c>
      <c r="C161" s="2">
        <v>270.92700000000002</v>
      </c>
      <c r="D161" s="2">
        <v>272.60000000000002</v>
      </c>
      <c r="E161" s="2">
        <v>1.673</v>
      </c>
      <c r="F161" s="2">
        <v>270.255</v>
      </c>
      <c r="G161" s="2">
        <v>271.887</v>
      </c>
      <c r="H161" s="2">
        <v>1.6319999999999999</v>
      </c>
      <c r="I161" s="2">
        <v>267.19099999999997</v>
      </c>
      <c r="J161" s="2">
        <v>267.30200000000002</v>
      </c>
      <c r="K161" s="15">
        <v>4.585</v>
      </c>
      <c r="L161" s="2">
        <v>23.681999999999999</v>
      </c>
      <c r="N161" s="7">
        <f t="shared" si="18"/>
        <v>420.19999999995343</v>
      </c>
      <c r="O161" s="1">
        <v>0</v>
      </c>
      <c r="P161" s="1" t="str">
        <f t="shared" si="19"/>
        <v>420.199999999953,0</v>
      </c>
      <c r="Q161" s="6" t="s">
        <v>10</v>
      </c>
      <c r="R161" s="1">
        <v>90</v>
      </c>
      <c r="S161" s="1">
        <v>2.5</v>
      </c>
      <c r="T161" s="1" t="str">
        <f t="shared" si="17"/>
        <v>-text 420.199999999953,0 2.5 90 1146015.2</v>
      </c>
    </row>
    <row r="162" spans="1:20" x14ac:dyDescent="0.35">
      <c r="A162" s="1">
        <v>257440</v>
      </c>
      <c r="B162" s="7">
        <v>1146035.2</v>
      </c>
      <c r="C162" s="2">
        <v>270.92399999999998</v>
      </c>
      <c r="D162" s="2">
        <v>272.60000000000002</v>
      </c>
      <c r="E162" s="2">
        <v>1.6759999999999999</v>
      </c>
      <c r="F162" s="2">
        <v>270.25200000000001</v>
      </c>
      <c r="G162" s="2">
        <v>271.887</v>
      </c>
      <c r="H162" s="2">
        <v>1.635</v>
      </c>
      <c r="I162" s="2">
        <v>267.096</v>
      </c>
      <c r="J162" s="2">
        <v>267.09899999999999</v>
      </c>
      <c r="K162" s="15">
        <v>4.7880000000000003</v>
      </c>
      <c r="L162" s="2">
        <v>23.602</v>
      </c>
      <c r="N162" s="7">
        <f t="shared" si="18"/>
        <v>440.19999999995343</v>
      </c>
      <c r="O162" s="1">
        <v>0</v>
      </c>
      <c r="P162" s="1" t="str">
        <f t="shared" si="19"/>
        <v>440.199999999953,0</v>
      </c>
      <c r="Q162" s="6" t="s">
        <v>10</v>
      </c>
      <c r="R162" s="1">
        <v>90</v>
      </c>
      <c r="S162" s="1">
        <v>2.5</v>
      </c>
      <c r="T162" s="1" t="str">
        <f t="shared" si="17"/>
        <v>-text 440.199999999953,0 2.5 90 1146035.2</v>
      </c>
    </row>
    <row r="163" spans="1:20" x14ac:dyDescent="0.35">
      <c r="A163" s="1">
        <v>257460</v>
      </c>
      <c r="B163" s="7">
        <v>1146055.1000000001</v>
      </c>
      <c r="C163" s="2">
        <v>270.90100000000001</v>
      </c>
      <c r="D163" s="2">
        <v>272.60000000000002</v>
      </c>
      <c r="E163" s="2">
        <v>1.6990000000000001</v>
      </c>
      <c r="F163" s="2">
        <v>270.22899999999998</v>
      </c>
      <c r="G163" s="2">
        <v>271.887</v>
      </c>
      <c r="H163" s="2">
        <v>1.6579999999999999</v>
      </c>
      <c r="I163" s="2">
        <v>267.20299999999997</v>
      </c>
      <c r="J163" s="2">
        <v>267.16199999999998</v>
      </c>
      <c r="K163" s="15">
        <v>4.7249999999999996</v>
      </c>
      <c r="L163" s="2">
        <v>23.407</v>
      </c>
      <c r="N163" s="7">
        <f t="shared" si="18"/>
        <v>460.10000000009313</v>
      </c>
      <c r="O163" s="1">
        <v>0</v>
      </c>
      <c r="P163" s="1" t="str">
        <f t="shared" si="19"/>
        <v>460.100000000093,0</v>
      </c>
      <c r="Q163" s="6" t="s">
        <v>10</v>
      </c>
      <c r="R163" s="1">
        <v>90</v>
      </c>
      <c r="S163" s="1">
        <v>2.5</v>
      </c>
      <c r="T163" s="1" t="str">
        <f t="shared" si="17"/>
        <v>-text 460.100000000093,0 2.5 90 1146055.1</v>
      </c>
    </row>
    <row r="164" spans="1:20" x14ac:dyDescent="0.35">
      <c r="A164" s="1">
        <v>257480</v>
      </c>
      <c r="B164" s="7">
        <v>1146075.2</v>
      </c>
      <c r="C164" s="2">
        <v>270.88099999999997</v>
      </c>
      <c r="D164" s="2">
        <v>272.60000000000002</v>
      </c>
      <c r="E164" s="2">
        <v>1.7190000000000001</v>
      </c>
      <c r="F164" s="2">
        <v>270.209</v>
      </c>
      <c r="G164" s="2">
        <v>271.887</v>
      </c>
      <c r="H164" s="2">
        <v>1.6779999999999999</v>
      </c>
      <c r="I164" s="2">
        <v>267.315</v>
      </c>
      <c r="J164" s="2">
        <v>267.161</v>
      </c>
      <c r="K164" s="15">
        <v>4.726</v>
      </c>
      <c r="L164" s="2">
        <v>23.042999999999999</v>
      </c>
      <c r="N164" s="7">
        <f t="shared" si="18"/>
        <v>480.19999999995343</v>
      </c>
      <c r="O164" s="1">
        <v>0</v>
      </c>
      <c r="P164" s="1" t="str">
        <f t="shared" si="19"/>
        <v>480.199999999953,0</v>
      </c>
      <c r="Q164" s="6" t="s">
        <v>10</v>
      </c>
      <c r="R164" s="1">
        <v>90</v>
      </c>
      <c r="S164" s="1">
        <v>2.5</v>
      </c>
      <c r="T164" s="1" t="str">
        <f t="shared" si="17"/>
        <v>-text 480.199999999953,0 2.5 90 1146075.2</v>
      </c>
    </row>
    <row r="165" spans="1:20" x14ac:dyDescent="0.35">
      <c r="A165" s="1">
        <v>257500</v>
      </c>
      <c r="B165" s="7">
        <v>1146095.2</v>
      </c>
      <c r="C165" s="2">
        <v>270.86700000000002</v>
      </c>
      <c r="D165" s="2">
        <v>272.60000000000002</v>
      </c>
      <c r="E165" s="2">
        <v>1.7330000000000001</v>
      </c>
      <c r="F165" s="2">
        <v>270.19499999999999</v>
      </c>
      <c r="G165" s="2">
        <v>271.887</v>
      </c>
      <c r="H165" s="2">
        <v>1.6919999999999999</v>
      </c>
      <c r="I165" s="2">
        <v>267.50900000000001</v>
      </c>
      <c r="J165" s="2">
        <v>267.47699999999998</v>
      </c>
      <c r="K165" s="15">
        <v>4.41</v>
      </c>
      <c r="L165" s="2">
        <v>22.498000000000001</v>
      </c>
      <c r="N165" s="7">
        <f t="shared" si="18"/>
        <v>500.19999999995343</v>
      </c>
      <c r="O165" s="1">
        <v>0</v>
      </c>
      <c r="P165" s="1" t="str">
        <f t="shared" si="19"/>
        <v>500.199999999953,0</v>
      </c>
      <c r="Q165" s="6" t="s">
        <v>10</v>
      </c>
      <c r="R165" s="1">
        <v>90</v>
      </c>
      <c r="S165" s="1">
        <v>2.5</v>
      </c>
      <c r="T165" s="1" t="str">
        <f t="shared" si="17"/>
        <v>-text 500.199999999953,0 2.5 90 1146095.2</v>
      </c>
    </row>
    <row r="166" spans="1:20" s="10" customFormat="1" x14ac:dyDescent="0.35">
      <c r="B166" s="11"/>
      <c r="C166" s="9"/>
      <c r="D166" s="9"/>
      <c r="E166" s="9"/>
      <c r="F166" s="9"/>
      <c r="G166" s="9"/>
      <c r="H166" s="9"/>
      <c r="I166" s="9"/>
      <c r="J166" s="9"/>
      <c r="K166" s="16"/>
      <c r="L166" s="9"/>
      <c r="M166" s="9"/>
    </row>
    <row r="167" spans="1:20" x14ac:dyDescent="0.35">
      <c r="A167" s="1">
        <v>257500</v>
      </c>
      <c r="B167" s="7">
        <v>1146095.2</v>
      </c>
      <c r="C167" s="2">
        <v>270.86700000000002</v>
      </c>
      <c r="D167" s="2">
        <v>272.60000000000002</v>
      </c>
      <c r="E167" s="2">
        <v>1.7330000000000001</v>
      </c>
      <c r="F167" s="2">
        <v>270.19499999999999</v>
      </c>
      <c r="G167" s="2">
        <v>271.887</v>
      </c>
      <c r="H167" s="2">
        <v>1.6919999999999999</v>
      </c>
      <c r="I167" s="2">
        <v>267.50900000000001</v>
      </c>
      <c r="J167" s="2">
        <v>267.47699999999998</v>
      </c>
      <c r="K167" s="15">
        <v>4.41</v>
      </c>
      <c r="L167" s="2">
        <v>22.498000000000001</v>
      </c>
      <c r="N167" s="7">
        <v>0</v>
      </c>
      <c r="O167" s="1">
        <v>0</v>
      </c>
      <c r="P167" s="1" t="str">
        <f t="shared" ref="P167:P168" si="20">CONCATENATE(N167,",",O167)</f>
        <v>0,0</v>
      </c>
      <c r="Q167" s="6" t="s">
        <v>10</v>
      </c>
      <c r="R167" s="1">
        <v>90</v>
      </c>
      <c r="S167" s="1">
        <v>2.5</v>
      </c>
      <c r="T167" s="1" t="str">
        <f t="shared" ref="T167:T191" si="21">$Q167&amp;" "&amp;$P167&amp;" "&amp;$S167&amp;" "&amp;$R167&amp;" "&amp;$B167</f>
        <v>-text 0,0 2.5 90 1146095.2</v>
      </c>
    </row>
    <row r="168" spans="1:20" x14ac:dyDescent="0.35">
      <c r="A168" s="1">
        <v>257520</v>
      </c>
      <c r="B168" s="7">
        <v>1146115.2</v>
      </c>
      <c r="C168" s="2">
        <v>270.846</v>
      </c>
      <c r="D168" s="2">
        <v>272.56799999999998</v>
      </c>
      <c r="E168" s="2">
        <v>1.7230000000000001</v>
      </c>
      <c r="F168" s="2">
        <v>270.17399999999998</v>
      </c>
      <c r="G168" s="2">
        <v>271.85500000000002</v>
      </c>
      <c r="H168" s="2">
        <v>1.6819999999999999</v>
      </c>
      <c r="I168" s="2">
        <v>267.56</v>
      </c>
      <c r="J168" s="2">
        <v>267.73700000000002</v>
      </c>
      <c r="K168" s="15">
        <v>4.1180000000000003</v>
      </c>
      <c r="L168" s="2">
        <v>21.733000000000001</v>
      </c>
      <c r="N168" s="7">
        <f t="shared" ref="N168:N191" si="22">N167+(B168-B167)</f>
        <v>20</v>
      </c>
      <c r="O168" s="1">
        <v>0</v>
      </c>
      <c r="P168" s="1" t="str">
        <f t="shared" si="20"/>
        <v>20,0</v>
      </c>
      <c r="Q168" s="6" t="s">
        <v>10</v>
      </c>
      <c r="R168" s="1">
        <v>90</v>
      </c>
      <c r="S168" s="1">
        <v>2.5</v>
      </c>
      <c r="T168" s="1" t="str">
        <f t="shared" si="21"/>
        <v>-text 20,0 2.5 90 1146115.2</v>
      </c>
    </row>
    <row r="169" spans="1:20" x14ac:dyDescent="0.35">
      <c r="A169" s="1">
        <v>257540</v>
      </c>
      <c r="B169" s="7">
        <v>1146135.2</v>
      </c>
      <c r="C169" s="2">
        <v>270.82299999999998</v>
      </c>
      <c r="D169" s="2">
        <v>272.52600000000001</v>
      </c>
      <c r="E169" s="2">
        <v>1.702</v>
      </c>
      <c r="F169" s="2">
        <v>270.15100000000001</v>
      </c>
      <c r="G169" s="2">
        <v>271.81299999999999</v>
      </c>
      <c r="H169" s="2">
        <v>1.661</v>
      </c>
      <c r="I169" s="2">
        <v>267.55700000000002</v>
      </c>
      <c r="J169" s="2">
        <v>267.67500000000001</v>
      </c>
      <c r="K169" s="15">
        <v>4.1369999999999996</v>
      </c>
      <c r="L169" s="2">
        <v>20.719000000000001</v>
      </c>
      <c r="N169" s="7">
        <f t="shared" si="22"/>
        <v>40</v>
      </c>
      <c r="O169" s="1">
        <v>0</v>
      </c>
      <c r="P169" s="1" t="str">
        <f t="shared" ref="P169:P191" si="23">CONCATENATE(N169,",",O169)</f>
        <v>40,0</v>
      </c>
      <c r="Q169" s="6" t="s">
        <v>10</v>
      </c>
      <c r="R169" s="1">
        <v>90</v>
      </c>
      <c r="S169" s="1">
        <v>2.5</v>
      </c>
      <c r="T169" s="1" t="str">
        <f t="shared" si="21"/>
        <v>-text 40,0 2.5 90 1146135.2</v>
      </c>
    </row>
    <row r="170" spans="1:20" x14ac:dyDescent="0.35">
      <c r="A170" s="1">
        <v>257560</v>
      </c>
      <c r="B170" s="7">
        <v>1146155.2</v>
      </c>
      <c r="C170" s="2">
        <v>270.81</v>
      </c>
      <c r="D170" s="2">
        <v>272.483</v>
      </c>
      <c r="E170" s="2">
        <v>1.6719999999999999</v>
      </c>
      <c r="F170" s="2">
        <v>270.13799999999998</v>
      </c>
      <c r="G170" s="2">
        <v>271.77</v>
      </c>
      <c r="H170" s="2">
        <v>1.631</v>
      </c>
      <c r="I170" s="2">
        <v>267.565</v>
      </c>
      <c r="J170" s="2">
        <v>267.63799999999998</v>
      </c>
      <c r="K170" s="15">
        <v>4.1319999999999997</v>
      </c>
      <c r="L170" s="2">
        <v>19.465</v>
      </c>
      <c r="N170" s="7">
        <f t="shared" si="22"/>
        <v>60</v>
      </c>
      <c r="O170" s="1">
        <v>0</v>
      </c>
      <c r="P170" s="1" t="str">
        <f t="shared" si="23"/>
        <v>60,0</v>
      </c>
      <c r="Q170" s="6" t="s">
        <v>10</v>
      </c>
      <c r="R170" s="1">
        <v>90</v>
      </c>
      <c r="S170" s="1">
        <v>2.5</v>
      </c>
      <c r="T170" s="1" t="str">
        <f t="shared" si="21"/>
        <v>-text 60,0 2.5 90 1146155.2</v>
      </c>
    </row>
    <row r="171" spans="1:20" x14ac:dyDescent="0.35">
      <c r="A171" s="1">
        <v>257580</v>
      </c>
      <c r="B171" s="7">
        <v>1146175.3</v>
      </c>
      <c r="C171" s="2">
        <v>270.79899999999998</v>
      </c>
      <c r="D171" s="2">
        <v>272.44</v>
      </c>
      <c r="E171" s="2">
        <v>1.64</v>
      </c>
      <c r="F171" s="2">
        <v>270.12700000000001</v>
      </c>
      <c r="G171" s="2">
        <v>271.72699999999998</v>
      </c>
      <c r="H171" s="2">
        <v>1.599</v>
      </c>
      <c r="I171" s="2">
        <v>267.69</v>
      </c>
      <c r="J171" s="2">
        <v>267.62200000000001</v>
      </c>
      <c r="K171" s="15">
        <v>4.1050000000000004</v>
      </c>
      <c r="L171" s="2">
        <v>17.984000000000002</v>
      </c>
      <c r="N171" s="7">
        <f t="shared" si="22"/>
        <v>80.100000000093132</v>
      </c>
      <c r="O171" s="1">
        <v>0</v>
      </c>
      <c r="P171" s="1" t="str">
        <f t="shared" si="23"/>
        <v>80.1000000000931,0</v>
      </c>
      <c r="Q171" s="6" t="s">
        <v>10</v>
      </c>
      <c r="R171" s="1">
        <v>90</v>
      </c>
      <c r="S171" s="1">
        <v>2.5</v>
      </c>
      <c r="T171" s="1" t="str">
        <f t="shared" si="21"/>
        <v>-text 80.1000000000931,0 2.5 90 1146175.3</v>
      </c>
    </row>
    <row r="172" spans="1:20" x14ac:dyDescent="0.35">
      <c r="A172" s="1">
        <v>257600</v>
      </c>
      <c r="B172" s="7">
        <v>1146195.3999999999</v>
      </c>
      <c r="C172" s="2">
        <v>270.76499999999999</v>
      </c>
      <c r="D172" s="2">
        <v>272.39699999999999</v>
      </c>
      <c r="E172" s="2">
        <v>1.6319999999999999</v>
      </c>
      <c r="F172" s="2">
        <v>270.09300000000002</v>
      </c>
      <c r="G172" s="2">
        <v>271.68400000000003</v>
      </c>
      <c r="H172" s="2">
        <v>1.591</v>
      </c>
      <c r="I172" s="2">
        <v>267.863</v>
      </c>
      <c r="J172" s="2">
        <v>267.899</v>
      </c>
      <c r="K172" s="15">
        <v>3.7850000000000001</v>
      </c>
      <c r="L172" s="2">
        <v>16.416</v>
      </c>
      <c r="N172" s="7">
        <f t="shared" si="22"/>
        <v>100.19999999995343</v>
      </c>
      <c r="O172" s="1">
        <v>0</v>
      </c>
      <c r="P172" s="1" t="str">
        <f t="shared" si="23"/>
        <v>100.199999999953,0</v>
      </c>
      <c r="Q172" s="6" t="s">
        <v>10</v>
      </c>
      <c r="R172" s="1">
        <v>90</v>
      </c>
      <c r="S172" s="1">
        <v>2.5</v>
      </c>
      <c r="T172" s="1" t="str">
        <f t="shared" si="21"/>
        <v>-text 100.199999999953,0 2.5 90 1146195.4</v>
      </c>
    </row>
    <row r="173" spans="1:20" x14ac:dyDescent="0.35">
      <c r="A173" s="1">
        <v>257620</v>
      </c>
      <c r="B173" s="7">
        <v>1146215.6000000001</v>
      </c>
      <c r="C173" s="2">
        <v>270.71600000000001</v>
      </c>
      <c r="D173" s="2">
        <v>272.35300000000001</v>
      </c>
      <c r="E173" s="2">
        <v>1.637</v>
      </c>
      <c r="F173" s="2">
        <v>270.04399999999998</v>
      </c>
      <c r="G173" s="2">
        <v>271.64</v>
      </c>
      <c r="H173" s="2">
        <v>1.5960000000000001</v>
      </c>
      <c r="I173" s="2">
        <v>268.161</v>
      </c>
      <c r="J173" s="2">
        <v>268.03199999999998</v>
      </c>
      <c r="K173" s="15">
        <v>3.6080000000000001</v>
      </c>
      <c r="L173" s="2">
        <v>14.792</v>
      </c>
      <c r="N173" s="7">
        <f t="shared" si="22"/>
        <v>120.4000000001397</v>
      </c>
      <c r="O173" s="1">
        <v>0</v>
      </c>
      <c r="P173" s="1" t="str">
        <f t="shared" si="23"/>
        <v>120.40000000014,0</v>
      </c>
      <c r="Q173" s="6" t="s">
        <v>10</v>
      </c>
      <c r="R173" s="1">
        <v>90</v>
      </c>
      <c r="S173" s="1">
        <v>2.5</v>
      </c>
      <c r="T173" s="1" t="str">
        <f t="shared" si="21"/>
        <v>-text 120.40000000014,0 2.5 90 1146215.6</v>
      </c>
    </row>
    <row r="174" spans="1:20" x14ac:dyDescent="0.35">
      <c r="A174" s="1">
        <v>257640</v>
      </c>
      <c r="B174" s="7">
        <v>1146235.7</v>
      </c>
      <c r="C174" s="2">
        <v>270.67099999999999</v>
      </c>
      <c r="D174" s="2">
        <v>272.31</v>
      </c>
      <c r="E174" s="2">
        <v>1.639</v>
      </c>
      <c r="F174" s="2">
        <v>269.99900000000002</v>
      </c>
      <c r="G174" s="2">
        <v>271.59699999999998</v>
      </c>
      <c r="H174" s="2">
        <v>1.5980000000000001</v>
      </c>
      <c r="I174" s="2">
        <v>268.06400000000002</v>
      </c>
      <c r="J174" s="2">
        <v>268.25700000000001</v>
      </c>
      <c r="K174" s="15">
        <v>3.34</v>
      </c>
      <c r="L174" s="2">
        <v>13.367000000000001</v>
      </c>
      <c r="N174" s="7">
        <f t="shared" si="22"/>
        <v>140.5</v>
      </c>
      <c r="O174" s="1">
        <v>0</v>
      </c>
      <c r="P174" s="1" t="str">
        <f t="shared" si="23"/>
        <v>140.5,0</v>
      </c>
      <c r="Q174" s="6" t="s">
        <v>10</v>
      </c>
      <c r="R174" s="1">
        <v>90</v>
      </c>
      <c r="S174" s="1">
        <v>2.5</v>
      </c>
      <c r="T174" s="1" t="str">
        <f t="shared" si="21"/>
        <v>-text 140.5,0 2.5 90 1146235.7</v>
      </c>
    </row>
    <row r="175" spans="1:20" x14ac:dyDescent="0.35">
      <c r="A175" s="1">
        <v>257660</v>
      </c>
      <c r="B175" s="7">
        <v>1146255.8999999999</v>
      </c>
      <c r="C175" s="2">
        <v>270.62299999999999</v>
      </c>
      <c r="D175" s="2">
        <v>272.267</v>
      </c>
      <c r="E175" s="2">
        <v>1.6439999999999999</v>
      </c>
      <c r="F175" s="2">
        <v>269.95100000000002</v>
      </c>
      <c r="G175" s="2">
        <v>271.55399999999997</v>
      </c>
      <c r="H175" s="2">
        <v>1.603</v>
      </c>
      <c r="I175" s="2">
        <v>267.84199999999998</v>
      </c>
      <c r="J175" s="2">
        <v>268.16399999999999</v>
      </c>
      <c r="K175" s="15">
        <v>3.39</v>
      </c>
      <c r="L175" s="2">
        <v>11.997999999999999</v>
      </c>
      <c r="N175" s="7">
        <f t="shared" si="22"/>
        <v>160.69999999995343</v>
      </c>
      <c r="O175" s="1">
        <v>0</v>
      </c>
      <c r="P175" s="1" t="str">
        <f t="shared" si="23"/>
        <v>160.699999999953,0</v>
      </c>
      <c r="Q175" s="6" t="s">
        <v>10</v>
      </c>
      <c r="R175" s="1">
        <v>90</v>
      </c>
      <c r="S175" s="1">
        <v>2.5</v>
      </c>
      <c r="T175" s="1" t="str">
        <f t="shared" si="21"/>
        <v>-text 160.699999999953,0 2.5 90 1146255.9</v>
      </c>
    </row>
    <row r="176" spans="1:20" x14ac:dyDescent="0.35">
      <c r="A176" s="1">
        <v>257680</v>
      </c>
      <c r="B176" s="7">
        <v>1146276</v>
      </c>
      <c r="C176" s="2">
        <v>270.565</v>
      </c>
      <c r="D176" s="2">
        <v>272.22399999999999</v>
      </c>
      <c r="E176" s="2">
        <v>1.659</v>
      </c>
      <c r="F176" s="2">
        <v>269.89299999999997</v>
      </c>
      <c r="G176" s="2">
        <v>271.51100000000002</v>
      </c>
      <c r="H176" s="2">
        <v>1.6180000000000001</v>
      </c>
      <c r="I176" s="2">
        <v>267.62099999999998</v>
      </c>
      <c r="J176" s="2">
        <v>267.87799999999999</v>
      </c>
      <c r="K176" s="15">
        <v>3.633</v>
      </c>
      <c r="L176" s="2">
        <v>10.86</v>
      </c>
      <c r="N176" s="7">
        <f t="shared" si="22"/>
        <v>180.80000000004657</v>
      </c>
      <c r="O176" s="1">
        <v>0</v>
      </c>
      <c r="P176" s="1" t="str">
        <f t="shared" si="23"/>
        <v>180.800000000047,0</v>
      </c>
      <c r="Q176" s="6" t="s">
        <v>10</v>
      </c>
      <c r="R176" s="1">
        <v>90</v>
      </c>
      <c r="S176" s="1">
        <v>2.5</v>
      </c>
      <c r="T176" s="1" t="str">
        <f t="shared" si="21"/>
        <v>-text 180.800000000047,0 2.5 90 1146276</v>
      </c>
    </row>
    <row r="177" spans="1:20" x14ac:dyDescent="0.35">
      <c r="A177" s="1">
        <v>257700</v>
      </c>
      <c r="B177" s="7">
        <v>1146296.2</v>
      </c>
      <c r="C177" s="2">
        <v>270.52300000000002</v>
      </c>
      <c r="D177" s="2">
        <v>272.18099999999998</v>
      </c>
      <c r="E177" s="2">
        <v>1.657</v>
      </c>
      <c r="F177" s="2">
        <v>269.851</v>
      </c>
      <c r="G177" s="2">
        <v>271.46800000000002</v>
      </c>
      <c r="H177" s="2">
        <v>1.6160000000000001</v>
      </c>
      <c r="I177" s="2">
        <v>267.46499999999997</v>
      </c>
      <c r="J177" s="2">
        <v>268.05900000000003</v>
      </c>
      <c r="K177" s="15">
        <v>3.4089999999999998</v>
      </c>
      <c r="L177" s="2">
        <v>10.021000000000001</v>
      </c>
      <c r="N177" s="7">
        <f t="shared" si="22"/>
        <v>201</v>
      </c>
      <c r="O177" s="1">
        <v>0</v>
      </c>
      <c r="P177" s="1" t="str">
        <f t="shared" si="23"/>
        <v>201,0</v>
      </c>
      <c r="Q177" s="6" t="s">
        <v>10</v>
      </c>
      <c r="R177" s="1">
        <v>90</v>
      </c>
      <c r="S177" s="1">
        <v>2.5</v>
      </c>
      <c r="T177" s="1" t="str">
        <f t="shared" si="21"/>
        <v>-text 201,0 2.5 90 1146296.2</v>
      </c>
    </row>
    <row r="178" spans="1:20" x14ac:dyDescent="0.35">
      <c r="A178" s="1">
        <v>257720</v>
      </c>
      <c r="B178" s="7">
        <v>1146316.3999999999</v>
      </c>
      <c r="C178" s="2">
        <v>270.48899999999998</v>
      </c>
      <c r="D178" s="2">
        <v>272.137</v>
      </c>
      <c r="E178" s="2">
        <v>1.6479999999999999</v>
      </c>
      <c r="F178" s="2">
        <v>269.81700000000001</v>
      </c>
      <c r="G178" s="2">
        <v>271.42399999999998</v>
      </c>
      <c r="H178" s="2">
        <v>1.607</v>
      </c>
      <c r="I178" s="2">
        <v>267.53800000000001</v>
      </c>
      <c r="J178" s="2">
        <v>268.22899999999998</v>
      </c>
      <c r="K178" s="15">
        <v>3.1949999999999998</v>
      </c>
      <c r="L178" s="2">
        <v>9.2569999999999997</v>
      </c>
      <c r="N178" s="7">
        <f t="shared" si="22"/>
        <v>221.19999999995343</v>
      </c>
      <c r="O178" s="1">
        <v>0</v>
      </c>
      <c r="P178" s="1" t="str">
        <f t="shared" si="23"/>
        <v>221.199999999953,0</v>
      </c>
      <c r="Q178" s="6" t="s">
        <v>10</v>
      </c>
      <c r="R178" s="1">
        <v>90</v>
      </c>
      <c r="S178" s="1">
        <v>2.5</v>
      </c>
      <c r="T178" s="1" t="str">
        <f t="shared" si="21"/>
        <v>-text 221.199999999953,0 2.5 90 1146316.4</v>
      </c>
    </row>
    <row r="179" spans="1:20" x14ac:dyDescent="0.35">
      <c r="A179" s="1">
        <v>257740</v>
      </c>
      <c r="B179" s="7">
        <v>1146336.3</v>
      </c>
      <c r="C179" s="2">
        <v>270.464</v>
      </c>
      <c r="D179" s="2">
        <v>272.09399999999999</v>
      </c>
      <c r="E179" s="2">
        <v>1.63</v>
      </c>
      <c r="F179" s="2">
        <v>269.79199999999997</v>
      </c>
      <c r="G179" s="2">
        <v>271.38099999999997</v>
      </c>
      <c r="H179" s="2">
        <v>1.589</v>
      </c>
      <c r="I179" s="2">
        <v>267.608</v>
      </c>
      <c r="J179" s="2">
        <v>268</v>
      </c>
      <c r="K179" s="15">
        <v>3.3820000000000001</v>
      </c>
      <c r="L179" s="2">
        <v>8.8680000000000003</v>
      </c>
      <c r="N179" s="7">
        <f t="shared" si="22"/>
        <v>241.10000000009313</v>
      </c>
      <c r="O179" s="1">
        <v>0</v>
      </c>
      <c r="P179" s="1" t="str">
        <f t="shared" si="23"/>
        <v>241.100000000093,0</v>
      </c>
      <c r="Q179" s="6" t="s">
        <v>10</v>
      </c>
      <c r="R179" s="1">
        <v>90</v>
      </c>
      <c r="S179" s="1">
        <v>2.5</v>
      </c>
      <c r="T179" s="1" t="str">
        <f t="shared" si="21"/>
        <v>-text 241.100000000093,0 2.5 90 1146336.3</v>
      </c>
    </row>
    <row r="180" spans="1:20" x14ac:dyDescent="0.35">
      <c r="A180" s="1">
        <v>257760</v>
      </c>
      <c r="B180" s="7">
        <v>1146356.3999999999</v>
      </c>
      <c r="C180" s="2">
        <v>270.45299999999997</v>
      </c>
      <c r="D180" s="2">
        <v>272.05099999999999</v>
      </c>
      <c r="E180" s="2">
        <v>1.5980000000000001</v>
      </c>
      <c r="F180" s="2">
        <v>269.78100000000001</v>
      </c>
      <c r="G180" s="2">
        <v>271.33800000000002</v>
      </c>
      <c r="H180" s="2">
        <v>1.5569999999999999</v>
      </c>
      <c r="I180" s="2">
        <v>267.851</v>
      </c>
      <c r="J180" s="2">
        <v>268.27100000000002</v>
      </c>
      <c r="K180" s="15">
        <v>3.0680000000000001</v>
      </c>
      <c r="L180" s="2">
        <v>8.6140000000000008</v>
      </c>
      <c r="N180" s="7">
        <f t="shared" si="22"/>
        <v>261.19999999995343</v>
      </c>
      <c r="O180" s="1">
        <v>0</v>
      </c>
      <c r="P180" s="1" t="str">
        <f t="shared" si="23"/>
        <v>261.199999999953,0</v>
      </c>
      <c r="Q180" s="6" t="s">
        <v>10</v>
      </c>
      <c r="R180" s="1">
        <v>90</v>
      </c>
      <c r="S180" s="1">
        <v>2.5</v>
      </c>
      <c r="T180" s="1" t="str">
        <f t="shared" si="21"/>
        <v>-text 261.199999999953,0 2.5 90 1146356.4</v>
      </c>
    </row>
    <row r="181" spans="1:20" x14ac:dyDescent="0.35">
      <c r="A181" s="1">
        <v>257780</v>
      </c>
      <c r="B181" s="7">
        <v>1146376.5</v>
      </c>
      <c r="C181" s="2">
        <v>270.39800000000002</v>
      </c>
      <c r="D181" s="2">
        <v>272.00799999999998</v>
      </c>
      <c r="E181" s="2">
        <v>1.61</v>
      </c>
      <c r="F181" s="2">
        <v>269.726</v>
      </c>
      <c r="G181" s="2">
        <v>271.29500000000002</v>
      </c>
      <c r="H181" s="2">
        <v>1.569</v>
      </c>
      <c r="I181" s="2">
        <v>268.14800000000002</v>
      </c>
      <c r="J181" s="2">
        <v>268.42</v>
      </c>
      <c r="K181" s="15">
        <v>2.875</v>
      </c>
      <c r="L181" s="2">
        <v>8.5980000000000008</v>
      </c>
      <c r="N181" s="7">
        <f t="shared" si="22"/>
        <v>281.30000000004657</v>
      </c>
      <c r="O181" s="1">
        <v>0</v>
      </c>
      <c r="P181" s="1" t="str">
        <f t="shared" si="23"/>
        <v>281.300000000047,0</v>
      </c>
      <c r="Q181" s="6" t="s">
        <v>10</v>
      </c>
      <c r="R181" s="1">
        <v>90</v>
      </c>
      <c r="S181" s="1">
        <v>2.5</v>
      </c>
      <c r="T181" s="1" t="str">
        <f t="shared" si="21"/>
        <v>-text 281.300000000047,0 2.5 90 1146376.5</v>
      </c>
    </row>
    <row r="182" spans="1:20" x14ac:dyDescent="0.35">
      <c r="A182" s="1">
        <v>257800</v>
      </c>
      <c r="B182" s="7">
        <v>1146396.6000000001</v>
      </c>
      <c r="C182" s="2">
        <v>270.34800000000001</v>
      </c>
      <c r="D182" s="2">
        <v>271.96499999999997</v>
      </c>
      <c r="E182" s="2">
        <v>1.617</v>
      </c>
      <c r="F182" s="2">
        <v>269.67599999999999</v>
      </c>
      <c r="G182" s="2">
        <v>271.25200000000001</v>
      </c>
      <c r="H182" s="2">
        <v>1.5760000000000001</v>
      </c>
      <c r="I182" s="2">
        <v>268.02600000000001</v>
      </c>
      <c r="J182" s="2">
        <v>268.43799999999999</v>
      </c>
      <c r="K182" s="15">
        <v>2.8140000000000001</v>
      </c>
      <c r="L182" s="2">
        <v>8.8339999999999996</v>
      </c>
      <c r="N182" s="7">
        <f t="shared" si="22"/>
        <v>301.4000000001397</v>
      </c>
      <c r="O182" s="1">
        <v>0</v>
      </c>
      <c r="P182" s="1" t="str">
        <f t="shared" si="23"/>
        <v>301.40000000014,0</v>
      </c>
      <c r="Q182" s="6" t="s">
        <v>10</v>
      </c>
      <c r="R182" s="1">
        <v>90</v>
      </c>
      <c r="S182" s="1">
        <v>2.5</v>
      </c>
      <c r="T182" s="1" t="str">
        <f t="shared" si="21"/>
        <v>-text 301.40000000014,0 2.5 90 1146396.6</v>
      </c>
    </row>
    <row r="183" spans="1:20" x14ac:dyDescent="0.35">
      <c r="A183" s="1">
        <v>257820</v>
      </c>
      <c r="B183" s="7">
        <v>1146416.7</v>
      </c>
      <c r="C183" s="2">
        <v>270.315</v>
      </c>
      <c r="D183" s="2">
        <v>271.92200000000003</v>
      </c>
      <c r="E183" s="2">
        <v>1.6080000000000001</v>
      </c>
      <c r="F183" s="2">
        <v>269.64299999999997</v>
      </c>
      <c r="G183" s="2">
        <v>271.209</v>
      </c>
      <c r="H183" s="2">
        <v>1.5669999999999999</v>
      </c>
      <c r="I183" s="2">
        <v>267.85899999999998</v>
      </c>
      <c r="J183" s="2">
        <v>267.78300000000002</v>
      </c>
      <c r="K183" s="15">
        <v>3.4260000000000002</v>
      </c>
      <c r="L183" s="2">
        <v>9.2119999999999997</v>
      </c>
      <c r="N183" s="7">
        <f t="shared" si="22"/>
        <v>321.5</v>
      </c>
      <c r="O183" s="1">
        <v>0</v>
      </c>
      <c r="P183" s="1" t="str">
        <f t="shared" si="23"/>
        <v>321.5,0</v>
      </c>
      <c r="Q183" s="6" t="s">
        <v>10</v>
      </c>
      <c r="R183" s="1">
        <v>90</v>
      </c>
      <c r="S183" s="1">
        <v>2.5</v>
      </c>
      <c r="T183" s="1" t="str">
        <f t="shared" si="21"/>
        <v>-text 321.5,0 2.5 90 1146416.7</v>
      </c>
    </row>
    <row r="184" spans="1:20" x14ac:dyDescent="0.35">
      <c r="A184" s="1">
        <v>257840</v>
      </c>
      <c r="B184" s="7">
        <v>1146436.8999999999</v>
      </c>
      <c r="C184" s="2">
        <v>270.31700000000001</v>
      </c>
      <c r="D184" s="2">
        <v>271.87900000000002</v>
      </c>
      <c r="E184" s="2">
        <v>1.5620000000000001</v>
      </c>
      <c r="F184" s="2">
        <v>269.64499999999998</v>
      </c>
      <c r="G184" s="2">
        <v>271.166</v>
      </c>
      <c r="H184" s="2">
        <v>1.5209999999999999</v>
      </c>
      <c r="I184" s="2">
        <v>267.71699999999998</v>
      </c>
      <c r="J184" s="2">
        <v>268.13400000000001</v>
      </c>
      <c r="K184" s="15">
        <v>3.032</v>
      </c>
      <c r="L184" s="2">
        <v>9.7460000000000004</v>
      </c>
      <c r="N184" s="7">
        <f t="shared" si="22"/>
        <v>341.69999999995343</v>
      </c>
      <c r="O184" s="1">
        <v>0</v>
      </c>
      <c r="P184" s="1" t="str">
        <f t="shared" si="23"/>
        <v>341.699999999953,0</v>
      </c>
      <c r="Q184" s="6" t="s">
        <v>10</v>
      </c>
      <c r="R184" s="1">
        <v>90</v>
      </c>
      <c r="S184" s="1">
        <v>2.5</v>
      </c>
      <c r="T184" s="1" t="str">
        <f t="shared" si="21"/>
        <v>-text 341.699999999953,0 2.5 90 1146436.9</v>
      </c>
    </row>
    <row r="185" spans="1:20" x14ac:dyDescent="0.35">
      <c r="A185" s="1">
        <v>257860</v>
      </c>
      <c r="B185" s="7">
        <v>1146456.8999999999</v>
      </c>
      <c r="C185" s="2">
        <v>270.28899999999999</v>
      </c>
      <c r="D185" s="2">
        <v>271.83600000000001</v>
      </c>
      <c r="E185" s="2">
        <v>1.5469999999999999</v>
      </c>
      <c r="F185" s="2">
        <v>269.61700000000002</v>
      </c>
      <c r="G185" s="2">
        <v>271.12299999999999</v>
      </c>
      <c r="H185" s="2">
        <v>1.506</v>
      </c>
      <c r="I185" s="2">
        <v>267.51499999999999</v>
      </c>
      <c r="J185" s="2">
        <v>268.69200000000001</v>
      </c>
      <c r="K185" s="15">
        <v>2.431</v>
      </c>
      <c r="L185" s="2">
        <v>10.363</v>
      </c>
      <c r="N185" s="7">
        <f t="shared" si="22"/>
        <v>361.69999999995343</v>
      </c>
      <c r="O185" s="1">
        <v>0</v>
      </c>
      <c r="P185" s="1" t="str">
        <f t="shared" si="23"/>
        <v>361.699999999953,0</v>
      </c>
      <c r="Q185" s="6" t="s">
        <v>10</v>
      </c>
      <c r="R185" s="1">
        <v>90</v>
      </c>
      <c r="S185" s="1">
        <v>2.5</v>
      </c>
      <c r="T185" s="1" t="str">
        <f t="shared" si="21"/>
        <v>-text 361.699999999953,0 2.5 90 1146456.9</v>
      </c>
    </row>
    <row r="186" spans="1:20" x14ac:dyDescent="0.35">
      <c r="A186" s="1">
        <v>257880</v>
      </c>
      <c r="B186" s="7">
        <v>1146477</v>
      </c>
      <c r="C186" s="2">
        <v>270.25700000000001</v>
      </c>
      <c r="D186" s="2">
        <v>271.79300000000001</v>
      </c>
      <c r="E186" s="2">
        <v>1.536</v>
      </c>
      <c r="F186" s="2">
        <v>269.58499999999998</v>
      </c>
      <c r="G186" s="2">
        <v>271.08</v>
      </c>
      <c r="H186" s="2">
        <v>1.4950000000000001</v>
      </c>
      <c r="I186" s="2">
        <v>267.26100000000002</v>
      </c>
      <c r="J186" s="2">
        <v>268.23700000000002</v>
      </c>
      <c r="K186" s="15">
        <v>2.843</v>
      </c>
      <c r="L186" s="2">
        <v>10.936</v>
      </c>
      <c r="N186" s="7">
        <f t="shared" si="22"/>
        <v>381.80000000004657</v>
      </c>
      <c r="O186" s="1">
        <v>0</v>
      </c>
      <c r="P186" s="1" t="str">
        <f t="shared" si="23"/>
        <v>381.800000000047,0</v>
      </c>
      <c r="Q186" s="6" t="s">
        <v>10</v>
      </c>
      <c r="R186" s="1">
        <v>90</v>
      </c>
      <c r="S186" s="1">
        <v>2.5</v>
      </c>
      <c r="T186" s="1" t="str">
        <f t="shared" si="21"/>
        <v>-text 381.800000000047,0 2.5 90 1146477</v>
      </c>
    </row>
    <row r="187" spans="1:20" x14ac:dyDescent="0.35">
      <c r="A187" s="1">
        <v>257900</v>
      </c>
      <c r="B187" s="7">
        <v>1146497.1000000001</v>
      </c>
      <c r="C187" s="2">
        <v>270.233</v>
      </c>
      <c r="D187" s="2">
        <v>271.75</v>
      </c>
      <c r="E187" s="2">
        <v>1.5169999999999999</v>
      </c>
      <c r="F187" s="2">
        <v>269.56099999999998</v>
      </c>
      <c r="G187" s="2">
        <v>271.03699999999998</v>
      </c>
      <c r="H187" s="2">
        <v>1.476</v>
      </c>
      <c r="I187" s="2">
        <v>267.40899999999999</v>
      </c>
      <c r="J187" s="2">
        <v>267.767</v>
      </c>
      <c r="K187" s="15">
        <v>3.27</v>
      </c>
      <c r="L187" s="2">
        <v>11.430999999999999</v>
      </c>
      <c r="N187" s="7">
        <f t="shared" si="22"/>
        <v>401.9000000001397</v>
      </c>
      <c r="O187" s="1">
        <v>0</v>
      </c>
      <c r="P187" s="1" t="str">
        <f t="shared" si="23"/>
        <v>401.90000000014,0</v>
      </c>
      <c r="Q187" s="6" t="s">
        <v>10</v>
      </c>
      <c r="R187" s="1">
        <v>90</v>
      </c>
      <c r="S187" s="1">
        <v>2.5</v>
      </c>
      <c r="T187" s="1" t="str">
        <f t="shared" si="21"/>
        <v>-text 401.90000000014,0 2.5 90 1146497.1</v>
      </c>
    </row>
    <row r="188" spans="1:20" x14ac:dyDescent="0.35">
      <c r="A188" s="1">
        <v>257920</v>
      </c>
      <c r="B188" s="7">
        <v>1146517.1000000001</v>
      </c>
      <c r="C188" s="2">
        <v>270.22399999999999</v>
      </c>
      <c r="D188" s="2">
        <v>271.70699999999999</v>
      </c>
      <c r="E188" s="2">
        <v>1.4830000000000001</v>
      </c>
      <c r="F188" s="2">
        <v>269.55200000000002</v>
      </c>
      <c r="G188" s="2">
        <v>270.99400000000003</v>
      </c>
      <c r="H188" s="2">
        <v>1.4419999999999999</v>
      </c>
      <c r="I188" s="2">
        <v>267.25799999999998</v>
      </c>
      <c r="J188" s="2">
        <v>267.57900000000001</v>
      </c>
      <c r="K188" s="15">
        <v>3.415</v>
      </c>
      <c r="L188" s="2">
        <v>11.765000000000001</v>
      </c>
      <c r="N188" s="7">
        <f t="shared" si="22"/>
        <v>421.9000000001397</v>
      </c>
      <c r="O188" s="1">
        <v>0</v>
      </c>
      <c r="P188" s="1" t="str">
        <f t="shared" si="23"/>
        <v>421.90000000014,0</v>
      </c>
      <c r="Q188" s="6" t="s">
        <v>10</v>
      </c>
      <c r="R188" s="1">
        <v>90</v>
      </c>
      <c r="S188" s="1">
        <v>2.5</v>
      </c>
      <c r="T188" s="1" t="str">
        <f t="shared" si="21"/>
        <v>-text 421.90000000014,0 2.5 90 1146517.1</v>
      </c>
    </row>
    <row r="189" spans="1:20" x14ac:dyDescent="0.35">
      <c r="A189" s="1">
        <v>257940</v>
      </c>
      <c r="B189" s="7">
        <v>1146537.1000000001</v>
      </c>
      <c r="C189" s="2">
        <v>270.21800000000002</v>
      </c>
      <c r="D189" s="2">
        <v>271.66399999999999</v>
      </c>
      <c r="E189" s="2">
        <v>1.446</v>
      </c>
      <c r="F189" s="2">
        <v>269.54599999999999</v>
      </c>
      <c r="G189" s="2">
        <v>270.95100000000002</v>
      </c>
      <c r="H189" s="2">
        <v>1.405</v>
      </c>
      <c r="I189" s="2">
        <v>267.30099999999999</v>
      </c>
      <c r="J189" s="2">
        <v>267.58100000000002</v>
      </c>
      <c r="K189" s="15">
        <v>3.371</v>
      </c>
      <c r="L189" s="2">
        <v>11.949</v>
      </c>
      <c r="N189" s="7">
        <f t="shared" si="22"/>
        <v>441.9000000001397</v>
      </c>
      <c r="O189" s="1">
        <v>0</v>
      </c>
      <c r="P189" s="1" t="str">
        <f t="shared" si="23"/>
        <v>441.90000000014,0</v>
      </c>
      <c r="Q189" s="6" t="s">
        <v>10</v>
      </c>
      <c r="R189" s="1">
        <v>90</v>
      </c>
      <c r="S189" s="1">
        <v>2.5</v>
      </c>
      <c r="T189" s="1" t="str">
        <f t="shared" si="21"/>
        <v>-text 441.90000000014,0 2.5 90 1146537.1</v>
      </c>
    </row>
    <row r="190" spans="1:20" x14ac:dyDescent="0.35">
      <c r="A190" s="1">
        <v>257960</v>
      </c>
      <c r="B190" s="7">
        <v>1146557.1000000001</v>
      </c>
      <c r="C190" s="2">
        <v>270.20699999999999</v>
      </c>
      <c r="D190" s="2">
        <v>271.62099999999998</v>
      </c>
      <c r="E190" s="2">
        <v>1.415</v>
      </c>
      <c r="F190" s="2">
        <v>269.53500000000003</v>
      </c>
      <c r="G190" s="2">
        <v>270.90800000000002</v>
      </c>
      <c r="H190" s="2">
        <v>1.3740000000000001</v>
      </c>
      <c r="I190" s="2">
        <v>267.40499999999997</v>
      </c>
      <c r="J190" s="2">
        <v>267.56900000000002</v>
      </c>
      <c r="K190" s="15">
        <v>3.339</v>
      </c>
      <c r="L190" s="2">
        <v>12.023</v>
      </c>
      <c r="N190" s="7">
        <f t="shared" si="22"/>
        <v>461.9000000001397</v>
      </c>
      <c r="O190" s="1">
        <v>0</v>
      </c>
      <c r="P190" s="1" t="str">
        <f t="shared" si="23"/>
        <v>461.90000000014,0</v>
      </c>
      <c r="Q190" s="6" t="s">
        <v>10</v>
      </c>
      <c r="R190" s="1">
        <v>90</v>
      </c>
      <c r="S190" s="1">
        <v>2.5</v>
      </c>
      <c r="T190" s="1" t="str">
        <f t="shared" si="21"/>
        <v>-text 461.90000000014,0 2.5 90 1146557.1</v>
      </c>
    </row>
    <row r="191" spans="1:20" x14ac:dyDescent="0.35">
      <c r="A191" s="1">
        <v>257974.836882</v>
      </c>
      <c r="B191" s="7">
        <v>1146572</v>
      </c>
      <c r="C191" s="2">
        <v>270.19400000000002</v>
      </c>
      <c r="D191" s="2">
        <v>271.589</v>
      </c>
      <c r="E191" s="2">
        <v>1.395</v>
      </c>
      <c r="F191" s="2">
        <v>269.52199999999999</v>
      </c>
      <c r="G191" s="2">
        <v>270.87599999999998</v>
      </c>
      <c r="H191" s="2">
        <v>1.3540000000000001</v>
      </c>
      <c r="I191" s="2">
        <v>267.32600000000002</v>
      </c>
      <c r="J191" s="2">
        <v>267.45800000000003</v>
      </c>
      <c r="K191" s="15">
        <v>3.419</v>
      </c>
      <c r="L191" s="2">
        <v>12.023</v>
      </c>
      <c r="N191" s="7">
        <f t="shared" si="22"/>
        <v>476.80000000004657</v>
      </c>
      <c r="O191" s="1">
        <v>0</v>
      </c>
      <c r="P191" s="1" t="str">
        <f t="shared" si="23"/>
        <v>476.800000000047,0</v>
      </c>
      <c r="Q191" s="6" t="s">
        <v>10</v>
      </c>
      <c r="R191" s="1">
        <v>90</v>
      </c>
      <c r="S191" s="1">
        <v>2.5</v>
      </c>
      <c r="T191" s="1" t="str">
        <f t="shared" si="21"/>
        <v>-text 476.800000000047,0 2.5 90 1146572</v>
      </c>
    </row>
    <row r="192" spans="1:20" s="10" customFormat="1" x14ac:dyDescent="0.35">
      <c r="B192" s="11"/>
      <c r="C192" s="9"/>
      <c r="D192" s="9"/>
      <c r="E192" s="9"/>
      <c r="F192" s="9"/>
      <c r="G192" s="9"/>
      <c r="H192" s="9"/>
      <c r="I192" s="9"/>
      <c r="J192" s="9"/>
      <c r="K192" s="16"/>
      <c r="L192" s="9"/>
      <c r="M192" s="9"/>
    </row>
    <row r="193" spans="1:20" x14ac:dyDescent="0.35">
      <c r="A193" s="1">
        <v>258000</v>
      </c>
      <c r="B193" s="7">
        <v>1146572</v>
      </c>
      <c r="C193" s="2">
        <v>270.19400000000002</v>
      </c>
      <c r="D193" s="2">
        <v>271.589</v>
      </c>
      <c r="E193" s="2">
        <v>1.395</v>
      </c>
      <c r="F193" s="2">
        <v>269.52199999999999</v>
      </c>
      <c r="G193" s="2">
        <v>270.87599999999998</v>
      </c>
      <c r="H193" s="2">
        <v>1.3540000000000001</v>
      </c>
      <c r="I193" s="2">
        <v>267.32600000000002</v>
      </c>
      <c r="J193" s="2">
        <v>267.45800000000003</v>
      </c>
      <c r="K193" s="15">
        <v>3.419</v>
      </c>
      <c r="L193" s="2">
        <v>12.032</v>
      </c>
      <c r="N193" s="7">
        <v>0</v>
      </c>
      <c r="O193" s="1">
        <v>0</v>
      </c>
      <c r="P193" s="1" t="str">
        <f t="shared" ref="P193:P194" si="24">CONCATENATE(N193,",",O193)</f>
        <v>0,0</v>
      </c>
      <c r="Q193" s="6" t="s">
        <v>10</v>
      </c>
      <c r="R193" s="1">
        <v>90</v>
      </c>
      <c r="S193" s="1">
        <v>2.5</v>
      </c>
      <c r="T193" s="1" t="str">
        <f t="shared" ref="T193:T218" si="25">$Q193&amp;" "&amp;$P193&amp;" "&amp;$S193&amp;" "&amp;$R193&amp;" "&amp;$B193</f>
        <v>-text 0,0 2.5 90 1146572</v>
      </c>
    </row>
    <row r="194" spans="1:20" x14ac:dyDescent="0.35">
      <c r="A194" s="1">
        <v>258020</v>
      </c>
      <c r="B194" s="7">
        <v>1146592</v>
      </c>
      <c r="C194" s="2">
        <v>270.21300000000002</v>
      </c>
      <c r="D194" s="2">
        <v>271.54700000000003</v>
      </c>
      <c r="E194" s="2">
        <v>1.3340000000000001</v>
      </c>
      <c r="F194" s="2">
        <v>269.541</v>
      </c>
      <c r="G194" s="2">
        <v>270.834</v>
      </c>
      <c r="H194" s="2">
        <v>1.2929999999999999</v>
      </c>
      <c r="I194" s="2">
        <v>267.11399999999998</v>
      </c>
      <c r="J194" s="2">
        <v>267.21800000000002</v>
      </c>
      <c r="K194" s="15">
        <v>3.6150000000000002</v>
      </c>
      <c r="L194" s="2">
        <v>12.032</v>
      </c>
      <c r="N194" s="7">
        <f t="shared" ref="N194:N218" si="26">N193+(B194-B193)</f>
        <v>20</v>
      </c>
      <c r="O194" s="1">
        <v>0</v>
      </c>
      <c r="P194" s="1" t="str">
        <f t="shared" si="24"/>
        <v>20,0</v>
      </c>
      <c r="Q194" s="6" t="s">
        <v>10</v>
      </c>
      <c r="R194" s="1">
        <v>90</v>
      </c>
      <c r="S194" s="1">
        <v>2.5</v>
      </c>
      <c r="T194" s="1" t="str">
        <f t="shared" si="25"/>
        <v>-text 20,0 2.5 90 1146592</v>
      </c>
    </row>
    <row r="195" spans="1:20" x14ac:dyDescent="0.35">
      <c r="A195" s="1">
        <v>258040</v>
      </c>
      <c r="B195" s="7">
        <v>1146612</v>
      </c>
      <c r="C195" s="2">
        <v>270.22699999999998</v>
      </c>
      <c r="D195" s="2">
        <v>271.50400000000002</v>
      </c>
      <c r="E195" s="2">
        <v>1.2769999999999999</v>
      </c>
      <c r="F195" s="2">
        <v>269.55500000000001</v>
      </c>
      <c r="G195" s="2">
        <v>270.791</v>
      </c>
      <c r="H195" s="2">
        <v>1.236</v>
      </c>
      <c r="I195" s="2">
        <v>266.35000000000002</v>
      </c>
      <c r="J195" s="2">
        <v>266.85199999999998</v>
      </c>
      <c r="K195" s="15">
        <v>3.9390000000000001</v>
      </c>
      <c r="L195" s="2">
        <v>12.028</v>
      </c>
      <c r="N195" s="7">
        <f t="shared" si="26"/>
        <v>40</v>
      </c>
      <c r="O195" s="1">
        <v>0</v>
      </c>
      <c r="P195" s="1" t="str">
        <f t="shared" ref="P195:P218" si="27">CONCATENATE(N195,",",O195)</f>
        <v>40,0</v>
      </c>
      <c r="Q195" s="6" t="s">
        <v>10</v>
      </c>
      <c r="R195" s="1">
        <v>90</v>
      </c>
      <c r="S195" s="1">
        <v>2.5</v>
      </c>
      <c r="T195" s="1" t="str">
        <f t="shared" si="25"/>
        <v>-text 40,0 2.5 90 1146612</v>
      </c>
    </row>
    <row r="196" spans="1:20" x14ac:dyDescent="0.35">
      <c r="A196" s="1">
        <v>258060</v>
      </c>
      <c r="B196" s="7">
        <v>1146631.8999999999</v>
      </c>
      <c r="C196" s="2">
        <v>270.25599999999997</v>
      </c>
      <c r="D196" s="2">
        <v>271.46100000000001</v>
      </c>
      <c r="E196" s="2">
        <v>1.2050000000000001</v>
      </c>
      <c r="F196" s="2">
        <v>269.584</v>
      </c>
      <c r="G196" s="2">
        <v>270.74799999999999</v>
      </c>
      <c r="H196" s="2">
        <v>1.1639999999999999</v>
      </c>
      <c r="I196" s="2">
        <v>267.19099999999997</v>
      </c>
      <c r="J196" s="2">
        <v>267.23500000000001</v>
      </c>
      <c r="K196" s="15">
        <v>3.5129999999999999</v>
      </c>
      <c r="L196" s="2">
        <v>12.005000000000001</v>
      </c>
      <c r="N196" s="7">
        <f t="shared" si="26"/>
        <v>59.899999999906868</v>
      </c>
      <c r="O196" s="1">
        <v>0</v>
      </c>
      <c r="P196" s="1" t="str">
        <f t="shared" si="27"/>
        <v>59.8999999999069,0</v>
      </c>
      <c r="Q196" s="6" t="s">
        <v>10</v>
      </c>
      <c r="R196" s="1">
        <v>90</v>
      </c>
      <c r="S196" s="1">
        <v>2.5</v>
      </c>
      <c r="T196" s="1" t="str">
        <f t="shared" si="25"/>
        <v>-text 59.8999999999069,0 2.5 90 1146631.9</v>
      </c>
    </row>
    <row r="197" spans="1:20" x14ac:dyDescent="0.35">
      <c r="A197" s="1">
        <v>258080</v>
      </c>
      <c r="B197" s="7">
        <v>1146651.8999999999</v>
      </c>
      <c r="C197" s="2">
        <v>270.298</v>
      </c>
      <c r="D197" s="2">
        <v>271.41800000000001</v>
      </c>
      <c r="E197" s="2">
        <v>1.1200000000000001</v>
      </c>
      <c r="F197" s="2">
        <v>269.62599999999998</v>
      </c>
      <c r="G197" s="2">
        <v>270.70499999999998</v>
      </c>
      <c r="H197" s="2">
        <v>1.079</v>
      </c>
      <c r="I197" s="2">
        <v>266.464</v>
      </c>
      <c r="J197" s="2">
        <v>266.49099999999999</v>
      </c>
      <c r="K197" s="15">
        <v>4.2140000000000004</v>
      </c>
      <c r="L197" s="2">
        <v>11.991</v>
      </c>
      <c r="N197" s="7">
        <f t="shared" si="26"/>
        <v>79.899999999906868</v>
      </c>
      <c r="O197" s="1">
        <v>0</v>
      </c>
      <c r="P197" s="1" t="str">
        <f t="shared" si="27"/>
        <v>79.8999999999069,0</v>
      </c>
      <c r="Q197" s="6" t="s">
        <v>10</v>
      </c>
      <c r="R197" s="1">
        <v>90</v>
      </c>
      <c r="S197" s="1">
        <v>2.5</v>
      </c>
      <c r="T197" s="1" t="str">
        <f t="shared" si="25"/>
        <v>-text 79.8999999999069,0 2.5 90 1146651.9</v>
      </c>
    </row>
    <row r="198" spans="1:20" x14ac:dyDescent="0.35">
      <c r="A198" s="1">
        <v>258100</v>
      </c>
      <c r="B198" s="7">
        <v>1146672</v>
      </c>
      <c r="C198" s="2">
        <v>270.34500000000003</v>
      </c>
      <c r="D198" s="2">
        <v>271.375</v>
      </c>
      <c r="E198" s="2">
        <v>1.03</v>
      </c>
      <c r="F198" s="2">
        <v>269.673</v>
      </c>
      <c r="G198" s="2">
        <v>270.66199999999998</v>
      </c>
      <c r="H198" s="2">
        <v>0.98899999999999999</v>
      </c>
      <c r="I198" s="2">
        <v>268.25799999999998</v>
      </c>
      <c r="J198" s="2">
        <v>269.12400000000002</v>
      </c>
      <c r="K198" s="15">
        <v>1.538</v>
      </c>
      <c r="L198" s="2">
        <v>11.994999999999999</v>
      </c>
      <c r="N198" s="7">
        <f t="shared" si="26"/>
        <v>100</v>
      </c>
      <c r="O198" s="1">
        <v>0</v>
      </c>
      <c r="P198" s="1" t="str">
        <f t="shared" si="27"/>
        <v>100,0</v>
      </c>
      <c r="Q198" s="6" t="s">
        <v>10</v>
      </c>
      <c r="R198" s="1">
        <v>90</v>
      </c>
      <c r="S198" s="1">
        <v>2.5</v>
      </c>
      <c r="T198" s="1" t="str">
        <f t="shared" si="25"/>
        <v>-text 100,0 2.5 90 1146672</v>
      </c>
    </row>
    <row r="199" spans="1:20" x14ac:dyDescent="0.35">
      <c r="A199" s="1">
        <v>258120</v>
      </c>
      <c r="B199" s="7">
        <v>1146692</v>
      </c>
      <c r="C199" s="2">
        <v>270.32600000000002</v>
      </c>
      <c r="D199" s="2">
        <v>271.33199999999999</v>
      </c>
      <c r="E199" s="2">
        <v>1.006</v>
      </c>
      <c r="F199" s="2">
        <v>269.654</v>
      </c>
      <c r="G199" s="2">
        <v>270.61900000000003</v>
      </c>
      <c r="H199" s="2">
        <v>0.96499999999999997</v>
      </c>
      <c r="I199" s="2">
        <v>267.59899999999999</v>
      </c>
      <c r="J199" s="2">
        <v>267.82400000000001</v>
      </c>
      <c r="K199" s="15">
        <v>2.7949999999999999</v>
      </c>
      <c r="L199" s="2">
        <v>12.045</v>
      </c>
      <c r="N199" s="7">
        <f t="shared" si="26"/>
        <v>120</v>
      </c>
      <c r="O199" s="1">
        <v>0</v>
      </c>
      <c r="P199" s="1" t="str">
        <f t="shared" si="27"/>
        <v>120,0</v>
      </c>
      <c r="Q199" s="6" t="s">
        <v>10</v>
      </c>
      <c r="R199" s="1">
        <v>90</v>
      </c>
      <c r="S199" s="1">
        <v>2.5</v>
      </c>
      <c r="T199" s="1" t="str">
        <f t="shared" si="25"/>
        <v>-text 120,0 2.5 90 1146692</v>
      </c>
    </row>
    <row r="200" spans="1:20" x14ac:dyDescent="0.35">
      <c r="A200" s="1">
        <v>258140</v>
      </c>
      <c r="B200" s="7">
        <v>1146711.8999999999</v>
      </c>
      <c r="C200" s="2">
        <v>270.29500000000002</v>
      </c>
      <c r="D200" s="2">
        <v>271.28899999999999</v>
      </c>
      <c r="E200" s="2">
        <v>0.995</v>
      </c>
      <c r="F200" s="2">
        <v>269.62299999999999</v>
      </c>
      <c r="G200" s="2">
        <v>270.57600000000002</v>
      </c>
      <c r="H200" s="2">
        <v>0.95399999999999996</v>
      </c>
      <c r="I200" s="2">
        <v>267.92899999999997</v>
      </c>
      <c r="J200" s="2">
        <v>268.70600000000002</v>
      </c>
      <c r="K200" s="15">
        <v>1.87</v>
      </c>
      <c r="L200" s="2">
        <v>12.096</v>
      </c>
      <c r="N200" s="7">
        <f t="shared" si="26"/>
        <v>139.89999999990687</v>
      </c>
      <c r="O200" s="1">
        <v>0</v>
      </c>
      <c r="P200" s="1" t="str">
        <f t="shared" si="27"/>
        <v>139.899999999907,0</v>
      </c>
      <c r="Q200" s="6" t="s">
        <v>10</v>
      </c>
      <c r="R200" s="1">
        <v>90</v>
      </c>
      <c r="S200" s="1">
        <v>2.5</v>
      </c>
      <c r="T200" s="1" t="str">
        <f t="shared" si="25"/>
        <v>-text 139.899999999907,0 2.5 90 1146711.9</v>
      </c>
    </row>
    <row r="201" spans="1:20" x14ac:dyDescent="0.35">
      <c r="A201" s="1">
        <v>258160</v>
      </c>
      <c r="B201" s="7">
        <v>1146731.8999999999</v>
      </c>
      <c r="C201" s="2">
        <v>270.31299999999999</v>
      </c>
      <c r="D201" s="2">
        <v>271.24700000000001</v>
      </c>
      <c r="E201" s="2">
        <v>0.93300000000000005</v>
      </c>
      <c r="F201" s="2">
        <v>269.64100000000002</v>
      </c>
      <c r="G201" s="2">
        <v>270.53399999999999</v>
      </c>
      <c r="H201" s="2">
        <v>0.89200000000000002</v>
      </c>
      <c r="I201" s="2">
        <v>267.17399999999998</v>
      </c>
      <c r="J201" s="2">
        <v>268.72699999999998</v>
      </c>
      <c r="K201" s="15">
        <v>1.8069999999999999</v>
      </c>
      <c r="L201" s="2">
        <v>12.06</v>
      </c>
      <c r="N201" s="7">
        <f t="shared" si="26"/>
        <v>159.89999999990687</v>
      </c>
      <c r="O201" s="1">
        <v>0</v>
      </c>
      <c r="P201" s="1" t="str">
        <f t="shared" si="27"/>
        <v>159.899999999907,0</v>
      </c>
      <c r="Q201" s="6" t="s">
        <v>10</v>
      </c>
      <c r="R201" s="1">
        <v>90</v>
      </c>
      <c r="S201" s="1">
        <v>2.5</v>
      </c>
      <c r="T201" s="1" t="str">
        <f t="shared" si="25"/>
        <v>-text 159.899999999907,0 2.5 90 1146731.9</v>
      </c>
    </row>
    <row r="202" spans="1:20" x14ac:dyDescent="0.35">
      <c r="A202" s="1">
        <v>258180</v>
      </c>
      <c r="B202" s="7">
        <v>1146751.8999999999</v>
      </c>
      <c r="C202" s="2">
        <v>270.28899999999999</v>
      </c>
      <c r="D202" s="2">
        <v>271.20400000000001</v>
      </c>
      <c r="E202" s="2">
        <v>0.91500000000000004</v>
      </c>
      <c r="F202" s="2">
        <v>269.61700000000002</v>
      </c>
      <c r="G202" s="2">
        <v>270.49099999999999</v>
      </c>
      <c r="H202" s="2">
        <v>0.874</v>
      </c>
      <c r="I202" s="2">
        <v>266.20499999999998</v>
      </c>
      <c r="J202" s="2">
        <v>265.988</v>
      </c>
      <c r="K202" s="15">
        <v>4.5030000000000001</v>
      </c>
      <c r="L202" s="2">
        <v>11.972</v>
      </c>
      <c r="N202" s="7">
        <f t="shared" si="26"/>
        <v>179.89999999990687</v>
      </c>
      <c r="O202" s="1">
        <v>0</v>
      </c>
      <c r="P202" s="1" t="str">
        <f t="shared" si="27"/>
        <v>179.899999999907,0</v>
      </c>
      <c r="Q202" s="6" t="s">
        <v>10</v>
      </c>
      <c r="R202" s="1">
        <v>90</v>
      </c>
      <c r="S202" s="1">
        <v>2.5</v>
      </c>
      <c r="T202" s="1" t="str">
        <f t="shared" si="25"/>
        <v>-text 179.899999999907,0 2.5 90 1146751.9</v>
      </c>
    </row>
    <row r="203" spans="1:20" x14ac:dyDescent="0.35">
      <c r="A203" s="1">
        <v>258200</v>
      </c>
      <c r="B203" s="7">
        <v>1146771.8999999999</v>
      </c>
      <c r="C203" s="2">
        <v>270.27</v>
      </c>
      <c r="D203" s="2">
        <v>271.161</v>
      </c>
      <c r="E203" s="2">
        <v>0.89</v>
      </c>
      <c r="F203" s="2">
        <v>269.59800000000001</v>
      </c>
      <c r="G203" s="2">
        <v>270.44799999999998</v>
      </c>
      <c r="H203" s="2">
        <v>0.84899999999999998</v>
      </c>
      <c r="I203" s="2">
        <v>265.92500000000001</v>
      </c>
      <c r="J203" s="2">
        <v>266.64800000000002</v>
      </c>
      <c r="K203" s="15">
        <v>3.8</v>
      </c>
      <c r="L203" s="2">
        <v>11.913</v>
      </c>
      <c r="N203" s="7">
        <f t="shared" si="26"/>
        <v>199.89999999990687</v>
      </c>
      <c r="O203" s="1">
        <v>0</v>
      </c>
      <c r="P203" s="1" t="str">
        <f t="shared" si="27"/>
        <v>199.899999999907,0</v>
      </c>
      <c r="Q203" s="6" t="s">
        <v>10</v>
      </c>
      <c r="R203" s="1">
        <v>90</v>
      </c>
      <c r="S203" s="1">
        <v>2.5</v>
      </c>
      <c r="T203" s="1" t="str">
        <f t="shared" si="25"/>
        <v>-text 199.899999999907,0 2.5 90 1146771.9</v>
      </c>
    </row>
    <row r="204" spans="1:20" x14ac:dyDescent="0.35">
      <c r="A204" s="1">
        <v>258220</v>
      </c>
      <c r="B204" s="7">
        <v>1146791.8999999999</v>
      </c>
      <c r="C204" s="2">
        <v>270.29000000000002</v>
      </c>
      <c r="D204" s="2">
        <v>271.11799999999999</v>
      </c>
      <c r="E204" s="2">
        <v>0.82799999999999996</v>
      </c>
      <c r="F204" s="2">
        <v>269.61799999999999</v>
      </c>
      <c r="G204" s="2">
        <v>270.40499999999997</v>
      </c>
      <c r="H204" s="2">
        <v>0.78700000000000003</v>
      </c>
      <c r="I204" s="2">
        <v>266.589</v>
      </c>
      <c r="J204" s="2">
        <v>266.99900000000002</v>
      </c>
      <c r="K204" s="15">
        <v>3.4060000000000001</v>
      </c>
      <c r="L204" s="2">
        <v>11.824</v>
      </c>
      <c r="N204" s="7">
        <f t="shared" si="26"/>
        <v>219.89999999990687</v>
      </c>
      <c r="O204" s="1">
        <v>0</v>
      </c>
      <c r="P204" s="1" t="str">
        <f t="shared" si="27"/>
        <v>219.899999999907,0</v>
      </c>
      <c r="Q204" s="6" t="s">
        <v>10</v>
      </c>
      <c r="R204" s="1">
        <v>90</v>
      </c>
      <c r="S204" s="1">
        <v>2.5</v>
      </c>
      <c r="T204" s="1" t="str">
        <f t="shared" si="25"/>
        <v>-text 219.899999999907,0 2.5 90 1146791.9</v>
      </c>
    </row>
    <row r="205" spans="1:20" x14ac:dyDescent="0.35">
      <c r="A205" s="1">
        <v>258240</v>
      </c>
      <c r="B205" s="7">
        <v>1146812</v>
      </c>
      <c r="C205" s="2">
        <v>270.3</v>
      </c>
      <c r="D205" s="2">
        <v>271.07499999999999</v>
      </c>
      <c r="E205" s="2">
        <v>0.77500000000000002</v>
      </c>
      <c r="F205" s="2">
        <v>269.62799999999999</v>
      </c>
      <c r="G205" s="2">
        <v>270.36200000000002</v>
      </c>
      <c r="H205" s="2">
        <v>0.73399999999999999</v>
      </c>
      <c r="I205" s="2">
        <v>265.21600000000001</v>
      </c>
      <c r="J205" s="2">
        <v>266.66300000000001</v>
      </c>
      <c r="K205" s="15">
        <v>3.7</v>
      </c>
      <c r="L205" s="2">
        <v>11.803000000000001</v>
      </c>
      <c r="N205" s="7">
        <f t="shared" si="26"/>
        <v>240</v>
      </c>
      <c r="O205" s="1">
        <v>0</v>
      </c>
      <c r="P205" s="1" t="str">
        <f t="shared" si="27"/>
        <v>240,0</v>
      </c>
      <c r="Q205" s="6" t="s">
        <v>10</v>
      </c>
      <c r="R205" s="1">
        <v>90</v>
      </c>
      <c r="S205" s="1">
        <v>2.5</v>
      </c>
      <c r="T205" s="1" t="str">
        <f t="shared" si="25"/>
        <v>-text 240,0 2.5 90 1146812</v>
      </c>
    </row>
    <row r="206" spans="1:20" x14ac:dyDescent="0.35">
      <c r="A206" s="1">
        <v>258260</v>
      </c>
      <c r="B206" s="7">
        <v>1146831.8999999999</v>
      </c>
      <c r="C206" s="2">
        <v>270.26100000000002</v>
      </c>
      <c r="D206" s="2">
        <v>271.03199999999998</v>
      </c>
      <c r="E206" s="2">
        <v>0.77100000000000002</v>
      </c>
      <c r="F206" s="2">
        <v>269.589</v>
      </c>
      <c r="G206" s="2">
        <v>270.31900000000002</v>
      </c>
      <c r="H206" s="2">
        <v>0.73</v>
      </c>
      <c r="I206" s="2">
        <v>266.40100000000001</v>
      </c>
      <c r="J206" s="2">
        <v>266.67599999999999</v>
      </c>
      <c r="K206" s="15">
        <v>3.6429999999999998</v>
      </c>
      <c r="L206" s="2">
        <v>11.786</v>
      </c>
      <c r="N206" s="7">
        <f t="shared" si="26"/>
        <v>259.89999999990687</v>
      </c>
      <c r="O206" s="1">
        <v>0</v>
      </c>
      <c r="P206" s="1" t="str">
        <f t="shared" si="27"/>
        <v>259.899999999907,0</v>
      </c>
      <c r="Q206" s="6" t="s">
        <v>10</v>
      </c>
      <c r="R206" s="1">
        <v>90</v>
      </c>
      <c r="S206" s="1">
        <v>2.5</v>
      </c>
      <c r="T206" s="1" t="str">
        <f t="shared" si="25"/>
        <v>-text 259.899999999907,0 2.5 90 1146831.9</v>
      </c>
    </row>
    <row r="207" spans="1:20" x14ac:dyDescent="0.35">
      <c r="A207" s="1">
        <v>258280</v>
      </c>
      <c r="B207" s="7">
        <v>1146851.8999999999</v>
      </c>
      <c r="C207" s="2">
        <v>270.27</v>
      </c>
      <c r="D207" s="2">
        <v>270.98899999999998</v>
      </c>
      <c r="E207" s="2">
        <v>0.71899999999999997</v>
      </c>
      <c r="F207" s="2">
        <v>269.59800000000001</v>
      </c>
      <c r="G207" s="2">
        <v>270.27600000000001</v>
      </c>
      <c r="H207" s="2">
        <v>0.67800000000000005</v>
      </c>
      <c r="I207" s="2">
        <v>266.73500000000001</v>
      </c>
      <c r="J207" s="2">
        <v>266.822</v>
      </c>
      <c r="K207" s="15">
        <v>3.4550000000000001</v>
      </c>
      <c r="L207" s="2">
        <v>11.731999999999999</v>
      </c>
      <c r="N207" s="7">
        <f t="shared" si="26"/>
        <v>279.89999999990687</v>
      </c>
      <c r="O207" s="1">
        <v>0</v>
      </c>
      <c r="P207" s="1" t="str">
        <f t="shared" si="27"/>
        <v>279.899999999907,0</v>
      </c>
      <c r="Q207" s="6" t="s">
        <v>10</v>
      </c>
      <c r="R207" s="1">
        <v>90</v>
      </c>
      <c r="S207" s="1">
        <v>2.5</v>
      </c>
      <c r="T207" s="1" t="str">
        <f t="shared" si="25"/>
        <v>-text 279.899999999907,0 2.5 90 1146851.9</v>
      </c>
    </row>
    <row r="208" spans="1:20" x14ac:dyDescent="0.35">
      <c r="A208" s="1">
        <v>258300</v>
      </c>
      <c r="B208" s="7">
        <v>1146871.8999999999</v>
      </c>
      <c r="C208" s="2">
        <v>270.27600000000001</v>
      </c>
      <c r="D208" s="2">
        <v>270.947</v>
      </c>
      <c r="E208" s="2">
        <v>0.67100000000000004</v>
      </c>
      <c r="F208" s="2">
        <v>269.60399999999998</v>
      </c>
      <c r="G208" s="2">
        <v>270.23399999999998</v>
      </c>
      <c r="H208" s="2">
        <v>0.63</v>
      </c>
      <c r="I208" s="2">
        <v>266.84699999999998</v>
      </c>
      <c r="J208" s="2">
        <v>266.83199999999999</v>
      </c>
      <c r="K208" s="15">
        <v>3.4009999999999998</v>
      </c>
      <c r="L208" s="2">
        <v>11.676</v>
      </c>
      <c r="N208" s="7">
        <f t="shared" si="26"/>
        <v>299.89999999990687</v>
      </c>
      <c r="O208" s="1">
        <v>0</v>
      </c>
      <c r="P208" s="1" t="str">
        <f t="shared" si="27"/>
        <v>299.899999999907,0</v>
      </c>
      <c r="Q208" s="6" t="s">
        <v>10</v>
      </c>
      <c r="R208" s="1">
        <v>90</v>
      </c>
      <c r="S208" s="1">
        <v>2.5</v>
      </c>
      <c r="T208" s="1" t="str">
        <f t="shared" si="25"/>
        <v>-text 299.899999999907,0 2.5 90 1146871.9</v>
      </c>
    </row>
    <row r="209" spans="1:20" x14ac:dyDescent="0.35">
      <c r="A209" s="1">
        <v>258320</v>
      </c>
      <c r="B209" s="7">
        <v>1146892</v>
      </c>
      <c r="C209" s="2">
        <v>270.274</v>
      </c>
      <c r="D209" s="2">
        <v>270.904</v>
      </c>
      <c r="E209" s="2">
        <v>0.629</v>
      </c>
      <c r="F209" s="2">
        <v>269.60199999999998</v>
      </c>
      <c r="G209" s="2">
        <v>270.19099999999997</v>
      </c>
      <c r="H209" s="2">
        <v>0.58799999999999997</v>
      </c>
      <c r="I209" s="2">
        <v>267.13499999999999</v>
      </c>
      <c r="J209" s="2">
        <v>266.70999999999998</v>
      </c>
      <c r="K209" s="15">
        <v>3.4809999999999999</v>
      </c>
      <c r="L209" s="2">
        <v>11.616</v>
      </c>
      <c r="N209" s="7">
        <f t="shared" si="26"/>
        <v>320</v>
      </c>
      <c r="O209" s="1">
        <v>0</v>
      </c>
      <c r="P209" s="1" t="str">
        <f t="shared" si="27"/>
        <v>320,0</v>
      </c>
      <c r="Q209" s="6" t="s">
        <v>10</v>
      </c>
      <c r="R209" s="1">
        <v>90</v>
      </c>
      <c r="S209" s="1">
        <v>2.5</v>
      </c>
      <c r="T209" s="1" t="str">
        <f t="shared" si="25"/>
        <v>-text 320,0 2.5 90 1146892</v>
      </c>
    </row>
    <row r="210" spans="1:20" x14ac:dyDescent="0.35">
      <c r="A210" s="1">
        <v>258340</v>
      </c>
      <c r="B210" s="7">
        <v>1146911.8999999999</v>
      </c>
      <c r="C210" s="2">
        <v>270.29599999999999</v>
      </c>
      <c r="D210" s="2">
        <v>270.86099999999999</v>
      </c>
      <c r="E210" s="2">
        <v>0.56499999999999995</v>
      </c>
      <c r="F210" s="2">
        <v>269.62400000000002</v>
      </c>
      <c r="G210" s="2">
        <v>270.14800000000002</v>
      </c>
      <c r="H210" s="2">
        <v>0.52400000000000002</v>
      </c>
      <c r="I210" s="2">
        <v>266.86099999999999</v>
      </c>
      <c r="J210" s="2">
        <v>267.24200000000002</v>
      </c>
      <c r="K210" s="15">
        <v>2.9060000000000001</v>
      </c>
      <c r="L210" s="2">
        <v>11.598000000000001</v>
      </c>
      <c r="N210" s="7">
        <f t="shared" si="26"/>
        <v>339.89999999990687</v>
      </c>
      <c r="O210" s="1">
        <v>0</v>
      </c>
      <c r="P210" s="1" t="str">
        <f t="shared" si="27"/>
        <v>339.899999999907,0</v>
      </c>
      <c r="Q210" s="6" t="s">
        <v>10</v>
      </c>
      <c r="R210" s="1">
        <v>90</v>
      </c>
      <c r="S210" s="1">
        <v>2.5</v>
      </c>
      <c r="T210" s="1" t="str">
        <f t="shared" si="25"/>
        <v>-text 339.899999999907,0 2.5 90 1146911.9</v>
      </c>
    </row>
    <row r="211" spans="1:20" x14ac:dyDescent="0.35">
      <c r="A211" s="1">
        <v>258360</v>
      </c>
      <c r="B211" s="7">
        <v>1146931.8999999999</v>
      </c>
      <c r="C211" s="2">
        <v>270.32299999999998</v>
      </c>
      <c r="D211" s="2">
        <v>270.81799999999998</v>
      </c>
      <c r="E211" s="2">
        <v>0.495</v>
      </c>
      <c r="F211" s="2">
        <v>269.65100000000001</v>
      </c>
      <c r="G211" s="2">
        <v>270.10500000000002</v>
      </c>
      <c r="H211" s="2">
        <v>0.45400000000000001</v>
      </c>
      <c r="I211" s="2">
        <v>266.416</v>
      </c>
      <c r="J211" s="2">
        <v>267.82900000000001</v>
      </c>
      <c r="K211" s="15">
        <v>2.2759999999999998</v>
      </c>
      <c r="L211" s="2">
        <v>11.513</v>
      </c>
      <c r="N211" s="7">
        <f t="shared" si="26"/>
        <v>359.89999999990687</v>
      </c>
      <c r="O211" s="1">
        <v>0</v>
      </c>
      <c r="P211" s="1" t="str">
        <f t="shared" si="27"/>
        <v>359.899999999907,0</v>
      </c>
      <c r="Q211" s="6" t="s">
        <v>10</v>
      </c>
      <c r="R211" s="1">
        <v>90</v>
      </c>
      <c r="S211" s="1">
        <v>2.5</v>
      </c>
      <c r="T211" s="1" t="str">
        <f t="shared" si="25"/>
        <v>-text 359.899999999907,0 2.5 90 1146931.9</v>
      </c>
    </row>
    <row r="212" spans="1:20" x14ac:dyDescent="0.35">
      <c r="A212" s="1">
        <v>258380</v>
      </c>
      <c r="B212" s="7">
        <v>1146951.8999999999</v>
      </c>
      <c r="C212" s="2">
        <v>270.35300000000001</v>
      </c>
      <c r="D212" s="2">
        <v>270.77499999999998</v>
      </c>
      <c r="E212" s="2">
        <v>0.42199999999999999</v>
      </c>
      <c r="F212" s="2">
        <v>269.68099999999998</v>
      </c>
      <c r="G212" s="2">
        <v>270.06200000000001</v>
      </c>
      <c r="H212" s="2">
        <v>0.38100000000000001</v>
      </c>
      <c r="I212" s="2">
        <v>267.89400000000001</v>
      </c>
      <c r="J212" s="2">
        <v>268.03100000000001</v>
      </c>
      <c r="K212" s="15">
        <v>2.0310000000000001</v>
      </c>
      <c r="L212" s="2">
        <v>11.456</v>
      </c>
      <c r="N212" s="7">
        <f t="shared" si="26"/>
        <v>379.89999999990687</v>
      </c>
      <c r="O212" s="1">
        <v>0</v>
      </c>
      <c r="P212" s="1" t="str">
        <f t="shared" si="27"/>
        <v>379.899999999907,0</v>
      </c>
      <c r="Q212" s="6" t="s">
        <v>10</v>
      </c>
      <c r="R212" s="1">
        <v>90</v>
      </c>
      <c r="S212" s="1">
        <v>2.5</v>
      </c>
      <c r="T212" s="1" t="str">
        <f t="shared" si="25"/>
        <v>-text 379.899999999907,0 2.5 90 1146951.9</v>
      </c>
    </row>
    <row r="213" spans="1:20" x14ac:dyDescent="0.35">
      <c r="A213" s="1">
        <v>258400</v>
      </c>
      <c r="B213" s="7">
        <v>1146971.8999999999</v>
      </c>
      <c r="C213" s="2">
        <v>270.35899999999998</v>
      </c>
      <c r="D213" s="2">
        <v>270.78300000000002</v>
      </c>
      <c r="E213" s="2">
        <v>0.42399999999999999</v>
      </c>
      <c r="F213" s="2">
        <v>269.68700000000001</v>
      </c>
      <c r="G213" s="2">
        <v>270.07</v>
      </c>
      <c r="H213" s="2">
        <v>0.38300000000000001</v>
      </c>
      <c r="I213" s="2">
        <v>268.66000000000003</v>
      </c>
      <c r="J213" s="2">
        <v>268.97800000000001</v>
      </c>
      <c r="K213" s="15">
        <v>1.0920000000000001</v>
      </c>
      <c r="L213" s="2">
        <v>11.375</v>
      </c>
      <c r="N213" s="7">
        <f t="shared" si="26"/>
        <v>399.89999999990687</v>
      </c>
      <c r="O213" s="1">
        <v>0</v>
      </c>
      <c r="P213" s="1" t="str">
        <f t="shared" si="27"/>
        <v>399.899999999907,0</v>
      </c>
      <c r="Q213" s="6" t="s">
        <v>10</v>
      </c>
      <c r="R213" s="1">
        <v>90</v>
      </c>
      <c r="S213" s="1">
        <v>2.5</v>
      </c>
      <c r="T213" s="1" t="str">
        <f t="shared" si="25"/>
        <v>-text 399.899999999907,0 2.5 90 1146971.9</v>
      </c>
    </row>
    <row r="214" spans="1:20" x14ac:dyDescent="0.35">
      <c r="A214" s="1">
        <v>258420</v>
      </c>
      <c r="B214" s="7">
        <v>1146992</v>
      </c>
      <c r="C214" s="2">
        <v>270.34100000000001</v>
      </c>
      <c r="D214" s="2">
        <v>270.863</v>
      </c>
      <c r="E214" s="2">
        <v>0.52200000000000002</v>
      </c>
      <c r="F214" s="2">
        <v>269.66899999999998</v>
      </c>
      <c r="G214" s="2">
        <v>270.14999999999998</v>
      </c>
      <c r="H214" s="2">
        <v>0.48099999999999998</v>
      </c>
      <c r="I214" s="2">
        <v>266.76499999999999</v>
      </c>
      <c r="J214" s="2">
        <v>267.55399999999997</v>
      </c>
      <c r="K214" s="15">
        <v>2.5960000000000001</v>
      </c>
      <c r="L214" s="2">
        <v>11.347</v>
      </c>
      <c r="N214" s="7">
        <f t="shared" si="26"/>
        <v>420</v>
      </c>
      <c r="O214" s="1">
        <v>0</v>
      </c>
      <c r="P214" s="1" t="str">
        <f t="shared" si="27"/>
        <v>420,0</v>
      </c>
      <c r="Q214" s="6" t="s">
        <v>10</v>
      </c>
      <c r="R214" s="1">
        <v>90</v>
      </c>
      <c r="S214" s="1">
        <v>2.5</v>
      </c>
      <c r="T214" s="1" t="str">
        <f t="shared" si="25"/>
        <v>-text 420,0 2.5 90 1146992</v>
      </c>
    </row>
    <row r="215" spans="1:20" x14ac:dyDescent="0.35">
      <c r="A215" s="1">
        <v>258440</v>
      </c>
      <c r="B215" s="7">
        <v>1147012</v>
      </c>
      <c r="C215" s="2">
        <v>270.30099999999999</v>
      </c>
      <c r="D215" s="2">
        <v>270.94400000000002</v>
      </c>
      <c r="E215" s="2">
        <v>0.64200000000000002</v>
      </c>
      <c r="F215" s="2">
        <v>269.62900000000002</v>
      </c>
      <c r="G215" s="2">
        <v>270.23099999999999</v>
      </c>
      <c r="H215" s="2">
        <v>0.60099999999999998</v>
      </c>
      <c r="I215" s="2">
        <v>268.24099999999999</v>
      </c>
      <c r="J215" s="2">
        <v>269.041</v>
      </c>
      <c r="K215" s="15">
        <v>1.19</v>
      </c>
      <c r="L215" s="2">
        <v>11.381</v>
      </c>
      <c r="N215" s="7">
        <f t="shared" si="26"/>
        <v>440</v>
      </c>
      <c r="O215" s="1">
        <v>0</v>
      </c>
      <c r="P215" s="1" t="str">
        <f t="shared" si="27"/>
        <v>440,0</v>
      </c>
      <c r="Q215" s="6" t="s">
        <v>10</v>
      </c>
      <c r="R215" s="1">
        <v>90</v>
      </c>
      <c r="S215" s="1">
        <v>2.5</v>
      </c>
      <c r="T215" s="1" t="str">
        <f t="shared" si="25"/>
        <v>-text 440,0 2.5 90 1147012</v>
      </c>
    </row>
    <row r="216" spans="1:20" x14ac:dyDescent="0.35">
      <c r="A216" s="1">
        <v>258460</v>
      </c>
      <c r="B216" s="7">
        <v>1147032</v>
      </c>
      <c r="C216" s="2">
        <v>270.32400000000001</v>
      </c>
      <c r="D216" s="2">
        <v>271.024</v>
      </c>
      <c r="E216" s="2">
        <v>0.7</v>
      </c>
      <c r="F216" s="2">
        <v>269.65199999999999</v>
      </c>
      <c r="G216" s="2">
        <v>270.31099999999998</v>
      </c>
      <c r="H216" s="2">
        <v>0.65900000000000003</v>
      </c>
      <c r="I216" s="2">
        <v>268.75900000000001</v>
      </c>
      <c r="J216" s="2">
        <v>269.43599999999998</v>
      </c>
      <c r="K216" s="15">
        <v>0.875</v>
      </c>
      <c r="L216" s="2">
        <v>11.532</v>
      </c>
      <c r="N216" s="7">
        <f t="shared" si="26"/>
        <v>460</v>
      </c>
      <c r="O216" s="1">
        <v>0</v>
      </c>
      <c r="P216" s="1" t="str">
        <f t="shared" si="27"/>
        <v>460,0</v>
      </c>
      <c r="Q216" s="6" t="s">
        <v>10</v>
      </c>
      <c r="R216" s="1">
        <v>90</v>
      </c>
      <c r="S216" s="1">
        <v>2.5</v>
      </c>
      <c r="T216" s="1" t="str">
        <f t="shared" si="25"/>
        <v>-text 460,0 2.5 90 1147032</v>
      </c>
    </row>
    <row r="217" spans="1:20" x14ac:dyDescent="0.35">
      <c r="A217" s="1">
        <v>258480</v>
      </c>
      <c r="B217" s="7">
        <v>1147052.2</v>
      </c>
      <c r="C217" s="2">
        <v>270.29399999999998</v>
      </c>
      <c r="D217" s="2">
        <v>271.10500000000002</v>
      </c>
      <c r="E217" s="2">
        <v>0.81100000000000005</v>
      </c>
      <c r="F217" s="2">
        <v>269.62200000000001</v>
      </c>
      <c r="G217" s="2">
        <v>270.392</v>
      </c>
      <c r="H217" s="2">
        <v>0.77</v>
      </c>
      <c r="I217" s="2">
        <v>267.37200000000001</v>
      </c>
      <c r="J217" s="2">
        <v>267.89999999999998</v>
      </c>
      <c r="K217" s="15">
        <v>2.492</v>
      </c>
      <c r="L217" s="2">
        <v>11.852</v>
      </c>
      <c r="N217" s="7">
        <f t="shared" si="26"/>
        <v>480.19999999995343</v>
      </c>
      <c r="O217" s="1">
        <v>0</v>
      </c>
      <c r="P217" s="1" t="str">
        <f t="shared" si="27"/>
        <v>480.199999999953,0</v>
      </c>
      <c r="Q217" s="6" t="s">
        <v>10</v>
      </c>
      <c r="R217" s="1">
        <v>90</v>
      </c>
      <c r="S217" s="1">
        <v>2.5</v>
      </c>
      <c r="T217" s="1" t="str">
        <f t="shared" si="25"/>
        <v>-text 480.199999999953,0 2.5 90 1147052.2</v>
      </c>
    </row>
    <row r="218" spans="1:20" x14ac:dyDescent="0.35">
      <c r="A218" s="1">
        <v>258500</v>
      </c>
      <c r="B218" s="7">
        <v>1147072.2</v>
      </c>
      <c r="C218" s="2">
        <v>270.24599999999998</v>
      </c>
      <c r="D218" s="2">
        <v>271.185</v>
      </c>
      <c r="E218" s="2">
        <v>0.93899999999999995</v>
      </c>
      <c r="F218" s="2">
        <v>269.57400000000001</v>
      </c>
      <c r="G218" s="2">
        <v>270.47199999999998</v>
      </c>
      <c r="H218" s="2">
        <v>0.89800000000000002</v>
      </c>
      <c r="I218" s="2">
        <v>267.43299999999999</v>
      </c>
      <c r="J218" s="2">
        <v>267.44600000000003</v>
      </c>
      <c r="K218" s="15">
        <v>3.0259999999999998</v>
      </c>
      <c r="L218" s="2">
        <v>12.206</v>
      </c>
      <c r="N218" s="7">
        <f t="shared" si="26"/>
        <v>500.19999999995343</v>
      </c>
      <c r="O218" s="1">
        <v>0</v>
      </c>
      <c r="P218" s="1" t="str">
        <f t="shared" si="27"/>
        <v>500.199999999953,0</v>
      </c>
      <c r="Q218" s="6" t="s">
        <v>10</v>
      </c>
      <c r="R218" s="1">
        <v>90</v>
      </c>
      <c r="S218" s="1">
        <v>2.5</v>
      </c>
      <c r="T218" s="1" t="str">
        <f t="shared" si="25"/>
        <v>-text 500.199999999953,0 2.5 90 1147072.2</v>
      </c>
    </row>
    <row r="219" spans="1:20" s="10" customFormat="1" x14ac:dyDescent="0.35">
      <c r="B219" s="11"/>
      <c r="C219" s="9"/>
      <c r="D219" s="9"/>
      <c r="E219" s="9"/>
      <c r="F219" s="9"/>
      <c r="G219" s="9"/>
      <c r="H219" s="9"/>
      <c r="I219" s="9"/>
      <c r="J219" s="9"/>
      <c r="K219" s="16"/>
      <c r="L219" s="9"/>
      <c r="M219" s="9"/>
    </row>
    <row r="220" spans="1:20" x14ac:dyDescent="0.35">
      <c r="A220" s="1">
        <v>258500</v>
      </c>
      <c r="B220" s="7">
        <v>1147072.2</v>
      </c>
      <c r="C220" s="2">
        <v>270.24599999999998</v>
      </c>
      <c r="D220" s="2">
        <v>271.185</v>
      </c>
      <c r="E220" s="2">
        <v>0.93899999999999995</v>
      </c>
      <c r="F220" s="2">
        <v>269.57400000000001</v>
      </c>
      <c r="G220" s="2">
        <v>270.47199999999998</v>
      </c>
      <c r="H220" s="2">
        <v>0.89800000000000002</v>
      </c>
      <c r="I220" s="2">
        <v>267.43299999999999</v>
      </c>
      <c r="J220" s="2">
        <v>267.44600000000003</v>
      </c>
      <c r="K220" s="15">
        <v>3.0259999999999998</v>
      </c>
      <c r="L220" s="2">
        <v>12.206</v>
      </c>
      <c r="N220" s="7">
        <v>0</v>
      </c>
      <c r="O220" s="1">
        <v>0</v>
      </c>
      <c r="P220" s="1" t="str">
        <f t="shared" ref="P220:P221" si="28">CONCATENATE(N220,",",O220)</f>
        <v>0,0</v>
      </c>
      <c r="Q220" s="6" t="s">
        <v>10</v>
      </c>
      <c r="R220" s="1">
        <v>90</v>
      </c>
      <c r="S220" s="1">
        <v>2.5</v>
      </c>
      <c r="T220" s="1" t="str">
        <f t="shared" ref="T220:T244" si="29">$Q220&amp;" "&amp;$P220&amp;" "&amp;$S220&amp;" "&amp;$R220&amp;" "&amp;$B220</f>
        <v>-text 0,0 2.5 90 1147072.2</v>
      </c>
    </row>
    <row r="221" spans="1:20" x14ac:dyDescent="0.35">
      <c r="A221" s="1">
        <v>258520</v>
      </c>
      <c r="B221" s="7">
        <v>1147092.3</v>
      </c>
      <c r="C221" s="2">
        <v>270.202</v>
      </c>
      <c r="D221" s="2">
        <v>271.26600000000002</v>
      </c>
      <c r="E221" s="2">
        <v>1.0640000000000001</v>
      </c>
      <c r="F221" s="2">
        <v>269.52999999999997</v>
      </c>
      <c r="G221" s="2">
        <v>270.553</v>
      </c>
      <c r="H221" s="2">
        <v>1.0229999999999999</v>
      </c>
      <c r="I221" s="2">
        <v>267.47199999999998</v>
      </c>
      <c r="J221" s="2">
        <v>267.471</v>
      </c>
      <c r="K221" s="15">
        <v>3.081</v>
      </c>
      <c r="L221" s="2">
        <v>12.641999999999999</v>
      </c>
      <c r="N221" s="7">
        <f t="shared" ref="N221:N244" si="30">N220+(B221-B220)</f>
        <v>20.100000000093132</v>
      </c>
      <c r="O221" s="1">
        <v>0</v>
      </c>
      <c r="P221" s="1" t="str">
        <f t="shared" si="28"/>
        <v>20.1000000000931,0</v>
      </c>
      <c r="Q221" s="6" t="s">
        <v>10</v>
      </c>
      <c r="R221" s="1">
        <v>90</v>
      </c>
      <c r="S221" s="1">
        <v>2.5</v>
      </c>
      <c r="T221" s="1" t="str">
        <f t="shared" si="29"/>
        <v>-text 20.1000000000931,0 2.5 90 1147092.3</v>
      </c>
    </row>
    <row r="222" spans="1:20" x14ac:dyDescent="0.35">
      <c r="A222" s="1">
        <v>258540</v>
      </c>
      <c r="B222" s="7">
        <v>1147112.5</v>
      </c>
      <c r="C222" s="2">
        <v>270.161</v>
      </c>
      <c r="D222" s="2">
        <v>271.34699999999998</v>
      </c>
      <c r="E222" s="2">
        <v>1.1859999999999999</v>
      </c>
      <c r="F222" s="2">
        <v>269.48899999999998</v>
      </c>
      <c r="G222" s="2">
        <v>270.63400000000001</v>
      </c>
      <c r="H222" s="2">
        <v>1.145</v>
      </c>
      <c r="I222" s="2">
        <v>267.548</v>
      </c>
      <c r="J222" s="2">
        <v>267.47399999999999</v>
      </c>
      <c r="K222" s="15">
        <v>3.16</v>
      </c>
      <c r="L222" s="2">
        <v>13.19</v>
      </c>
      <c r="N222" s="7">
        <f t="shared" si="30"/>
        <v>40.300000000046566</v>
      </c>
      <c r="O222" s="1">
        <v>0</v>
      </c>
      <c r="P222" s="1" t="str">
        <f t="shared" ref="P222:P244" si="31">CONCATENATE(N222,",",O222)</f>
        <v>40.3000000000466,0</v>
      </c>
      <c r="Q222" s="6" t="s">
        <v>10</v>
      </c>
      <c r="R222" s="1">
        <v>90</v>
      </c>
      <c r="S222" s="1">
        <v>2.5</v>
      </c>
      <c r="T222" s="1" t="str">
        <f t="shared" si="29"/>
        <v>-text 40.3000000000466,0 2.5 90 1147112.5</v>
      </c>
    </row>
    <row r="223" spans="1:20" x14ac:dyDescent="0.35">
      <c r="A223" s="1">
        <v>258560</v>
      </c>
      <c r="B223" s="7">
        <v>1147132.5</v>
      </c>
      <c r="C223" s="2">
        <v>270.12700000000001</v>
      </c>
      <c r="D223" s="2">
        <v>271.42700000000002</v>
      </c>
      <c r="E223" s="2">
        <v>1.3</v>
      </c>
      <c r="F223" s="2">
        <v>269.45499999999998</v>
      </c>
      <c r="G223" s="2">
        <v>270.714</v>
      </c>
      <c r="H223" s="2">
        <v>1.2589999999999999</v>
      </c>
      <c r="I223" s="2">
        <v>267.46300000000002</v>
      </c>
      <c r="J223" s="2">
        <v>267.45800000000003</v>
      </c>
      <c r="K223" s="15">
        <v>3.2559999999999998</v>
      </c>
      <c r="L223" s="2">
        <v>13.846</v>
      </c>
      <c r="N223" s="7">
        <f t="shared" si="30"/>
        <v>60.300000000046566</v>
      </c>
      <c r="O223" s="1">
        <v>0</v>
      </c>
      <c r="P223" s="1" t="str">
        <f t="shared" si="31"/>
        <v>60.3000000000466,0</v>
      </c>
      <c r="Q223" s="6" t="s">
        <v>10</v>
      </c>
      <c r="R223" s="1">
        <v>90</v>
      </c>
      <c r="S223" s="1">
        <v>2.5</v>
      </c>
      <c r="T223" s="1" t="str">
        <f t="shared" si="29"/>
        <v>-text 60.3000000000466,0 2.5 90 1147132.5</v>
      </c>
    </row>
    <row r="224" spans="1:20" x14ac:dyDescent="0.35">
      <c r="A224" s="1">
        <v>258580</v>
      </c>
      <c r="B224" s="7">
        <v>1147152.7</v>
      </c>
      <c r="C224" s="2">
        <v>270.08</v>
      </c>
      <c r="D224" s="2">
        <v>271.50799999999998</v>
      </c>
      <c r="E224" s="2">
        <v>1.429</v>
      </c>
      <c r="F224" s="2">
        <v>269.40800000000002</v>
      </c>
      <c r="G224" s="2">
        <v>270.79500000000002</v>
      </c>
      <c r="H224" s="2">
        <v>1.3879999999999999</v>
      </c>
      <c r="I224" s="2">
        <v>267.58</v>
      </c>
      <c r="J224" s="2">
        <v>267.44400000000002</v>
      </c>
      <c r="K224" s="15">
        <v>3.3519999999999999</v>
      </c>
      <c r="L224" s="2">
        <v>14.433</v>
      </c>
      <c r="N224" s="7">
        <f t="shared" si="30"/>
        <v>80.5</v>
      </c>
      <c r="O224" s="1">
        <v>0</v>
      </c>
      <c r="P224" s="1" t="str">
        <f t="shared" si="31"/>
        <v>80.5,0</v>
      </c>
      <c r="Q224" s="6" t="s">
        <v>10</v>
      </c>
      <c r="R224" s="1">
        <v>90</v>
      </c>
      <c r="S224" s="1">
        <v>2.5</v>
      </c>
      <c r="T224" s="1" t="str">
        <f t="shared" si="29"/>
        <v>-text 80.5,0 2.5 90 1147152.7</v>
      </c>
    </row>
    <row r="225" spans="1:20" x14ac:dyDescent="0.35">
      <c r="A225" s="1">
        <v>258600</v>
      </c>
      <c r="B225" s="7">
        <v>1147172.8</v>
      </c>
      <c r="C225" s="2">
        <v>270.01799999999997</v>
      </c>
      <c r="D225" s="2">
        <v>271.589</v>
      </c>
      <c r="E225" s="2">
        <v>1.571</v>
      </c>
      <c r="F225" s="2">
        <v>269.346</v>
      </c>
      <c r="G225" s="2">
        <v>270.87599999999998</v>
      </c>
      <c r="H225" s="2">
        <v>1.53</v>
      </c>
      <c r="I225" s="2">
        <v>267.60700000000003</v>
      </c>
      <c r="J225" s="2">
        <v>267.392</v>
      </c>
      <c r="K225" s="15">
        <v>3.484</v>
      </c>
      <c r="L225" s="2">
        <v>14.967000000000001</v>
      </c>
      <c r="N225" s="7">
        <f t="shared" si="30"/>
        <v>100.60000000009313</v>
      </c>
      <c r="O225" s="1">
        <v>0</v>
      </c>
      <c r="P225" s="1" t="str">
        <f t="shared" si="31"/>
        <v>100.600000000093,0</v>
      </c>
      <c r="Q225" s="6" t="s">
        <v>10</v>
      </c>
      <c r="R225" s="1">
        <v>90</v>
      </c>
      <c r="S225" s="1">
        <v>2.5</v>
      </c>
      <c r="T225" s="1" t="str">
        <f t="shared" si="29"/>
        <v>-text 100.600000000093,0 2.5 90 1147172.8</v>
      </c>
    </row>
    <row r="226" spans="1:20" x14ac:dyDescent="0.35">
      <c r="A226" s="1">
        <v>258620</v>
      </c>
      <c r="B226" s="7">
        <v>1147193</v>
      </c>
      <c r="C226" s="2">
        <v>269.97000000000003</v>
      </c>
      <c r="D226" s="2">
        <v>271.67</v>
      </c>
      <c r="E226" s="2">
        <v>1.7</v>
      </c>
      <c r="F226" s="2">
        <v>269.298</v>
      </c>
      <c r="G226" s="2">
        <v>270.95699999999999</v>
      </c>
      <c r="H226" s="2">
        <v>1.659</v>
      </c>
      <c r="I226" s="2">
        <v>267.5</v>
      </c>
      <c r="J226" s="2">
        <v>267.31</v>
      </c>
      <c r="K226" s="15">
        <v>3.6469999999999998</v>
      </c>
      <c r="L226" s="2">
        <v>15.409000000000001</v>
      </c>
      <c r="N226" s="7">
        <f t="shared" si="30"/>
        <v>120.80000000004657</v>
      </c>
      <c r="O226" s="1">
        <v>0</v>
      </c>
      <c r="P226" s="1" t="str">
        <f t="shared" si="31"/>
        <v>120.800000000047,0</v>
      </c>
      <c r="Q226" s="6" t="s">
        <v>10</v>
      </c>
      <c r="R226" s="1">
        <v>90</v>
      </c>
      <c r="S226" s="1">
        <v>2.5</v>
      </c>
      <c r="T226" s="1" t="str">
        <f t="shared" si="29"/>
        <v>-text 120.800000000047,0 2.5 90 1147193</v>
      </c>
    </row>
    <row r="227" spans="1:20" x14ac:dyDescent="0.35">
      <c r="A227" s="1">
        <v>258640</v>
      </c>
      <c r="B227" s="7">
        <v>1147213</v>
      </c>
      <c r="C227" s="2">
        <v>269.94</v>
      </c>
      <c r="D227" s="2">
        <v>271.75</v>
      </c>
      <c r="E227" s="2">
        <v>1.8109999999999999</v>
      </c>
      <c r="F227" s="2">
        <v>269.26799999999997</v>
      </c>
      <c r="G227" s="2">
        <v>271.03699999999998</v>
      </c>
      <c r="H227" s="2">
        <v>1.77</v>
      </c>
      <c r="I227" s="2">
        <v>267.31</v>
      </c>
      <c r="J227" s="2">
        <v>267.08600000000001</v>
      </c>
      <c r="K227" s="15">
        <v>3.9510000000000001</v>
      </c>
      <c r="L227" s="2">
        <v>15.757</v>
      </c>
      <c r="N227" s="7">
        <f t="shared" si="30"/>
        <v>140.80000000004657</v>
      </c>
      <c r="O227" s="1">
        <v>0</v>
      </c>
      <c r="P227" s="1" t="str">
        <f t="shared" si="31"/>
        <v>140.800000000047,0</v>
      </c>
      <c r="Q227" s="6" t="s">
        <v>10</v>
      </c>
      <c r="R227" s="1">
        <v>90</v>
      </c>
      <c r="S227" s="1">
        <v>2.5</v>
      </c>
      <c r="T227" s="1" t="str">
        <f t="shared" si="29"/>
        <v>-text 140.800000000047,0 2.5 90 1147213</v>
      </c>
    </row>
    <row r="228" spans="1:20" x14ac:dyDescent="0.35">
      <c r="A228" s="1">
        <v>258660</v>
      </c>
      <c r="B228" s="7">
        <v>1147233.2</v>
      </c>
      <c r="C228" s="2">
        <v>269.93099999999998</v>
      </c>
      <c r="D228" s="2">
        <v>271.83100000000002</v>
      </c>
      <c r="E228" s="2">
        <v>1.901</v>
      </c>
      <c r="F228" s="2">
        <v>269.25900000000001</v>
      </c>
      <c r="G228" s="2">
        <v>271.11799999999999</v>
      </c>
      <c r="H228" s="2">
        <v>1.86</v>
      </c>
      <c r="I228" s="2">
        <v>267.26499999999999</v>
      </c>
      <c r="J228" s="2">
        <v>266.93</v>
      </c>
      <c r="K228" s="15">
        <v>4.1890000000000001</v>
      </c>
      <c r="L228" s="2">
        <v>16.178999999999998</v>
      </c>
      <c r="N228" s="7">
        <f t="shared" si="30"/>
        <v>161</v>
      </c>
      <c r="O228" s="1">
        <v>0</v>
      </c>
      <c r="P228" s="1" t="str">
        <f t="shared" si="31"/>
        <v>161,0</v>
      </c>
      <c r="Q228" s="6" t="s">
        <v>10</v>
      </c>
      <c r="R228" s="1">
        <v>90</v>
      </c>
      <c r="S228" s="1">
        <v>2.5</v>
      </c>
      <c r="T228" s="1" t="str">
        <f t="shared" si="29"/>
        <v>-text 161,0 2.5 90 1147233.2</v>
      </c>
    </row>
    <row r="229" spans="1:20" x14ac:dyDescent="0.35">
      <c r="A229" s="1">
        <v>258680</v>
      </c>
      <c r="B229" s="7">
        <v>1147253.2</v>
      </c>
      <c r="C229" s="2">
        <v>269.92200000000003</v>
      </c>
      <c r="D229" s="2">
        <v>271.911</v>
      </c>
      <c r="E229" s="2">
        <v>1.9890000000000001</v>
      </c>
      <c r="F229" s="2">
        <v>269.25</v>
      </c>
      <c r="G229" s="2">
        <v>271.19799999999998</v>
      </c>
      <c r="H229" s="2">
        <v>1.948</v>
      </c>
      <c r="I229" s="2">
        <v>267.20800000000003</v>
      </c>
      <c r="J229" s="2">
        <v>267.09300000000002</v>
      </c>
      <c r="K229" s="15">
        <v>4.1059999999999999</v>
      </c>
      <c r="L229" s="2">
        <v>16.346</v>
      </c>
      <c r="N229" s="7">
        <f t="shared" si="30"/>
        <v>181</v>
      </c>
      <c r="O229" s="1">
        <v>0</v>
      </c>
      <c r="P229" s="1" t="str">
        <f t="shared" si="31"/>
        <v>181,0</v>
      </c>
      <c r="Q229" s="6" t="s">
        <v>10</v>
      </c>
      <c r="R229" s="1">
        <v>90</v>
      </c>
      <c r="S229" s="1">
        <v>2.5</v>
      </c>
      <c r="T229" s="1" t="str">
        <f t="shared" si="29"/>
        <v>-text 181,0 2.5 90 1147253.2</v>
      </c>
    </row>
    <row r="230" spans="1:20" x14ac:dyDescent="0.35">
      <c r="A230" s="1">
        <v>258700</v>
      </c>
      <c r="B230" s="7">
        <v>1147273.3999999999</v>
      </c>
      <c r="C230" s="2">
        <v>269.928</v>
      </c>
      <c r="D230" s="2">
        <v>271.99299999999999</v>
      </c>
      <c r="E230" s="2">
        <v>2.0649999999999999</v>
      </c>
      <c r="F230" s="2">
        <v>269.25599999999997</v>
      </c>
      <c r="G230" s="2">
        <v>271.27999999999997</v>
      </c>
      <c r="H230" s="2">
        <v>2.024</v>
      </c>
      <c r="I230" s="2">
        <v>267.36399999999998</v>
      </c>
      <c r="J230" s="2">
        <v>267.44900000000001</v>
      </c>
      <c r="K230" s="15">
        <v>3.831</v>
      </c>
      <c r="L230" s="2">
        <v>16.675000000000001</v>
      </c>
      <c r="N230" s="7">
        <f t="shared" si="30"/>
        <v>201.19999999995343</v>
      </c>
      <c r="O230" s="1">
        <v>0</v>
      </c>
      <c r="P230" s="1" t="str">
        <f t="shared" si="31"/>
        <v>201.199999999953,0</v>
      </c>
      <c r="Q230" s="6" t="s">
        <v>10</v>
      </c>
      <c r="R230" s="1">
        <v>90</v>
      </c>
      <c r="S230" s="1">
        <v>2.5</v>
      </c>
      <c r="T230" s="1" t="str">
        <f t="shared" si="29"/>
        <v>-text 201.199999999953,0 2.5 90 1147273.4</v>
      </c>
    </row>
    <row r="231" spans="1:20" x14ac:dyDescent="0.35">
      <c r="A231" s="1">
        <v>258720</v>
      </c>
      <c r="B231" s="7">
        <v>1147293.6000000001</v>
      </c>
      <c r="C231" s="2">
        <v>269.93599999999998</v>
      </c>
      <c r="D231" s="2">
        <v>272.07400000000001</v>
      </c>
      <c r="E231" s="2">
        <v>2.1379999999999999</v>
      </c>
      <c r="F231" s="2">
        <v>269.26400000000001</v>
      </c>
      <c r="G231" s="2">
        <v>271.36099999999999</v>
      </c>
      <c r="H231" s="2">
        <v>2.097</v>
      </c>
      <c r="I231" s="2">
        <v>267.71600000000001</v>
      </c>
      <c r="J231" s="2">
        <v>267.803</v>
      </c>
      <c r="K231" s="15">
        <v>3.5579999999999998</v>
      </c>
      <c r="L231" s="2">
        <v>16.692</v>
      </c>
      <c r="N231" s="7">
        <f t="shared" si="30"/>
        <v>221.4000000001397</v>
      </c>
      <c r="O231" s="1">
        <v>0</v>
      </c>
      <c r="P231" s="1" t="str">
        <f t="shared" si="31"/>
        <v>221.40000000014,0</v>
      </c>
      <c r="Q231" s="6" t="s">
        <v>10</v>
      </c>
      <c r="R231" s="1">
        <v>90</v>
      </c>
      <c r="S231" s="1">
        <v>2.5</v>
      </c>
      <c r="T231" s="1" t="str">
        <f t="shared" si="29"/>
        <v>-text 221.40000000014,0 2.5 90 1147293.6</v>
      </c>
    </row>
    <row r="232" spans="1:20" x14ac:dyDescent="0.35">
      <c r="A232" s="1">
        <v>258740</v>
      </c>
      <c r="B232" s="7">
        <v>1147313.7</v>
      </c>
      <c r="C232" s="2">
        <v>269.95</v>
      </c>
      <c r="D232" s="2">
        <v>272.154</v>
      </c>
      <c r="E232" s="2">
        <v>2.2040000000000002</v>
      </c>
      <c r="F232" s="2">
        <v>269.27800000000002</v>
      </c>
      <c r="G232" s="2">
        <v>271.44099999999997</v>
      </c>
      <c r="H232" s="2">
        <v>2.1629999999999998</v>
      </c>
      <c r="I232" s="2">
        <v>269.221</v>
      </c>
      <c r="J232" s="2">
        <v>267.94099999999997</v>
      </c>
      <c r="K232" s="15">
        <v>3.5</v>
      </c>
      <c r="L232" s="2">
        <v>16.751999999999999</v>
      </c>
      <c r="N232" s="7">
        <f t="shared" si="30"/>
        <v>241.5</v>
      </c>
      <c r="O232" s="1">
        <v>0</v>
      </c>
      <c r="P232" s="1" t="str">
        <f t="shared" si="31"/>
        <v>241.5,0</v>
      </c>
      <c r="Q232" s="6" t="s">
        <v>10</v>
      </c>
      <c r="R232" s="1">
        <v>90</v>
      </c>
      <c r="S232" s="1">
        <v>2.5</v>
      </c>
      <c r="T232" s="1" t="str">
        <f t="shared" si="29"/>
        <v>-text 241.5,0 2.5 90 1147313.7</v>
      </c>
    </row>
    <row r="233" spans="1:20" x14ac:dyDescent="0.35">
      <c r="A233" s="1">
        <v>258760</v>
      </c>
      <c r="B233" s="7">
        <v>1147333.8999999999</v>
      </c>
      <c r="C233" s="2">
        <v>269.93099999999998</v>
      </c>
      <c r="D233" s="2">
        <v>272.23500000000001</v>
      </c>
      <c r="E233" s="2">
        <v>2.3039999999999998</v>
      </c>
      <c r="F233" s="2">
        <v>269.25900000000001</v>
      </c>
      <c r="G233" s="2">
        <v>271.52199999999999</v>
      </c>
      <c r="H233" s="2">
        <v>2.2629999999999999</v>
      </c>
      <c r="I233" s="2">
        <v>267.07499999999999</v>
      </c>
      <c r="J233" s="2">
        <v>266.86599999999999</v>
      </c>
      <c r="K233" s="15">
        <v>4.657</v>
      </c>
      <c r="L233" s="2">
        <v>16.756</v>
      </c>
      <c r="N233" s="7">
        <f t="shared" si="30"/>
        <v>261.69999999995343</v>
      </c>
      <c r="O233" s="1">
        <v>0</v>
      </c>
      <c r="P233" s="1" t="str">
        <f t="shared" si="31"/>
        <v>261.699999999953,0</v>
      </c>
      <c r="Q233" s="6" t="s">
        <v>10</v>
      </c>
      <c r="R233" s="1">
        <v>90</v>
      </c>
      <c r="S233" s="1">
        <v>2.5</v>
      </c>
      <c r="T233" s="1" t="str">
        <f t="shared" si="29"/>
        <v>-text 261.699999999953,0 2.5 90 1147333.9</v>
      </c>
    </row>
    <row r="234" spans="1:20" x14ac:dyDescent="0.35">
      <c r="A234" s="1">
        <v>258780</v>
      </c>
      <c r="B234" s="7">
        <v>1147354</v>
      </c>
      <c r="C234" s="2">
        <v>269.94600000000003</v>
      </c>
      <c r="D234" s="2">
        <v>272.31599999999997</v>
      </c>
      <c r="E234" s="2">
        <v>2.37</v>
      </c>
      <c r="F234" s="2">
        <v>269.274</v>
      </c>
      <c r="G234" s="2">
        <v>271.60300000000001</v>
      </c>
      <c r="H234" s="2">
        <v>2.3290000000000002</v>
      </c>
      <c r="I234" s="2">
        <v>267.51900000000001</v>
      </c>
      <c r="J234" s="2">
        <v>267.233</v>
      </c>
      <c r="K234" s="15">
        <v>4.37</v>
      </c>
      <c r="L234" s="2">
        <v>16.661000000000001</v>
      </c>
      <c r="N234" s="7">
        <f t="shared" si="30"/>
        <v>281.80000000004657</v>
      </c>
      <c r="O234" s="1">
        <v>0</v>
      </c>
      <c r="P234" s="1" t="str">
        <f t="shared" si="31"/>
        <v>281.800000000047,0</v>
      </c>
      <c r="Q234" s="6" t="s">
        <v>10</v>
      </c>
      <c r="R234" s="1">
        <v>90</v>
      </c>
      <c r="S234" s="1">
        <v>2.5</v>
      </c>
      <c r="T234" s="1" t="str">
        <f t="shared" si="29"/>
        <v>-text 281.800000000047,0 2.5 90 1147354</v>
      </c>
    </row>
    <row r="235" spans="1:20" x14ac:dyDescent="0.35">
      <c r="A235" s="1">
        <v>258800</v>
      </c>
      <c r="B235" s="7">
        <v>1147374.2</v>
      </c>
      <c r="C235" s="2">
        <v>269.916</v>
      </c>
      <c r="D235" s="2">
        <v>272.39699999999999</v>
      </c>
      <c r="E235" s="2">
        <v>2.4809999999999999</v>
      </c>
      <c r="F235" s="2">
        <v>269.24400000000003</v>
      </c>
      <c r="G235" s="2">
        <v>271.68400000000003</v>
      </c>
      <c r="H235" s="2">
        <v>2.44</v>
      </c>
      <c r="I235" s="2">
        <v>267.51600000000002</v>
      </c>
      <c r="J235" s="2">
        <v>267.37799999999999</v>
      </c>
      <c r="K235" s="15">
        <v>4.306</v>
      </c>
      <c r="L235" s="2">
        <v>16.533999999999999</v>
      </c>
      <c r="N235" s="7">
        <f t="shared" si="30"/>
        <v>302</v>
      </c>
      <c r="O235" s="1">
        <v>0</v>
      </c>
      <c r="P235" s="1" t="str">
        <f t="shared" si="31"/>
        <v>302,0</v>
      </c>
      <c r="Q235" s="6" t="s">
        <v>10</v>
      </c>
      <c r="R235" s="1">
        <v>90</v>
      </c>
      <c r="S235" s="1">
        <v>2.5</v>
      </c>
      <c r="T235" s="1" t="str">
        <f t="shared" si="29"/>
        <v>-text 302,0 2.5 90 1147374.2</v>
      </c>
    </row>
    <row r="236" spans="1:20" x14ac:dyDescent="0.35">
      <c r="A236" s="1">
        <v>258820</v>
      </c>
      <c r="B236" s="7">
        <v>1147394.3</v>
      </c>
      <c r="C236" s="2">
        <v>269.90499999999997</v>
      </c>
      <c r="D236" s="2">
        <v>272.47800000000001</v>
      </c>
      <c r="E236" s="2">
        <v>2.5720000000000001</v>
      </c>
      <c r="F236" s="2">
        <v>269.233</v>
      </c>
      <c r="G236" s="2">
        <v>271.76499999999999</v>
      </c>
      <c r="H236" s="2">
        <v>2.5310000000000001</v>
      </c>
      <c r="I236" s="2">
        <v>267.26299999999998</v>
      </c>
      <c r="J236" s="2">
        <v>267.101</v>
      </c>
      <c r="K236" s="15">
        <v>4.6639999999999997</v>
      </c>
      <c r="L236" s="2">
        <v>16.335999999999999</v>
      </c>
      <c r="N236" s="7">
        <f t="shared" si="30"/>
        <v>322.10000000009313</v>
      </c>
      <c r="O236" s="1">
        <v>0</v>
      </c>
      <c r="P236" s="1" t="str">
        <f t="shared" si="31"/>
        <v>322.100000000093,0</v>
      </c>
      <c r="Q236" s="6" t="s">
        <v>10</v>
      </c>
      <c r="R236" s="1">
        <v>90</v>
      </c>
      <c r="S236" s="1">
        <v>2.5</v>
      </c>
      <c r="T236" s="1" t="str">
        <f t="shared" si="29"/>
        <v>-text 322.100000000093,0 2.5 90 1147394.3</v>
      </c>
    </row>
    <row r="237" spans="1:20" x14ac:dyDescent="0.35">
      <c r="A237" s="1">
        <v>258840</v>
      </c>
      <c r="B237" s="7">
        <v>1147414.5</v>
      </c>
      <c r="C237" s="2">
        <v>269.93400000000003</v>
      </c>
      <c r="D237" s="2">
        <v>272.55900000000003</v>
      </c>
      <c r="E237" s="2">
        <v>2.625</v>
      </c>
      <c r="F237" s="2">
        <v>269.262</v>
      </c>
      <c r="G237" s="2">
        <v>271.846</v>
      </c>
      <c r="H237" s="2">
        <v>2.5840000000000001</v>
      </c>
      <c r="I237" s="2">
        <v>267.13900000000001</v>
      </c>
      <c r="J237" s="2">
        <v>267.33499999999998</v>
      </c>
      <c r="K237" s="15">
        <v>4.5110000000000001</v>
      </c>
      <c r="L237" s="2">
        <v>16.079000000000001</v>
      </c>
      <c r="N237" s="7">
        <f t="shared" si="30"/>
        <v>342.30000000004657</v>
      </c>
      <c r="O237" s="1">
        <v>0</v>
      </c>
      <c r="P237" s="1" t="str">
        <f t="shared" si="31"/>
        <v>342.300000000047,0</v>
      </c>
      <c r="Q237" s="6" t="s">
        <v>10</v>
      </c>
      <c r="R237" s="1">
        <v>90</v>
      </c>
      <c r="S237" s="1">
        <v>2.5</v>
      </c>
      <c r="T237" s="1" t="str">
        <f t="shared" si="29"/>
        <v>-text 342.300000000047,0 2.5 90 1147414.5</v>
      </c>
    </row>
    <row r="238" spans="1:20" x14ac:dyDescent="0.35">
      <c r="A238" s="1">
        <v>258860</v>
      </c>
      <c r="B238" s="7">
        <v>1147434.6000000001</v>
      </c>
      <c r="C238" s="2">
        <v>269.94600000000003</v>
      </c>
      <c r="D238" s="2">
        <v>272.63900000000001</v>
      </c>
      <c r="E238" s="2">
        <v>2.6930000000000001</v>
      </c>
      <c r="F238" s="2">
        <v>269.274</v>
      </c>
      <c r="G238" s="2">
        <v>271.92599999999999</v>
      </c>
      <c r="H238" s="2">
        <v>2.6520000000000001</v>
      </c>
      <c r="I238" s="2">
        <v>267.01100000000002</v>
      </c>
      <c r="J238" s="2">
        <v>266.97399999999999</v>
      </c>
      <c r="K238" s="15">
        <v>4.9530000000000003</v>
      </c>
      <c r="L238" s="2">
        <v>15.773999999999999</v>
      </c>
      <c r="N238" s="7">
        <f t="shared" si="30"/>
        <v>362.4000000001397</v>
      </c>
      <c r="O238" s="1">
        <v>0</v>
      </c>
      <c r="P238" s="1" t="str">
        <f t="shared" si="31"/>
        <v>362.40000000014,0</v>
      </c>
      <c r="Q238" s="6" t="s">
        <v>10</v>
      </c>
      <c r="R238" s="1">
        <v>90</v>
      </c>
      <c r="S238" s="1">
        <v>2.5</v>
      </c>
      <c r="T238" s="1" t="str">
        <f t="shared" si="29"/>
        <v>-text 362.40000000014,0 2.5 90 1147434.6</v>
      </c>
    </row>
    <row r="239" spans="1:20" x14ac:dyDescent="0.35">
      <c r="A239" s="1">
        <v>258880</v>
      </c>
      <c r="B239" s="7">
        <v>1147454.7</v>
      </c>
      <c r="C239" s="2">
        <v>269.97500000000002</v>
      </c>
      <c r="D239" s="2">
        <v>272.72000000000003</v>
      </c>
      <c r="E239" s="2">
        <v>2.7450000000000001</v>
      </c>
      <c r="F239" s="2">
        <v>269.303</v>
      </c>
      <c r="G239" s="2">
        <v>272.00700000000001</v>
      </c>
      <c r="H239" s="2">
        <v>2.7040000000000002</v>
      </c>
      <c r="I239" s="2">
        <v>266.899</v>
      </c>
      <c r="J239" s="2">
        <v>266.81799999999998</v>
      </c>
      <c r="K239" s="15">
        <v>5.1890000000000001</v>
      </c>
      <c r="L239" s="2">
        <v>15.436</v>
      </c>
      <c r="N239" s="7">
        <f t="shared" si="30"/>
        <v>382.5</v>
      </c>
      <c r="O239" s="1">
        <v>0</v>
      </c>
      <c r="P239" s="1" t="str">
        <f t="shared" si="31"/>
        <v>382.5,0</v>
      </c>
      <c r="Q239" s="6" t="s">
        <v>10</v>
      </c>
      <c r="R239" s="1">
        <v>90</v>
      </c>
      <c r="S239" s="1">
        <v>2.5</v>
      </c>
      <c r="T239" s="1" t="str">
        <f t="shared" si="29"/>
        <v>-text 382.5,0 2.5 90 1147454.7</v>
      </c>
    </row>
    <row r="240" spans="1:20" x14ac:dyDescent="0.35">
      <c r="A240" s="1">
        <v>258900</v>
      </c>
      <c r="B240" s="7">
        <v>1147474.8</v>
      </c>
      <c r="C240" s="2">
        <v>270.02</v>
      </c>
      <c r="D240" s="2">
        <v>272.80099999999999</v>
      </c>
      <c r="E240" s="2">
        <v>2.7810000000000001</v>
      </c>
      <c r="F240" s="2">
        <v>269.34800000000001</v>
      </c>
      <c r="G240" s="2">
        <v>272.08800000000002</v>
      </c>
      <c r="H240" s="2">
        <v>2.74</v>
      </c>
      <c r="I240" s="2">
        <v>266.779</v>
      </c>
      <c r="J240" s="2">
        <v>266.649</v>
      </c>
      <c r="K240" s="15">
        <v>5.4390000000000001</v>
      </c>
      <c r="L240" s="2">
        <v>15.097</v>
      </c>
      <c r="N240" s="7">
        <f t="shared" si="30"/>
        <v>402.60000000009313</v>
      </c>
      <c r="O240" s="1">
        <v>0</v>
      </c>
      <c r="P240" s="1" t="str">
        <f t="shared" si="31"/>
        <v>402.600000000093,0</v>
      </c>
      <c r="Q240" s="6" t="s">
        <v>10</v>
      </c>
      <c r="R240" s="1">
        <v>90</v>
      </c>
      <c r="S240" s="1">
        <v>2.5</v>
      </c>
      <c r="T240" s="1" t="str">
        <f t="shared" si="29"/>
        <v>-text 402.600000000093,0 2.5 90 1147474.8</v>
      </c>
    </row>
    <row r="241" spans="1:20" x14ac:dyDescent="0.35">
      <c r="A241" s="1">
        <v>258920</v>
      </c>
      <c r="B241" s="7">
        <v>1147494.8999999999</v>
      </c>
      <c r="C241" s="2">
        <v>270.05</v>
      </c>
      <c r="D241" s="2">
        <v>272.88099999999997</v>
      </c>
      <c r="E241" s="2">
        <v>2.831</v>
      </c>
      <c r="F241" s="2">
        <v>269.37799999999999</v>
      </c>
      <c r="G241" s="2">
        <v>272.16800000000001</v>
      </c>
      <c r="H241" s="2">
        <v>2.79</v>
      </c>
      <c r="I241" s="2">
        <v>266.67500000000001</v>
      </c>
      <c r="J241" s="2">
        <v>266.65600000000001</v>
      </c>
      <c r="K241" s="15">
        <v>5.5129999999999999</v>
      </c>
      <c r="L241" s="2">
        <v>14.782</v>
      </c>
      <c r="N241" s="7">
        <f t="shared" si="30"/>
        <v>422.69999999995343</v>
      </c>
      <c r="O241" s="1">
        <v>0</v>
      </c>
      <c r="P241" s="1" t="str">
        <f t="shared" si="31"/>
        <v>422.699999999953,0</v>
      </c>
      <c r="Q241" s="6" t="s">
        <v>10</v>
      </c>
      <c r="R241" s="1">
        <v>90</v>
      </c>
      <c r="S241" s="1">
        <v>2.5</v>
      </c>
      <c r="T241" s="1" t="str">
        <f t="shared" si="29"/>
        <v>-text 422.699999999953,0 2.5 90 1147494.9</v>
      </c>
    </row>
    <row r="242" spans="1:20" x14ac:dyDescent="0.35">
      <c r="A242" s="1">
        <v>258940</v>
      </c>
      <c r="B242" s="7">
        <v>1147514.8999999999</v>
      </c>
      <c r="C242" s="2">
        <v>270.04199999999997</v>
      </c>
      <c r="D242" s="2">
        <v>272.96199999999999</v>
      </c>
      <c r="E242" s="2">
        <v>2.92</v>
      </c>
      <c r="F242" s="2">
        <v>269.37</v>
      </c>
      <c r="G242" s="2">
        <v>272.24900000000002</v>
      </c>
      <c r="H242" s="2">
        <v>2.879</v>
      </c>
      <c r="I242" s="2">
        <v>266.84100000000001</v>
      </c>
      <c r="J242" s="2">
        <v>266.68</v>
      </c>
      <c r="K242" s="15">
        <v>5.569</v>
      </c>
      <c r="L242" s="2">
        <v>14.542999999999999</v>
      </c>
      <c r="N242" s="7">
        <f t="shared" si="30"/>
        <v>442.69999999995343</v>
      </c>
      <c r="O242" s="1">
        <v>0</v>
      </c>
      <c r="P242" s="1" t="str">
        <f t="shared" si="31"/>
        <v>442.699999999953,0</v>
      </c>
      <c r="Q242" s="6" t="s">
        <v>10</v>
      </c>
      <c r="R242" s="1">
        <v>90</v>
      </c>
      <c r="S242" s="1">
        <v>2.5</v>
      </c>
      <c r="T242" s="1" t="str">
        <f t="shared" si="29"/>
        <v>-text 442.699999999953,0 2.5 90 1147514.9</v>
      </c>
    </row>
    <row r="243" spans="1:20" x14ac:dyDescent="0.35">
      <c r="A243" s="1">
        <v>258960</v>
      </c>
      <c r="B243" s="7">
        <v>1147534.8999999999</v>
      </c>
      <c r="C243" s="2">
        <v>270.02699999999999</v>
      </c>
      <c r="D243" s="2">
        <v>273.04199999999997</v>
      </c>
      <c r="E243" s="2">
        <v>3.0150000000000001</v>
      </c>
      <c r="F243" s="2">
        <v>269.35500000000002</v>
      </c>
      <c r="G243" s="2">
        <v>272.32900000000001</v>
      </c>
      <c r="H243" s="2">
        <v>2.9740000000000002</v>
      </c>
      <c r="I243" s="2">
        <v>266.65100000000001</v>
      </c>
      <c r="J243" s="2">
        <v>266.59100000000001</v>
      </c>
      <c r="K243" s="15">
        <v>5.7380000000000004</v>
      </c>
      <c r="L243" s="2">
        <v>14.342000000000001</v>
      </c>
      <c r="N243" s="7">
        <f t="shared" si="30"/>
        <v>462.69999999995343</v>
      </c>
      <c r="O243" s="1">
        <v>0</v>
      </c>
      <c r="P243" s="1" t="str">
        <f t="shared" si="31"/>
        <v>462.699999999953,0</v>
      </c>
      <c r="Q243" s="6" t="s">
        <v>10</v>
      </c>
      <c r="R243" s="1">
        <v>90</v>
      </c>
      <c r="S243" s="1">
        <v>2.5</v>
      </c>
      <c r="T243" s="1" t="str">
        <f t="shared" si="29"/>
        <v>-text 462.699999999953,0 2.5 90 1147534.9</v>
      </c>
    </row>
    <row r="244" spans="1:20" x14ac:dyDescent="0.35">
      <c r="A244" s="1">
        <v>258975.33286550001</v>
      </c>
      <c r="B244" s="7">
        <v>1147550.3</v>
      </c>
      <c r="C244" s="2">
        <v>270.012</v>
      </c>
      <c r="D244" s="2">
        <v>273.10300000000001</v>
      </c>
      <c r="E244" s="2">
        <v>3.0910000000000002</v>
      </c>
      <c r="F244" s="2">
        <v>269.33999999999997</v>
      </c>
      <c r="G244" s="2">
        <v>272.39</v>
      </c>
      <c r="H244" s="2">
        <v>3.05</v>
      </c>
      <c r="I244" s="2">
        <v>266.39</v>
      </c>
      <c r="J244" s="2">
        <v>266.21899999999999</v>
      </c>
      <c r="K244" s="15">
        <v>6.1719999999999997</v>
      </c>
      <c r="L244" s="2">
        <v>14.193</v>
      </c>
      <c r="N244" s="7">
        <f t="shared" si="30"/>
        <v>478.10000000009313</v>
      </c>
      <c r="O244" s="1">
        <v>0</v>
      </c>
      <c r="P244" s="1" t="str">
        <f t="shared" si="31"/>
        <v>478.100000000093,0</v>
      </c>
      <c r="Q244" s="6" t="s">
        <v>10</v>
      </c>
      <c r="R244" s="1">
        <v>90</v>
      </c>
      <c r="S244" s="1">
        <v>2.5</v>
      </c>
      <c r="T244" s="1" t="str">
        <f t="shared" si="29"/>
        <v>-text 478.100000000093,0 2.5 90 1147550.3</v>
      </c>
    </row>
    <row r="245" spans="1:20" s="10" customFormat="1" x14ac:dyDescent="0.35">
      <c r="B245" s="11"/>
      <c r="C245" s="9"/>
      <c r="D245" s="9"/>
      <c r="E245" s="9"/>
      <c r="F245" s="9"/>
      <c r="G245" s="9"/>
      <c r="H245" s="9"/>
      <c r="I245" s="9"/>
      <c r="J245" s="9"/>
      <c r="K245" s="16"/>
      <c r="L245" s="9"/>
      <c r="M245" s="9"/>
    </row>
    <row r="246" spans="1:20" x14ac:dyDescent="0.35">
      <c r="A246" s="1">
        <v>259000</v>
      </c>
      <c r="B246" s="7">
        <v>1147550.3</v>
      </c>
      <c r="C246" s="2">
        <v>270.012</v>
      </c>
      <c r="D246" s="2">
        <v>273.10300000000001</v>
      </c>
      <c r="E246" s="2">
        <v>3.0910000000000002</v>
      </c>
      <c r="F246" s="2">
        <v>269.33999999999997</v>
      </c>
      <c r="G246" s="2">
        <v>272.39</v>
      </c>
      <c r="H246" s="2">
        <v>3.05</v>
      </c>
      <c r="I246" s="2">
        <v>266.39</v>
      </c>
      <c r="J246" s="2">
        <v>266.21899999999999</v>
      </c>
      <c r="K246" s="15">
        <v>6.1719999999999997</v>
      </c>
      <c r="L246" s="2">
        <v>14.029</v>
      </c>
      <c r="N246" s="7">
        <v>0</v>
      </c>
      <c r="O246" s="1">
        <f t="shared" ref="O246:O266" si="32">19+16+16+16+16+16+16+16+16+16</f>
        <v>163</v>
      </c>
      <c r="P246" s="1" t="str">
        <f t="shared" ref="P246:P247" si="33">CONCATENATE(N246,",",O246)</f>
        <v>0,163</v>
      </c>
      <c r="Q246" s="6" t="s">
        <v>10</v>
      </c>
      <c r="R246" s="1">
        <v>90</v>
      </c>
      <c r="S246" s="1">
        <v>2.5</v>
      </c>
      <c r="T246" s="1" t="str">
        <f t="shared" ref="T246:T265" si="34">$Q246&amp;" "&amp;$P246&amp;" "&amp;$S246&amp;" "&amp;$R246&amp;" "&amp;$L246</f>
        <v>-text 0,163 2.5 90 14.029</v>
      </c>
    </row>
    <row r="247" spans="1:20" x14ac:dyDescent="0.35">
      <c r="A247" s="1">
        <v>259020</v>
      </c>
      <c r="B247" s="7">
        <v>1147570.3</v>
      </c>
      <c r="C247" s="2">
        <v>269.99</v>
      </c>
      <c r="D247" s="2">
        <v>273.18400000000003</v>
      </c>
      <c r="E247" s="2">
        <v>3.194</v>
      </c>
      <c r="F247" s="2">
        <v>269.31799999999998</v>
      </c>
      <c r="G247" s="2">
        <v>272.471</v>
      </c>
      <c r="H247" s="2">
        <v>3.153</v>
      </c>
      <c r="I247" s="2">
        <v>266.42099999999999</v>
      </c>
      <c r="J247" s="2">
        <v>265.79199999999997</v>
      </c>
      <c r="K247" s="15">
        <v>6.6790000000000003</v>
      </c>
      <c r="L247" s="2">
        <v>14.029</v>
      </c>
      <c r="N247" s="7">
        <f t="shared" ref="N247:N271" si="35">N246+(B247-B246)</f>
        <v>20</v>
      </c>
      <c r="O247" s="1">
        <f t="shared" si="32"/>
        <v>163</v>
      </c>
      <c r="P247" s="1" t="str">
        <f t="shared" si="33"/>
        <v>20,163</v>
      </c>
      <c r="Q247" s="6" t="s">
        <v>10</v>
      </c>
      <c r="R247" s="1">
        <v>90</v>
      </c>
      <c r="S247" s="1">
        <v>2.5</v>
      </c>
      <c r="T247" s="1" t="str">
        <f t="shared" si="34"/>
        <v>-text 20,163 2.5 90 14.029</v>
      </c>
    </row>
    <row r="248" spans="1:20" x14ac:dyDescent="0.35">
      <c r="A248" s="1">
        <v>259040</v>
      </c>
      <c r="B248" s="7">
        <v>1147590.3</v>
      </c>
      <c r="C248" s="2">
        <v>269.98</v>
      </c>
      <c r="D248" s="2">
        <v>273.26400000000001</v>
      </c>
      <c r="E248" s="2">
        <v>3.2839999999999998</v>
      </c>
      <c r="F248" s="2">
        <v>269.30799999999999</v>
      </c>
      <c r="G248" s="2">
        <v>272.55099999999999</v>
      </c>
      <c r="H248" s="2">
        <v>3.2429999999999999</v>
      </c>
      <c r="I248" s="2">
        <v>266.51499999999999</v>
      </c>
      <c r="J248" s="2">
        <v>265.90300000000002</v>
      </c>
      <c r="K248" s="15">
        <v>6.6479999999999997</v>
      </c>
      <c r="L248" s="2">
        <v>13.867000000000001</v>
      </c>
      <c r="N248" s="7">
        <f t="shared" si="35"/>
        <v>40</v>
      </c>
      <c r="O248" s="1">
        <f t="shared" si="32"/>
        <v>163</v>
      </c>
      <c r="P248" s="1" t="str">
        <f t="shared" ref="P248:P271" si="36">CONCATENATE(N248,",",O248)</f>
        <v>40,163</v>
      </c>
      <c r="Q248" s="6" t="s">
        <v>10</v>
      </c>
      <c r="R248" s="1">
        <v>90</v>
      </c>
      <c r="S248" s="1">
        <v>2.5</v>
      </c>
      <c r="T248" s="1" t="str">
        <f t="shared" si="34"/>
        <v>-text 40,163 2.5 90 13.867</v>
      </c>
    </row>
    <row r="249" spans="1:20" x14ac:dyDescent="0.35">
      <c r="A249" s="1">
        <v>259060</v>
      </c>
      <c r="B249" s="7">
        <v>1147610.3</v>
      </c>
      <c r="C249" s="2">
        <v>269.97800000000001</v>
      </c>
      <c r="D249" s="2">
        <v>273.34399999999999</v>
      </c>
      <c r="E249" s="2">
        <v>3.3660000000000001</v>
      </c>
      <c r="F249" s="2">
        <v>269.30599999999998</v>
      </c>
      <c r="G249" s="2">
        <v>272.63099999999997</v>
      </c>
      <c r="H249" s="2">
        <v>3.3250000000000002</v>
      </c>
      <c r="I249" s="2">
        <v>266.60700000000003</v>
      </c>
      <c r="J249" s="2">
        <v>265.73200000000003</v>
      </c>
      <c r="K249" s="15">
        <v>6.899</v>
      </c>
      <c r="L249" s="2">
        <v>13.724</v>
      </c>
      <c r="N249" s="7">
        <f t="shared" si="35"/>
        <v>60</v>
      </c>
      <c r="O249" s="1">
        <f t="shared" si="32"/>
        <v>163</v>
      </c>
      <c r="P249" s="1" t="str">
        <f t="shared" si="36"/>
        <v>60,163</v>
      </c>
      <c r="Q249" s="6" t="s">
        <v>10</v>
      </c>
      <c r="R249" s="1">
        <v>90</v>
      </c>
      <c r="S249" s="1">
        <v>2.5</v>
      </c>
      <c r="T249" s="1" t="str">
        <f t="shared" si="34"/>
        <v>-text 60,163 2.5 90 13.724</v>
      </c>
    </row>
    <row r="250" spans="1:20" x14ac:dyDescent="0.35">
      <c r="A250" s="1">
        <v>259080</v>
      </c>
      <c r="B250" s="7">
        <v>1147630.3</v>
      </c>
      <c r="C250" s="2">
        <v>269.97000000000003</v>
      </c>
      <c r="D250" s="2">
        <v>273.42500000000001</v>
      </c>
      <c r="E250" s="2">
        <v>3.4550000000000001</v>
      </c>
      <c r="F250" s="2">
        <v>269.298</v>
      </c>
      <c r="G250" s="2">
        <v>272.71199999999999</v>
      </c>
      <c r="H250" s="2">
        <v>3.4140000000000001</v>
      </c>
      <c r="I250" s="2">
        <v>266.72199999999998</v>
      </c>
      <c r="J250" s="2">
        <v>266.13499999999999</v>
      </c>
      <c r="K250" s="15">
        <v>6.577</v>
      </c>
      <c r="L250" s="2">
        <v>13.561999999999999</v>
      </c>
      <c r="N250" s="7">
        <f t="shared" si="35"/>
        <v>80</v>
      </c>
      <c r="O250" s="1">
        <f t="shared" si="32"/>
        <v>163</v>
      </c>
      <c r="P250" s="1" t="str">
        <f t="shared" si="36"/>
        <v>80,163</v>
      </c>
      <c r="Q250" s="6" t="s">
        <v>10</v>
      </c>
      <c r="R250" s="1">
        <v>90</v>
      </c>
      <c r="S250" s="1">
        <v>2.5</v>
      </c>
      <c r="T250" s="1" t="str">
        <f t="shared" si="34"/>
        <v>-text 80,163 2.5 90 13.562</v>
      </c>
    </row>
    <row r="251" spans="1:20" x14ac:dyDescent="0.35">
      <c r="A251" s="1">
        <v>259100</v>
      </c>
      <c r="B251" s="7">
        <v>1147650.3</v>
      </c>
      <c r="C251" s="2">
        <v>269.94799999999998</v>
      </c>
      <c r="D251" s="2">
        <v>273.505</v>
      </c>
      <c r="E251" s="2">
        <v>3.5569999999999999</v>
      </c>
      <c r="F251" s="2">
        <v>269.27600000000001</v>
      </c>
      <c r="G251" s="2">
        <v>272.79199999999997</v>
      </c>
      <c r="H251" s="2">
        <v>3.516</v>
      </c>
      <c r="I251" s="2">
        <v>266.84500000000003</v>
      </c>
      <c r="J251" s="2">
        <v>266.06700000000001</v>
      </c>
      <c r="K251" s="15">
        <v>6.7249999999999996</v>
      </c>
      <c r="L251" s="2">
        <v>13.416</v>
      </c>
      <c r="N251" s="7">
        <f t="shared" si="35"/>
        <v>100</v>
      </c>
      <c r="O251" s="1">
        <f t="shared" si="32"/>
        <v>163</v>
      </c>
      <c r="P251" s="1" t="str">
        <f t="shared" si="36"/>
        <v>100,163</v>
      </c>
      <c r="Q251" s="6" t="s">
        <v>10</v>
      </c>
      <c r="R251" s="1">
        <v>90</v>
      </c>
      <c r="S251" s="1">
        <v>2.5</v>
      </c>
      <c r="T251" s="1" t="str">
        <f t="shared" si="34"/>
        <v>-text 100,163 2.5 90 13.416</v>
      </c>
    </row>
    <row r="252" spans="1:20" x14ac:dyDescent="0.35">
      <c r="A252" s="1">
        <v>259120</v>
      </c>
      <c r="B252" s="7">
        <v>1147670.3</v>
      </c>
      <c r="C252" s="2">
        <v>269.935</v>
      </c>
      <c r="D252" s="2">
        <v>273.58499999999998</v>
      </c>
      <c r="E252" s="2">
        <v>3.65</v>
      </c>
      <c r="F252" s="2">
        <v>269.26299999999998</v>
      </c>
      <c r="G252" s="2">
        <v>272.87200000000001</v>
      </c>
      <c r="H252" s="2">
        <v>3.609</v>
      </c>
      <c r="I252" s="2">
        <v>266.86099999999999</v>
      </c>
      <c r="J252" s="2">
        <v>266.05399999999997</v>
      </c>
      <c r="K252" s="15">
        <v>6.819</v>
      </c>
      <c r="L252" s="2">
        <v>13.282999999999999</v>
      </c>
      <c r="N252" s="7">
        <f t="shared" si="35"/>
        <v>120</v>
      </c>
      <c r="O252" s="1">
        <f t="shared" si="32"/>
        <v>163</v>
      </c>
      <c r="P252" s="1" t="str">
        <f t="shared" si="36"/>
        <v>120,163</v>
      </c>
      <c r="Q252" s="6" t="s">
        <v>10</v>
      </c>
      <c r="R252" s="1">
        <v>90</v>
      </c>
      <c r="S252" s="1">
        <v>2.5</v>
      </c>
      <c r="T252" s="1" t="str">
        <f t="shared" si="34"/>
        <v>-text 120,163 2.5 90 13.283</v>
      </c>
    </row>
    <row r="253" spans="1:20" x14ac:dyDescent="0.35">
      <c r="A253" s="1">
        <v>259140</v>
      </c>
      <c r="B253" s="7">
        <v>1147690.3</v>
      </c>
      <c r="C253" s="2">
        <v>269.935</v>
      </c>
      <c r="D253" s="2">
        <v>273.66500000000002</v>
      </c>
      <c r="E253" s="2">
        <v>3.73</v>
      </c>
      <c r="F253" s="2">
        <v>269.26299999999998</v>
      </c>
      <c r="G253" s="2">
        <v>272.952</v>
      </c>
      <c r="H253" s="2">
        <v>3.6890000000000001</v>
      </c>
      <c r="I253" s="2">
        <v>266.54300000000001</v>
      </c>
      <c r="J253" s="2">
        <v>266.101</v>
      </c>
      <c r="K253" s="15">
        <v>6.8520000000000003</v>
      </c>
      <c r="L253" s="2">
        <v>13.157999999999999</v>
      </c>
      <c r="N253" s="7">
        <f t="shared" si="35"/>
        <v>140</v>
      </c>
      <c r="O253" s="1">
        <f t="shared" si="32"/>
        <v>163</v>
      </c>
      <c r="P253" s="1" t="str">
        <f t="shared" si="36"/>
        <v>140,163</v>
      </c>
      <c r="Q253" s="6" t="s">
        <v>10</v>
      </c>
      <c r="R253" s="1">
        <v>90</v>
      </c>
      <c r="S253" s="1">
        <v>2.5</v>
      </c>
      <c r="T253" s="1" t="str">
        <f t="shared" si="34"/>
        <v>-text 140,163 2.5 90 13.158</v>
      </c>
    </row>
    <row r="254" spans="1:20" x14ac:dyDescent="0.35">
      <c r="A254" s="1">
        <v>259160</v>
      </c>
      <c r="B254" s="7">
        <v>1147710.3</v>
      </c>
      <c r="C254" s="2">
        <v>269.95499999999998</v>
      </c>
      <c r="D254" s="2">
        <v>273.74599999999998</v>
      </c>
      <c r="E254" s="2">
        <v>3.7909999999999999</v>
      </c>
      <c r="F254" s="2">
        <v>269.28300000000002</v>
      </c>
      <c r="G254" s="2">
        <v>273.03300000000002</v>
      </c>
      <c r="H254" s="2">
        <v>3.75</v>
      </c>
      <c r="I254" s="2">
        <v>266.60700000000003</v>
      </c>
      <c r="J254" s="2">
        <v>266.29300000000001</v>
      </c>
      <c r="K254" s="15">
        <v>6.74</v>
      </c>
      <c r="L254" s="2">
        <v>12.999000000000001</v>
      </c>
      <c r="N254" s="7">
        <f t="shared" si="35"/>
        <v>160</v>
      </c>
      <c r="O254" s="1">
        <f t="shared" si="32"/>
        <v>163</v>
      </c>
      <c r="P254" s="1" t="str">
        <f t="shared" si="36"/>
        <v>160,163</v>
      </c>
      <c r="Q254" s="6" t="s">
        <v>10</v>
      </c>
      <c r="R254" s="1">
        <v>90</v>
      </c>
      <c r="S254" s="1">
        <v>2.5</v>
      </c>
      <c r="T254" s="1" t="str">
        <f t="shared" si="34"/>
        <v>-text 160,163 2.5 90 12.999</v>
      </c>
    </row>
    <row r="255" spans="1:20" x14ac:dyDescent="0.35">
      <c r="A255" s="1">
        <v>259180</v>
      </c>
      <c r="B255" s="7">
        <v>1147730.3</v>
      </c>
      <c r="C255" s="2">
        <v>269.952</v>
      </c>
      <c r="D255" s="2">
        <v>273.82600000000002</v>
      </c>
      <c r="E255" s="2">
        <v>3.8740000000000001</v>
      </c>
      <c r="F255" s="2">
        <v>269.27999999999997</v>
      </c>
      <c r="G255" s="2">
        <v>273.113</v>
      </c>
      <c r="H255" s="2">
        <v>3.8330000000000002</v>
      </c>
      <c r="I255" s="2">
        <v>266.86</v>
      </c>
      <c r="J255" s="2">
        <v>266.28500000000003</v>
      </c>
      <c r="K255" s="15">
        <v>6.8280000000000003</v>
      </c>
      <c r="L255" s="2">
        <v>12.845000000000001</v>
      </c>
      <c r="N255" s="7">
        <f t="shared" si="35"/>
        <v>180</v>
      </c>
      <c r="O255" s="1">
        <f t="shared" si="32"/>
        <v>163</v>
      </c>
      <c r="P255" s="1" t="str">
        <f t="shared" si="36"/>
        <v>180,163</v>
      </c>
      <c r="Q255" s="6" t="s">
        <v>10</v>
      </c>
      <c r="R255" s="1">
        <v>90</v>
      </c>
      <c r="S255" s="1">
        <v>2.5</v>
      </c>
      <c r="T255" s="1" t="str">
        <f t="shared" si="34"/>
        <v>-text 180,163 2.5 90 12.845</v>
      </c>
    </row>
    <row r="256" spans="1:20" x14ac:dyDescent="0.35">
      <c r="A256" s="1">
        <v>259200</v>
      </c>
      <c r="B256" s="7">
        <v>1147750.3</v>
      </c>
      <c r="C256" s="2">
        <v>269.90899999999999</v>
      </c>
      <c r="D256" s="2">
        <v>273.90600000000001</v>
      </c>
      <c r="E256" s="2">
        <v>3.9969999999999999</v>
      </c>
      <c r="F256" s="2">
        <v>269.23700000000002</v>
      </c>
      <c r="G256" s="2">
        <v>273.19299999999998</v>
      </c>
      <c r="H256" s="2">
        <v>3.956</v>
      </c>
      <c r="I256" s="2">
        <v>267.25700000000001</v>
      </c>
      <c r="J256" s="2">
        <v>266.34699999999998</v>
      </c>
      <c r="K256" s="15">
        <v>6.8460000000000001</v>
      </c>
      <c r="L256" s="2">
        <v>12.664999999999999</v>
      </c>
      <c r="N256" s="7">
        <f t="shared" si="35"/>
        <v>200</v>
      </c>
      <c r="O256" s="1">
        <f t="shared" si="32"/>
        <v>163</v>
      </c>
      <c r="P256" s="1" t="str">
        <f t="shared" si="36"/>
        <v>200,163</v>
      </c>
      <c r="Q256" s="6" t="s">
        <v>10</v>
      </c>
      <c r="R256" s="1">
        <v>90</v>
      </c>
      <c r="S256" s="1">
        <v>2.5</v>
      </c>
      <c r="T256" s="1" t="str">
        <f t="shared" si="34"/>
        <v>-text 200,163 2.5 90 12.665</v>
      </c>
    </row>
    <row r="257" spans="1:20" x14ac:dyDescent="0.35">
      <c r="A257" s="1">
        <v>259220</v>
      </c>
      <c r="B257" s="7">
        <v>1147770.3</v>
      </c>
      <c r="C257" s="2">
        <v>269.87599999999998</v>
      </c>
      <c r="D257" s="2">
        <v>273.98599999999999</v>
      </c>
      <c r="E257" s="2">
        <v>4.1100000000000003</v>
      </c>
      <c r="F257" s="2">
        <v>269.20400000000001</v>
      </c>
      <c r="G257" s="2">
        <v>273.27300000000002</v>
      </c>
      <c r="H257" s="2">
        <v>4.069</v>
      </c>
      <c r="I257" s="2">
        <v>267.26799999999997</v>
      </c>
      <c r="J257" s="2">
        <v>266.34899999999999</v>
      </c>
      <c r="K257" s="15">
        <v>6.9249999999999998</v>
      </c>
      <c r="L257" s="2">
        <v>12.488</v>
      </c>
      <c r="N257" s="7">
        <f t="shared" si="35"/>
        <v>220</v>
      </c>
      <c r="O257" s="1">
        <f t="shared" si="32"/>
        <v>163</v>
      </c>
      <c r="P257" s="1" t="str">
        <f t="shared" si="36"/>
        <v>220,163</v>
      </c>
      <c r="Q257" s="6" t="s">
        <v>10</v>
      </c>
      <c r="R257" s="1">
        <v>90</v>
      </c>
      <c r="S257" s="1">
        <v>2.5</v>
      </c>
      <c r="T257" s="1" t="str">
        <f t="shared" si="34"/>
        <v>-text 220,163 2.5 90 12.488</v>
      </c>
    </row>
    <row r="258" spans="1:20" x14ac:dyDescent="0.35">
      <c r="A258" s="1">
        <v>259240</v>
      </c>
      <c r="B258" s="7">
        <v>1147790.3</v>
      </c>
      <c r="C258" s="2">
        <v>269.84699999999998</v>
      </c>
      <c r="D258" s="2">
        <v>274.06700000000001</v>
      </c>
      <c r="E258" s="2">
        <v>4.22</v>
      </c>
      <c r="F258" s="2">
        <v>269.17500000000001</v>
      </c>
      <c r="G258" s="2">
        <v>273.35399999999998</v>
      </c>
      <c r="H258" s="2">
        <v>4.1790000000000003</v>
      </c>
      <c r="I258" s="2">
        <v>267.22899999999998</v>
      </c>
      <c r="J258" s="2">
        <v>266.97800000000001</v>
      </c>
      <c r="K258" s="15">
        <v>6.3760000000000003</v>
      </c>
      <c r="L258" s="2">
        <v>12.352</v>
      </c>
      <c r="N258" s="7">
        <f t="shared" si="35"/>
        <v>240</v>
      </c>
      <c r="O258" s="1">
        <f t="shared" si="32"/>
        <v>163</v>
      </c>
      <c r="P258" s="1" t="str">
        <f t="shared" si="36"/>
        <v>240,163</v>
      </c>
      <c r="Q258" s="6" t="s">
        <v>10</v>
      </c>
      <c r="R258" s="1">
        <v>90</v>
      </c>
      <c r="S258" s="1">
        <v>2.5</v>
      </c>
      <c r="T258" s="1" t="str">
        <f t="shared" si="34"/>
        <v>-text 240,163 2.5 90 12.352</v>
      </c>
    </row>
    <row r="259" spans="1:20" x14ac:dyDescent="0.35">
      <c r="A259" s="1">
        <v>259260</v>
      </c>
      <c r="B259" s="7">
        <v>1147810.3</v>
      </c>
      <c r="C259" s="2">
        <v>269.80700000000002</v>
      </c>
      <c r="D259" s="2">
        <v>274.14699999999999</v>
      </c>
      <c r="E259" s="2">
        <v>4.3390000000000004</v>
      </c>
      <c r="F259" s="2">
        <v>269.13499999999999</v>
      </c>
      <c r="G259" s="2">
        <v>273.43400000000003</v>
      </c>
      <c r="H259" s="2">
        <v>4.298</v>
      </c>
      <c r="I259" s="2">
        <v>267.2</v>
      </c>
      <c r="J259" s="2">
        <v>268.28699999999998</v>
      </c>
      <c r="K259" s="15">
        <v>5.1470000000000002</v>
      </c>
      <c r="L259" s="2">
        <v>12.244999999999999</v>
      </c>
      <c r="N259" s="7">
        <f t="shared" si="35"/>
        <v>260</v>
      </c>
      <c r="O259" s="1">
        <f t="shared" si="32"/>
        <v>163</v>
      </c>
      <c r="P259" s="1" t="str">
        <f t="shared" si="36"/>
        <v>260,163</v>
      </c>
      <c r="Q259" s="6" t="s">
        <v>10</v>
      </c>
      <c r="R259" s="1">
        <v>90</v>
      </c>
      <c r="S259" s="1">
        <v>2.5</v>
      </c>
      <c r="T259" s="1" t="str">
        <f t="shared" si="34"/>
        <v>-text 260,163 2.5 90 12.245</v>
      </c>
    </row>
    <row r="260" spans="1:20" x14ac:dyDescent="0.35">
      <c r="A260" s="1">
        <v>259280</v>
      </c>
      <c r="B260" s="7">
        <v>1147830.3</v>
      </c>
      <c r="C260" s="2">
        <v>269.77699999999999</v>
      </c>
      <c r="D260" s="2">
        <v>274.22699999999998</v>
      </c>
      <c r="E260" s="2">
        <v>4.45</v>
      </c>
      <c r="F260" s="2">
        <v>269.10500000000002</v>
      </c>
      <c r="G260" s="2">
        <v>273.51400000000001</v>
      </c>
      <c r="H260" s="2">
        <v>4.4089999999999998</v>
      </c>
      <c r="I260" s="2">
        <v>267.20800000000003</v>
      </c>
      <c r="J260" s="2">
        <v>267.97500000000002</v>
      </c>
      <c r="K260" s="15">
        <v>5.5389999999999997</v>
      </c>
      <c r="L260" s="2">
        <v>12.044</v>
      </c>
      <c r="N260" s="7">
        <f t="shared" si="35"/>
        <v>280</v>
      </c>
      <c r="O260" s="1">
        <f t="shared" si="32"/>
        <v>163</v>
      </c>
      <c r="P260" s="1" t="str">
        <f t="shared" si="36"/>
        <v>280,163</v>
      </c>
      <c r="Q260" s="6" t="s">
        <v>10</v>
      </c>
      <c r="R260" s="1">
        <v>90</v>
      </c>
      <c r="S260" s="1">
        <v>2.5</v>
      </c>
      <c r="T260" s="1" t="str">
        <f t="shared" si="34"/>
        <v>-text 280,163 2.5 90 12.044</v>
      </c>
    </row>
    <row r="261" spans="1:20" x14ac:dyDescent="0.35">
      <c r="A261" s="1">
        <v>259300</v>
      </c>
      <c r="B261" s="7">
        <v>1147850.3</v>
      </c>
      <c r="C261" s="2">
        <v>269.77300000000002</v>
      </c>
      <c r="D261" s="2">
        <v>274.30700000000002</v>
      </c>
      <c r="E261" s="2">
        <v>4.5339999999999998</v>
      </c>
      <c r="F261" s="2">
        <v>269.101</v>
      </c>
      <c r="G261" s="2">
        <v>273.59399999999999</v>
      </c>
      <c r="H261" s="2">
        <v>4.4930000000000003</v>
      </c>
      <c r="I261" s="2">
        <v>267.32600000000002</v>
      </c>
      <c r="J261" s="2">
        <v>267.69900000000001</v>
      </c>
      <c r="K261" s="15">
        <v>5.8949999999999996</v>
      </c>
      <c r="L261" s="2">
        <v>11.872999999999999</v>
      </c>
      <c r="N261" s="7">
        <f t="shared" si="35"/>
        <v>300</v>
      </c>
      <c r="O261" s="1">
        <f t="shared" si="32"/>
        <v>163</v>
      </c>
      <c r="P261" s="1" t="str">
        <f t="shared" si="36"/>
        <v>300,163</v>
      </c>
      <c r="Q261" s="6" t="s">
        <v>10</v>
      </c>
      <c r="R261" s="1">
        <v>90</v>
      </c>
      <c r="S261" s="1">
        <v>2.5</v>
      </c>
      <c r="T261" s="1" t="str">
        <f t="shared" si="34"/>
        <v>-text 300,163 2.5 90 11.873</v>
      </c>
    </row>
    <row r="262" spans="1:20" x14ac:dyDescent="0.35">
      <c r="A262" s="1">
        <v>259320</v>
      </c>
      <c r="B262" s="7">
        <v>1147870.3</v>
      </c>
      <c r="C262" s="2">
        <v>269.78699999999998</v>
      </c>
      <c r="D262" s="2">
        <v>274.38799999999998</v>
      </c>
      <c r="E262" s="2">
        <v>4.5999999999999996</v>
      </c>
      <c r="F262" s="2">
        <v>269.11500000000001</v>
      </c>
      <c r="G262" s="2">
        <v>273.67500000000001</v>
      </c>
      <c r="H262" s="2">
        <v>4.5590000000000002</v>
      </c>
      <c r="I262" s="2">
        <v>267.74700000000001</v>
      </c>
      <c r="J262" s="2">
        <v>267.96600000000001</v>
      </c>
      <c r="K262" s="15">
        <v>5.7080000000000002</v>
      </c>
      <c r="L262" s="2">
        <v>11.722</v>
      </c>
      <c r="N262" s="7">
        <f t="shared" si="35"/>
        <v>320</v>
      </c>
      <c r="O262" s="1">
        <f t="shared" si="32"/>
        <v>163</v>
      </c>
      <c r="P262" s="1" t="str">
        <f t="shared" si="36"/>
        <v>320,163</v>
      </c>
      <c r="Q262" s="6" t="s">
        <v>10</v>
      </c>
      <c r="R262" s="1">
        <v>90</v>
      </c>
      <c r="S262" s="1">
        <v>2.5</v>
      </c>
      <c r="T262" s="1" t="str">
        <f t="shared" si="34"/>
        <v>-text 320,163 2.5 90 11.722</v>
      </c>
    </row>
    <row r="263" spans="1:20" x14ac:dyDescent="0.35">
      <c r="A263" s="1">
        <v>259340</v>
      </c>
      <c r="B263" s="7">
        <v>1147890.3</v>
      </c>
      <c r="C263" s="2">
        <v>269.815</v>
      </c>
      <c r="D263" s="2">
        <v>274.46800000000002</v>
      </c>
      <c r="E263" s="2">
        <v>4.6529999999999996</v>
      </c>
      <c r="F263" s="2">
        <v>269.14299999999997</v>
      </c>
      <c r="G263" s="2">
        <v>273.755</v>
      </c>
      <c r="H263" s="2">
        <v>4.6120000000000001</v>
      </c>
      <c r="I263" s="2">
        <v>268.798</v>
      </c>
      <c r="J263" s="2">
        <v>267.90800000000002</v>
      </c>
      <c r="K263" s="15">
        <v>5.8470000000000004</v>
      </c>
      <c r="L263" s="2">
        <v>11.552</v>
      </c>
      <c r="N263" s="7">
        <f t="shared" si="35"/>
        <v>340</v>
      </c>
      <c r="O263" s="1">
        <f t="shared" si="32"/>
        <v>163</v>
      </c>
      <c r="P263" s="1" t="str">
        <f t="shared" si="36"/>
        <v>340,163</v>
      </c>
      <c r="Q263" s="6" t="s">
        <v>10</v>
      </c>
      <c r="R263" s="1">
        <v>90</v>
      </c>
      <c r="S263" s="1">
        <v>2.5</v>
      </c>
      <c r="T263" s="1" t="str">
        <f t="shared" si="34"/>
        <v>-text 340,163 2.5 90 11.552</v>
      </c>
    </row>
    <row r="264" spans="1:20" x14ac:dyDescent="0.35">
      <c r="A264" s="1">
        <v>259360</v>
      </c>
      <c r="B264" s="7">
        <v>1147910.3</v>
      </c>
      <c r="C264" s="2">
        <v>269.83699999999999</v>
      </c>
      <c r="D264" s="2">
        <v>274.548</v>
      </c>
      <c r="E264" s="2">
        <v>4.7110000000000003</v>
      </c>
      <c r="F264" s="2">
        <v>269.16500000000002</v>
      </c>
      <c r="G264" s="2">
        <v>273.83499999999998</v>
      </c>
      <c r="H264" s="2">
        <v>4.67</v>
      </c>
      <c r="I264" s="2">
        <v>268.69600000000003</v>
      </c>
      <c r="J264" s="2">
        <v>268.15300000000002</v>
      </c>
      <c r="K264" s="15">
        <v>5.6820000000000004</v>
      </c>
      <c r="L264" s="2">
        <v>11.385999999999999</v>
      </c>
      <c r="N264" s="7">
        <f t="shared" si="35"/>
        <v>360</v>
      </c>
      <c r="O264" s="1">
        <f t="shared" si="32"/>
        <v>163</v>
      </c>
      <c r="P264" s="1" t="str">
        <f t="shared" si="36"/>
        <v>360,163</v>
      </c>
      <c r="Q264" s="6" t="s">
        <v>10</v>
      </c>
      <c r="R264" s="1">
        <v>90</v>
      </c>
      <c r="S264" s="1">
        <v>2.5</v>
      </c>
      <c r="T264" s="1" t="str">
        <f t="shared" si="34"/>
        <v>-text 360,163 2.5 90 11.386</v>
      </c>
    </row>
    <row r="265" spans="1:20" x14ac:dyDescent="0.35">
      <c r="A265" s="1">
        <v>259380</v>
      </c>
      <c r="B265" s="7">
        <v>1147930.3</v>
      </c>
      <c r="C265" s="2">
        <v>269.84300000000002</v>
      </c>
      <c r="D265" s="2">
        <v>274.62799999999999</v>
      </c>
      <c r="E265" s="2">
        <v>4.7850000000000001</v>
      </c>
      <c r="F265" s="2">
        <v>269.17099999999999</v>
      </c>
      <c r="G265" s="2">
        <v>273.91500000000002</v>
      </c>
      <c r="H265" s="2">
        <v>4.7439999999999998</v>
      </c>
      <c r="I265" s="2">
        <v>268.488</v>
      </c>
      <c r="J265" s="2">
        <v>268.233</v>
      </c>
      <c r="K265" s="15">
        <v>5.6820000000000004</v>
      </c>
      <c r="L265" s="2">
        <v>11.234999999999999</v>
      </c>
      <c r="N265" s="7">
        <f t="shared" si="35"/>
        <v>380</v>
      </c>
      <c r="O265" s="1">
        <f t="shared" si="32"/>
        <v>163</v>
      </c>
      <c r="P265" s="1" t="str">
        <f t="shared" si="36"/>
        <v>380,163</v>
      </c>
      <c r="Q265" s="6" t="s">
        <v>10</v>
      </c>
      <c r="R265" s="1">
        <v>90</v>
      </c>
      <c r="S265" s="1">
        <v>2.5</v>
      </c>
      <c r="T265" s="1" t="str">
        <f t="shared" si="34"/>
        <v>-text 380,163 2.5 90 11.235</v>
      </c>
    </row>
    <row r="266" spans="1:20" x14ac:dyDescent="0.35">
      <c r="A266" s="1">
        <v>259400</v>
      </c>
      <c r="B266" s="7">
        <v>1147950.3</v>
      </c>
      <c r="C266" s="2">
        <v>269.84399999999999</v>
      </c>
      <c r="D266" s="2">
        <v>274.709</v>
      </c>
      <c r="E266" s="2">
        <v>4.8650000000000002</v>
      </c>
      <c r="F266" s="2">
        <v>269.17200000000003</v>
      </c>
      <c r="G266" s="2">
        <v>273.99599999999998</v>
      </c>
      <c r="H266" s="2">
        <v>4.8239999999999998</v>
      </c>
      <c r="I266" s="2">
        <v>268.28100000000001</v>
      </c>
      <c r="J266" s="2">
        <v>267.99599999999998</v>
      </c>
      <c r="K266" s="15">
        <v>6</v>
      </c>
      <c r="L266" s="2">
        <v>11.082000000000001</v>
      </c>
      <c r="N266" s="7">
        <f t="shared" si="35"/>
        <v>400</v>
      </c>
      <c r="O266" s="1">
        <f t="shared" si="32"/>
        <v>163</v>
      </c>
      <c r="P266" s="1" t="str">
        <f t="shared" si="36"/>
        <v>400,163</v>
      </c>
      <c r="Q266" s="6" t="s">
        <v>10</v>
      </c>
      <c r="R266" s="1">
        <v>90</v>
      </c>
      <c r="S266" s="1">
        <v>2.5</v>
      </c>
      <c r="T266" s="1" t="str">
        <f t="shared" ref="T266:T286" si="37">$Q266&amp;" "&amp;$P266&amp;" "&amp;$S266&amp;" "&amp;$R266&amp;" "&amp;$L266</f>
        <v>-text 400,163 2.5 90 11.082</v>
      </c>
    </row>
    <row r="267" spans="1:20" x14ac:dyDescent="0.35">
      <c r="A267" s="1">
        <v>259420</v>
      </c>
      <c r="B267" s="7">
        <v>1147970.3</v>
      </c>
      <c r="C267" s="2">
        <v>269.85399999999998</v>
      </c>
      <c r="D267" s="2">
        <v>274.78899999999999</v>
      </c>
      <c r="E267" s="2">
        <v>4.9349999999999996</v>
      </c>
      <c r="F267" s="2">
        <v>269.18200000000002</v>
      </c>
      <c r="G267" s="2">
        <v>274.07600000000002</v>
      </c>
      <c r="H267" s="2">
        <v>4.8940000000000001</v>
      </c>
      <c r="I267" s="2">
        <v>268.351</v>
      </c>
      <c r="J267" s="2">
        <v>268.197</v>
      </c>
      <c r="K267" s="15">
        <v>5.8789999999999996</v>
      </c>
      <c r="L267" s="2">
        <v>11.034000000000001</v>
      </c>
      <c r="N267" s="7">
        <f t="shared" si="35"/>
        <v>420</v>
      </c>
      <c r="O267" s="1">
        <f t="shared" ref="O267:O286" si="38">19+16+16+16+16+16+16+16+16+16</f>
        <v>163</v>
      </c>
      <c r="P267" s="1" t="str">
        <f t="shared" si="36"/>
        <v>420,163</v>
      </c>
      <c r="Q267" s="6" t="s">
        <v>10</v>
      </c>
      <c r="R267" s="1">
        <v>90</v>
      </c>
      <c r="S267" s="1">
        <v>2.5</v>
      </c>
      <c r="T267" s="1" t="str">
        <f t="shared" si="37"/>
        <v>-text 420,163 2.5 90 11.034</v>
      </c>
    </row>
    <row r="268" spans="1:20" x14ac:dyDescent="0.35">
      <c r="A268" s="1">
        <v>259440</v>
      </c>
      <c r="B268" s="7">
        <v>1147990.3</v>
      </c>
      <c r="C268" s="2">
        <v>269.80500000000001</v>
      </c>
      <c r="D268" s="2">
        <v>274.86900000000003</v>
      </c>
      <c r="E268" s="2">
        <v>5.0640000000000001</v>
      </c>
      <c r="F268" s="2">
        <v>269.13299999999998</v>
      </c>
      <c r="G268" s="2">
        <v>274.15600000000001</v>
      </c>
      <c r="H268" s="2">
        <v>5.0229999999999997</v>
      </c>
      <c r="I268" s="2">
        <v>268.47699999999998</v>
      </c>
      <c r="J268" s="2">
        <v>268.27100000000002</v>
      </c>
      <c r="K268" s="15">
        <v>5.8849999999999998</v>
      </c>
      <c r="L268" s="2">
        <v>11.138999999999999</v>
      </c>
      <c r="N268" s="7">
        <f t="shared" si="35"/>
        <v>440</v>
      </c>
      <c r="O268" s="1">
        <f t="shared" si="38"/>
        <v>163</v>
      </c>
      <c r="P268" s="1" t="str">
        <f t="shared" si="36"/>
        <v>440,163</v>
      </c>
      <c r="Q268" s="6" t="s">
        <v>10</v>
      </c>
      <c r="R268" s="1">
        <v>90</v>
      </c>
      <c r="S268" s="1">
        <v>2.5</v>
      </c>
      <c r="T268" s="1" t="str">
        <f t="shared" si="37"/>
        <v>-text 440,163 2.5 90 11.139</v>
      </c>
    </row>
    <row r="269" spans="1:20" x14ac:dyDescent="0.35">
      <c r="A269" s="1">
        <v>259460</v>
      </c>
      <c r="B269" s="7">
        <v>1148010.3</v>
      </c>
      <c r="C269" s="2">
        <v>269.81599999999997</v>
      </c>
      <c r="D269" s="2">
        <v>274.94900000000001</v>
      </c>
      <c r="E269" s="2">
        <v>5.1340000000000003</v>
      </c>
      <c r="F269" s="2">
        <v>269.14400000000001</v>
      </c>
      <c r="G269" s="2">
        <v>274.23599999999999</v>
      </c>
      <c r="H269" s="2">
        <v>5.093</v>
      </c>
      <c r="I269" s="2">
        <v>268.38299999999998</v>
      </c>
      <c r="J269" s="2">
        <v>268.43</v>
      </c>
      <c r="K269" s="15">
        <v>5.8070000000000004</v>
      </c>
      <c r="L269" s="2">
        <v>11.459</v>
      </c>
      <c r="N269" s="7">
        <f t="shared" si="35"/>
        <v>460</v>
      </c>
      <c r="O269" s="1">
        <f t="shared" si="38"/>
        <v>163</v>
      </c>
      <c r="P269" s="1" t="str">
        <f t="shared" si="36"/>
        <v>460,163</v>
      </c>
      <c r="Q269" s="6" t="s">
        <v>10</v>
      </c>
      <c r="R269" s="1">
        <v>90</v>
      </c>
      <c r="S269" s="1">
        <v>2.5</v>
      </c>
      <c r="T269" s="1" t="str">
        <f t="shared" si="37"/>
        <v>-text 460,163 2.5 90 11.459</v>
      </c>
    </row>
    <row r="270" spans="1:20" x14ac:dyDescent="0.35">
      <c r="A270" s="1">
        <v>259480</v>
      </c>
      <c r="B270" s="7">
        <v>1148030.3</v>
      </c>
      <c r="C270" s="2">
        <v>269.86</v>
      </c>
      <c r="D270" s="2">
        <v>275.02999999999997</v>
      </c>
      <c r="E270" s="2">
        <v>5.1689999999999996</v>
      </c>
      <c r="F270" s="2">
        <v>269.18799999999999</v>
      </c>
      <c r="G270" s="2">
        <v>274.31700000000001</v>
      </c>
      <c r="H270" s="2">
        <v>5.1280000000000001</v>
      </c>
      <c r="I270" s="2">
        <v>268.20100000000002</v>
      </c>
      <c r="J270" s="2">
        <v>268.35300000000001</v>
      </c>
      <c r="K270" s="15">
        <v>5.9640000000000004</v>
      </c>
      <c r="L270" s="2">
        <v>12.013</v>
      </c>
      <c r="N270" s="7">
        <f t="shared" si="35"/>
        <v>480</v>
      </c>
      <c r="O270" s="1">
        <f t="shared" si="38"/>
        <v>163</v>
      </c>
      <c r="P270" s="1" t="str">
        <f t="shared" si="36"/>
        <v>480,163</v>
      </c>
      <c r="Q270" s="6" t="s">
        <v>10</v>
      </c>
      <c r="R270" s="1">
        <v>90</v>
      </c>
      <c r="S270" s="1">
        <v>2.5</v>
      </c>
      <c r="T270" s="1" t="str">
        <f t="shared" si="37"/>
        <v>-text 480,163 2.5 90 12.013</v>
      </c>
    </row>
    <row r="271" spans="1:20" x14ac:dyDescent="0.35">
      <c r="A271" s="1">
        <v>259500</v>
      </c>
      <c r="B271" s="7">
        <v>1148050.3999999999</v>
      </c>
      <c r="C271" s="2">
        <v>269.86700000000002</v>
      </c>
      <c r="D271" s="2">
        <v>275.11</v>
      </c>
      <c r="E271" s="2">
        <v>5.2439999999999998</v>
      </c>
      <c r="F271" s="2">
        <v>269.19499999999999</v>
      </c>
      <c r="G271" s="2">
        <v>274.39699999999999</v>
      </c>
      <c r="H271" s="2">
        <v>5.2030000000000003</v>
      </c>
      <c r="I271" s="2">
        <v>268.17</v>
      </c>
      <c r="J271" s="2">
        <v>267.97899999999998</v>
      </c>
      <c r="K271" s="15">
        <v>6.4180000000000001</v>
      </c>
      <c r="L271" s="2">
        <v>12.971</v>
      </c>
      <c r="N271" s="7">
        <f t="shared" si="35"/>
        <v>500.0999999998603</v>
      </c>
      <c r="O271" s="1">
        <f t="shared" si="38"/>
        <v>163</v>
      </c>
      <c r="P271" s="1" t="str">
        <f t="shared" si="36"/>
        <v>500.09999999986,163</v>
      </c>
      <c r="Q271" s="6" t="s">
        <v>10</v>
      </c>
      <c r="R271" s="1">
        <v>90</v>
      </c>
      <c r="S271" s="1">
        <v>2.5</v>
      </c>
      <c r="T271" s="1" t="str">
        <f t="shared" si="37"/>
        <v>-text 500.09999999986,163 2.5 90 12.971</v>
      </c>
    </row>
    <row r="272" spans="1:20" s="10" customFormat="1" x14ac:dyDescent="0.35">
      <c r="B272" s="11"/>
      <c r="C272" s="9"/>
      <c r="D272" s="9"/>
      <c r="E272" s="9"/>
      <c r="F272" s="9"/>
      <c r="G272" s="9"/>
      <c r="H272" s="9"/>
      <c r="I272" s="9"/>
      <c r="J272" s="9"/>
      <c r="K272" s="16"/>
      <c r="L272" s="9"/>
      <c r="M272" s="9"/>
    </row>
    <row r="273" spans="1:20" x14ac:dyDescent="0.35">
      <c r="A273" s="1">
        <v>259500</v>
      </c>
      <c r="B273" s="7">
        <v>1148050.3999999999</v>
      </c>
      <c r="C273" s="2">
        <v>269.86700000000002</v>
      </c>
      <c r="D273" s="2">
        <v>275.11</v>
      </c>
      <c r="E273" s="2">
        <v>5.2439999999999998</v>
      </c>
      <c r="F273" s="2">
        <v>269.19499999999999</v>
      </c>
      <c r="G273" s="2">
        <v>274.39699999999999</v>
      </c>
      <c r="H273" s="2">
        <v>5.2030000000000003</v>
      </c>
      <c r="I273" s="2">
        <v>268.17</v>
      </c>
      <c r="J273" s="2">
        <v>267.97899999999998</v>
      </c>
      <c r="K273" s="15">
        <v>6.4180000000000001</v>
      </c>
      <c r="L273" s="2">
        <v>12.971</v>
      </c>
      <c r="N273" s="7">
        <v>0</v>
      </c>
      <c r="O273" s="1">
        <f t="shared" si="38"/>
        <v>163</v>
      </c>
      <c r="P273" s="1" t="str">
        <f t="shared" ref="P273:P274" si="39">CONCATENATE(N273,",",O273)</f>
        <v>0,163</v>
      </c>
      <c r="Q273" s="6" t="s">
        <v>10</v>
      </c>
      <c r="R273" s="1">
        <v>90</v>
      </c>
      <c r="S273" s="1">
        <v>2.5</v>
      </c>
      <c r="T273" s="1" t="str">
        <f t="shared" si="37"/>
        <v>-text 0,163 2.5 90 12.971</v>
      </c>
    </row>
    <row r="274" spans="1:20" x14ac:dyDescent="0.35">
      <c r="A274" s="1">
        <v>259520</v>
      </c>
      <c r="B274" s="7">
        <v>1148070.3999999999</v>
      </c>
      <c r="C274" s="2">
        <v>269.90100000000001</v>
      </c>
      <c r="D274" s="2">
        <v>275.19</v>
      </c>
      <c r="E274" s="2">
        <v>5.2889999999999997</v>
      </c>
      <c r="F274" s="2">
        <v>269.22899999999998</v>
      </c>
      <c r="G274" s="2">
        <v>274.47699999999998</v>
      </c>
      <c r="H274" s="2">
        <v>5.2480000000000002</v>
      </c>
      <c r="I274" s="2">
        <v>268.202</v>
      </c>
      <c r="J274" s="2">
        <v>267.678</v>
      </c>
      <c r="K274" s="15">
        <v>6.7990000000000004</v>
      </c>
      <c r="L274" s="2">
        <v>14.351000000000001</v>
      </c>
      <c r="N274" s="7">
        <f t="shared" ref="N274:N286" si="40">N273+(B274-B273)</f>
        <v>20</v>
      </c>
      <c r="O274" s="1">
        <f t="shared" si="38"/>
        <v>163</v>
      </c>
      <c r="P274" s="1" t="str">
        <f t="shared" si="39"/>
        <v>20,163</v>
      </c>
      <c r="Q274" s="6" t="s">
        <v>10</v>
      </c>
      <c r="R274" s="1">
        <v>90</v>
      </c>
      <c r="S274" s="1">
        <v>2.5</v>
      </c>
      <c r="T274" s="1" t="str">
        <f t="shared" si="37"/>
        <v>-text 20,163 2.5 90 14.351</v>
      </c>
    </row>
    <row r="275" spans="1:20" x14ac:dyDescent="0.35">
      <c r="A275" s="1">
        <v>259540</v>
      </c>
      <c r="B275" s="7">
        <v>1148090.5</v>
      </c>
      <c r="C275" s="2">
        <v>269.91300000000001</v>
      </c>
      <c r="D275" s="2">
        <v>275.27100000000002</v>
      </c>
      <c r="E275" s="2">
        <v>5.3579999999999997</v>
      </c>
      <c r="F275" s="2">
        <v>269.24099999999999</v>
      </c>
      <c r="G275" s="2">
        <v>274.55799999999999</v>
      </c>
      <c r="H275" s="2">
        <v>5.3170000000000002</v>
      </c>
      <c r="I275" s="2">
        <v>268.08600000000001</v>
      </c>
      <c r="J275" s="2">
        <v>267.36900000000003</v>
      </c>
      <c r="K275" s="15">
        <v>7.1890000000000001</v>
      </c>
      <c r="L275" s="2">
        <v>16.248000000000001</v>
      </c>
      <c r="N275" s="7">
        <f t="shared" si="40"/>
        <v>40.100000000093132</v>
      </c>
      <c r="O275" s="1">
        <f t="shared" si="38"/>
        <v>163</v>
      </c>
      <c r="P275" s="1" t="str">
        <f t="shared" ref="P275:P286" si="41">CONCATENATE(N275,",",O275)</f>
        <v>40.1000000000931,163</v>
      </c>
      <c r="Q275" s="6" t="s">
        <v>10</v>
      </c>
      <c r="R275" s="1">
        <v>90</v>
      </c>
      <c r="S275" s="1">
        <v>2.5</v>
      </c>
      <c r="T275" s="1" t="str">
        <f t="shared" si="37"/>
        <v>-text 40.1000000000931,163 2.5 90 16.248</v>
      </c>
    </row>
    <row r="276" spans="1:20" x14ac:dyDescent="0.35">
      <c r="A276" s="1">
        <v>259560</v>
      </c>
      <c r="B276" s="7">
        <v>1148110.6000000001</v>
      </c>
      <c r="C276" s="2">
        <v>269.90899999999999</v>
      </c>
      <c r="D276" s="2">
        <v>275.35199999999998</v>
      </c>
      <c r="E276" s="2">
        <v>5.4429999999999996</v>
      </c>
      <c r="F276" s="2">
        <v>269.23700000000002</v>
      </c>
      <c r="G276" s="2">
        <v>274.63900000000001</v>
      </c>
      <c r="H276" s="2">
        <v>5.4020000000000001</v>
      </c>
      <c r="I276" s="2">
        <v>267.73599999999999</v>
      </c>
      <c r="J276" s="2">
        <v>268.77199999999999</v>
      </c>
      <c r="K276" s="15">
        <v>5.867</v>
      </c>
      <c r="L276" s="2">
        <v>18.725999999999999</v>
      </c>
      <c r="N276" s="7">
        <f t="shared" si="40"/>
        <v>60.200000000186265</v>
      </c>
      <c r="O276" s="1">
        <f t="shared" si="38"/>
        <v>163</v>
      </c>
      <c r="P276" s="1" t="str">
        <f t="shared" si="41"/>
        <v>60.2000000001863,163</v>
      </c>
      <c r="Q276" s="6" t="s">
        <v>10</v>
      </c>
      <c r="R276" s="1">
        <v>90</v>
      </c>
      <c r="S276" s="1">
        <v>2.5</v>
      </c>
      <c r="T276" s="1" t="str">
        <f t="shared" si="37"/>
        <v>-text 60.2000000001863,163 2.5 90 18.726</v>
      </c>
    </row>
    <row r="277" spans="1:20" x14ac:dyDescent="0.35">
      <c r="A277" s="1">
        <v>259580</v>
      </c>
      <c r="B277" s="7">
        <v>1148130.8999999999</v>
      </c>
      <c r="C277" s="2">
        <v>269.90800000000002</v>
      </c>
      <c r="D277" s="2">
        <v>275.43299999999999</v>
      </c>
      <c r="E277" s="2">
        <v>5.5259999999999998</v>
      </c>
      <c r="F277" s="2">
        <v>269.23599999999999</v>
      </c>
      <c r="G277" s="2">
        <v>274.72000000000003</v>
      </c>
      <c r="H277" s="2">
        <v>5.4850000000000003</v>
      </c>
      <c r="I277" s="2">
        <v>267.74200000000002</v>
      </c>
      <c r="J277" s="2">
        <v>267.61799999999999</v>
      </c>
      <c r="K277" s="15">
        <v>7.1020000000000003</v>
      </c>
      <c r="L277" s="2">
        <v>21.794</v>
      </c>
      <c r="N277" s="7">
        <f t="shared" si="40"/>
        <v>80.5</v>
      </c>
      <c r="O277" s="1">
        <f t="shared" si="38"/>
        <v>163</v>
      </c>
      <c r="P277" s="1" t="str">
        <f t="shared" si="41"/>
        <v>80.5,163</v>
      </c>
      <c r="Q277" s="6" t="s">
        <v>10</v>
      </c>
      <c r="R277" s="1">
        <v>90</v>
      </c>
      <c r="S277" s="1">
        <v>2.5</v>
      </c>
      <c r="T277" s="1" t="str">
        <f t="shared" si="37"/>
        <v>-text 80.5,163 2.5 90 21.794</v>
      </c>
    </row>
    <row r="278" spans="1:20" x14ac:dyDescent="0.35">
      <c r="A278" s="1">
        <v>259600</v>
      </c>
      <c r="B278" s="7">
        <v>1148151.2</v>
      </c>
      <c r="C278" s="2">
        <v>269.91500000000002</v>
      </c>
      <c r="D278" s="2">
        <v>275.51499999999999</v>
      </c>
      <c r="E278" s="2">
        <v>5.5990000000000002</v>
      </c>
      <c r="F278" s="2">
        <v>269.24299999999999</v>
      </c>
      <c r="G278" s="2">
        <v>274.80200000000002</v>
      </c>
      <c r="H278" s="2">
        <v>5.5579999999999998</v>
      </c>
      <c r="I278" s="2">
        <v>267.81400000000002</v>
      </c>
      <c r="J278" s="2">
        <v>267.322</v>
      </c>
      <c r="K278" s="15">
        <v>7.48</v>
      </c>
      <c r="L278" s="2">
        <v>25.454000000000001</v>
      </c>
      <c r="N278" s="7">
        <f t="shared" si="40"/>
        <v>100.80000000004657</v>
      </c>
      <c r="O278" s="1">
        <f t="shared" si="38"/>
        <v>163</v>
      </c>
      <c r="P278" s="1" t="str">
        <f t="shared" si="41"/>
        <v>100.800000000047,163</v>
      </c>
      <c r="Q278" s="6" t="s">
        <v>10</v>
      </c>
      <c r="R278" s="1">
        <v>90</v>
      </c>
      <c r="S278" s="1">
        <v>2.5</v>
      </c>
      <c r="T278" s="1" t="str">
        <f t="shared" si="37"/>
        <v>-text 100.800000000047,163 2.5 90 25.454</v>
      </c>
    </row>
    <row r="279" spans="1:20" x14ac:dyDescent="0.35">
      <c r="A279" s="1">
        <v>259620</v>
      </c>
      <c r="B279" s="7">
        <v>1148171.7</v>
      </c>
      <c r="C279" s="2">
        <v>269.928</v>
      </c>
      <c r="D279" s="2">
        <v>275.59699999999998</v>
      </c>
      <c r="E279" s="2">
        <v>5.6689999999999996</v>
      </c>
      <c r="F279" s="2">
        <v>269.25599999999997</v>
      </c>
      <c r="G279" s="2">
        <v>274.88400000000001</v>
      </c>
      <c r="H279" s="2">
        <v>5.6280000000000001</v>
      </c>
      <c r="I279" s="2">
        <v>267.63600000000002</v>
      </c>
      <c r="J279" s="2">
        <v>267.75200000000001</v>
      </c>
      <c r="K279" s="15">
        <v>7.1319999999999997</v>
      </c>
      <c r="L279" s="2">
        <v>29.739000000000001</v>
      </c>
      <c r="N279" s="7">
        <f t="shared" si="40"/>
        <v>121.30000000004657</v>
      </c>
      <c r="O279" s="1">
        <f t="shared" si="38"/>
        <v>163</v>
      </c>
      <c r="P279" s="1" t="str">
        <f t="shared" si="41"/>
        <v>121.300000000047,163</v>
      </c>
      <c r="Q279" s="6" t="s">
        <v>10</v>
      </c>
      <c r="R279" s="1">
        <v>90</v>
      </c>
      <c r="S279" s="1">
        <v>2.5</v>
      </c>
      <c r="T279" s="1" t="str">
        <f t="shared" si="37"/>
        <v>-text 121.300000000047,163 2.5 90 29.739</v>
      </c>
    </row>
    <row r="280" spans="1:20" x14ac:dyDescent="0.35">
      <c r="A280" s="1">
        <v>259640</v>
      </c>
      <c r="B280" s="7">
        <v>1148192.2</v>
      </c>
      <c r="C280" s="2">
        <v>269.93400000000003</v>
      </c>
      <c r="D280" s="2">
        <v>275.67899999999997</v>
      </c>
      <c r="E280" s="2">
        <v>5.7450000000000001</v>
      </c>
      <c r="F280" s="2">
        <v>269.262</v>
      </c>
      <c r="G280" s="2">
        <v>274.96600000000001</v>
      </c>
      <c r="H280" s="2">
        <v>5.7039999999999997</v>
      </c>
      <c r="I280" s="2">
        <v>267.75599999999997</v>
      </c>
      <c r="J280" s="2">
        <v>267.75599999999997</v>
      </c>
      <c r="K280" s="15">
        <v>7.21</v>
      </c>
      <c r="L280" s="2">
        <v>34.639000000000003</v>
      </c>
      <c r="N280" s="7">
        <f t="shared" si="40"/>
        <v>141.80000000004657</v>
      </c>
      <c r="O280" s="1">
        <f t="shared" si="38"/>
        <v>163</v>
      </c>
      <c r="P280" s="1" t="str">
        <f t="shared" si="41"/>
        <v>141.800000000047,163</v>
      </c>
      <c r="Q280" s="6" t="s">
        <v>10</v>
      </c>
      <c r="R280" s="1">
        <v>90</v>
      </c>
      <c r="S280" s="1">
        <v>2.5</v>
      </c>
      <c r="T280" s="1" t="str">
        <f t="shared" si="37"/>
        <v>-text 141.800000000047,163 2.5 90 34.639</v>
      </c>
    </row>
    <row r="281" spans="1:20" x14ac:dyDescent="0.35">
      <c r="A281" s="1">
        <v>259660</v>
      </c>
      <c r="B281" s="7">
        <v>1148213</v>
      </c>
      <c r="C281" s="2">
        <v>269.93900000000002</v>
      </c>
      <c r="D281" s="2">
        <v>275.76299999999998</v>
      </c>
      <c r="E281" s="2">
        <v>5.8239999999999998</v>
      </c>
      <c r="F281" s="2">
        <v>269.267</v>
      </c>
      <c r="G281" s="2">
        <v>275.05</v>
      </c>
      <c r="H281" s="2">
        <v>5.7830000000000004</v>
      </c>
      <c r="I281" s="2">
        <v>267.66899999999998</v>
      </c>
      <c r="J281" s="2">
        <v>267.96499999999997</v>
      </c>
      <c r="K281" s="15">
        <v>7.085</v>
      </c>
      <c r="L281" s="2">
        <v>40.159999999999997</v>
      </c>
      <c r="N281" s="7">
        <f t="shared" si="40"/>
        <v>162.60000000009313</v>
      </c>
      <c r="O281" s="1">
        <f t="shared" si="38"/>
        <v>163</v>
      </c>
      <c r="P281" s="1" t="str">
        <f t="shared" si="41"/>
        <v>162.600000000093,163</v>
      </c>
      <c r="Q281" s="6" t="s">
        <v>10</v>
      </c>
      <c r="R281" s="1">
        <v>90</v>
      </c>
      <c r="S281" s="1">
        <v>2.5</v>
      </c>
      <c r="T281" s="1" t="str">
        <f t="shared" si="37"/>
        <v>-text 162.600000000093,163 2.5 90 40.16</v>
      </c>
    </row>
    <row r="282" spans="1:20" x14ac:dyDescent="0.35">
      <c r="A282" s="1">
        <v>259680</v>
      </c>
      <c r="B282" s="7">
        <v>1148233.8999999999</v>
      </c>
      <c r="C282" s="2">
        <v>269.92099999999999</v>
      </c>
      <c r="D282" s="2">
        <v>275.84699999999998</v>
      </c>
      <c r="E282" s="2">
        <v>5.9249999999999998</v>
      </c>
      <c r="F282" s="2">
        <v>269.24900000000002</v>
      </c>
      <c r="G282" s="2">
        <v>275.13400000000001</v>
      </c>
      <c r="H282" s="2">
        <v>5.8840000000000003</v>
      </c>
      <c r="I282" s="2">
        <v>267.55900000000003</v>
      </c>
      <c r="J282" s="2">
        <v>267.96300000000002</v>
      </c>
      <c r="K282" s="15">
        <v>7.17</v>
      </c>
      <c r="L282" s="2">
        <v>46.319000000000003</v>
      </c>
      <c r="N282" s="7">
        <f t="shared" si="40"/>
        <v>183.5</v>
      </c>
      <c r="O282" s="1">
        <f t="shared" si="38"/>
        <v>163</v>
      </c>
      <c r="P282" s="1" t="str">
        <f t="shared" si="41"/>
        <v>183.5,163</v>
      </c>
      <c r="Q282" s="6" t="s">
        <v>10</v>
      </c>
      <c r="R282" s="1">
        <v>90</v>
      </c>
      <c r="S282" s="1">
        <v>2.5</v>
      </c>
      <c r="T282" s="1" t="str">
        <f t="shared" si="37"/>
        <v>-text 183.5,163 2.5 90 46.319</v>
      </c>
    </row>
    <row r="283" spans="1:20" x14ac:dyDescent="0.35">
      <c r="A283" s="1">
        <v>259700</v>
      </c>
      <c r="B283" s="7">
        <v>1148255</v>
      </c>
      <c r="C283" s="2">
        <v>269.90600000000001</v>
      </c>
      <c r="D283" s="2">
        <v>275.93099999999998</v>
      </c>
      <c r="E283" s="2">
        <v>6.0250000000000004</v>
      </c>
      <c r="F283" s="2">
        <v>269.23399999999998</v>
      </c>
      <c r="G283" s="2">
        <v>275.21800000000002</v>
      </c>
      <c r="H283" s="2">
        <v>5.984</v>
      </c>
      <c r="I283" s="2">
        <v>267.41699999999997</v>
      </c>
      <c r="J283" s="2">
        <v>267.78399999999999</v>
      </c>
      <c r="K283" s="15">
        <v>7.4349999999999996</v>
      </c>
      <c r="L283" s="2">
        <v>53.134999999999998</v>
      </c>
      <c r="N283" s="7">
        <f t="shared" si="40"/>
        <v>204.60000000009313</v>
      </c>
      <c r="O283" s="1">
        <f t="shared" si="38"/>
        <v>163</v>
      </c>
      <c r="P283" s="1" t="str">
        <f t="shared" si="41"/>
        <v>204.600000000093,163</v>
      </c>
      <c r="Q283" s="6" t="s">
        <v>10</v>
      </c>
      <c r="R283" s="1">
        <v>90</v>
      </c>
      <c r="S283" s="1">
        <v>2.5</v>
      </c>
      <c r="T283" s="1" t="str">
        <f t="shared" si="37"/>
        <v>-text 204.600000000093,163 2.5 90 53.135</v>
      </c>
    </row>
    <row r="284" spans="1:20" x14ac:dyDescent="0.35">
      <c r="A284" s="1">
        <v>259720</v>
      </c>
      <c r="B284" s="7">
        <v>1148276.3999999999</v>
      </c>
      <c r="C284" s="2">
        <v>269.86900000000003</v>
      </c>
      <c r="D284" s="2">
        <v>276.017</v>
      </c>
      <c r="E284" s="2">
        <v>6.1479999999999997</v>
      </c>
      <c r="F284" s="2">
        <v>269.197</v>
      </c>
      <c r="G284" s="2">
        <v>275.30399999999997</v>
      </c>
      <c r="H284" s="2">
        <v>6.1070000000000002</v>
      </c>
      <c r="I284" s="2">
        <v>267.346</v>
      </c>
      <c r="J284" s="2">
        <v>267.74599999999998</v>
      </c>
      <c r="K284" s="15">
        <v>7.5579999999999998</v>
      </c>
      <c r="L284" s="2">
        <v>60.651000000000003</v>
      </c>
      <c r="N284" s="7">
        <f t="shared" si="40"/>
        <v>226</v>
      </c>
      <c r="O284" s="1">
        <f t="shared" si="38"/>
        <v>163</v>
      </c>
      <c r="P284" s="1" t="str">
        <f t="shared" si="41"/>
        <v>226,163</v>
      </c>
      <c r="Q284" s="6" t="s">
        <v>10</v>
      </c>
      <c r="R284" s="1">
        <v>90</v>
      </c>
      <c r="S284" s="1">
        <v>2.5</v>
      </c>
      <c r="T284" s="1" t="str">
        <f t="shared" si="37"/>
        <v>-text 226,163 2.5 90 60.651</v>
      </c>
    </row>
    <row r="285" spans="1:20" x14ac:dyDescent="0.35">
      <c r="A285" s="1">
        <v>259740</v>
      </c>
      <c r="B285" s="7">
        <v>1148298.1000000001</v>
      </c>
      <c r="C285" s="2">
        <v>269.82799999999997</v>
      </c>
      <c r="D285" s="2">
        <v>276.10399999999998</v>
      </c>
      <c r="E285" s="2">
        <v>6.2759999999999998</v>
      </c>
      <c r="F285" s="2">
        <v>269.15600000000001</v>
      </c>
      <c r="G285" s="2">
        <v>275.39100000000002</v>
      </c>
      <c r="H285" s="2">
        <v>6.2350000000000003</v>
      </c>
      <c r="I285" s="2">
        <v>267.38400000000001</v>
      </c>
      <c r="J285" s="2">
        <v>267.91300000000001</v>
      </c>
      <c r="K285" s="15">
        <v>7.4779999999999998</v>
      </c>
      <c r="L285" s="2">
        <v>68.876000000000005</v>
      </c>
      <c r="N285" s="7">
        <f t="shared" si="40"/>
        <v>247.70000000018626</v>
      </c>
      <c r="O285" s="1">
        <f t="shared" si="38"/>
        <v>163</v>
      </c>
      <c r="P285" s="1" t="str">
        <f t="shared" si="41"/>
        <v>247.700000000186,163</v>
      </c>
      <c r="Q285" s="6" t="s">
        <v>10</v>
      </c>
      <c r="R285" s="1">
        <v>90</v>
      </c>
      <c r="S285" s="1">
        <v>2.5</v>
      </c>
      <c r="T285" s="1" t="str">
        <f t="shared" si="37"/>
        <v>-text 247.700000000186,163 2.5 90 68.876</v>
      </c>
    </row>
    <row r="286" spans="1:20" x14ac:dyDescent="0.35">
      <c r="A286" s="1">
        <v>259741.25108650001</v>
      </c>
      <c r="B286" s="7">
        <v>1148299.3999999999</v>
      </c>
      <c r="C286" s="2">
        <v>269.82600000000002</v>
      </c>
      <c r="D286" s="2">
        <v>276.10899999999998</v>
      </c>
      <c r="E286" s="2">
        <v>6.2839999999999998</v>
      </c>
      <c r="F286" s="2">
        <v>269.154</v>
      </c>
      <c r="G286" s="2">
        <v>275.39600000000002</v>
      </c>
      <c r="H286" s="2">
        <v>6.2430000000000003</v>
      </c>
      <c r="I286" s="2">
        <v>267.392</v>
      </c>
      <c r="J286" s="2">
        <v>267.92200000000003</v>
      </c>
      <c r="K286" s="15">
        <v>7.4749999999999996</v>
      </c>
      <c r="L286" s="2">
        <v>69.415000000000006</v>
      </c>
      <c r="N286" s="7">
        <f t="shared" si="40"/>
        <v>249</v>
      </c>
      <c r="O286" s="1">
        <f t="shared" si="38"/>
        <v>163</v>
      </c>
      <c r="P286" s="1" t="str">
        <f t="shared" si="41"/>
        <v>249,163</v>
      </c>
      <c r="Q286" s="6" t="s">
        <v>10</v>
      </c>
      <c r="R286" s="1">
        <v>90</v>
      </c>
      <c r="S286" s="1">
        <v>2.5</v>
      </c>
      <c r="T286" s="1" t="str">
        <f t="shared" si="37"/>
        <v>-text 249,163 2.5 90 69.415</v>
      </c>
    </row>
    <row r="287" spans="1:20" s="10" customFormat="1" x14ac:dyDescent="0.35">
      <c r="B287" s="11"/>
      <c r="C287" s="9"/>
      <c r="D287" s="9"/>
      <c r="E287" s="9"/>
      <c r="F287" s="9"/>
      <c r="G287" s="9"/>
      <c r="H287" s="9"/>
      <c r="I287" s="9"/>
      <c r="J287" s="9"/>
      <c r="K287" s="16"/>
      <c r="L287" s="9"/>
      <c r="M287" s="9"/>
    </row>
    <row r="288" spans="1:20" x14ac:dyDescent="0.35">
      <c r="A288" s="1">
        <v>67886.100000000006</v>
      </c>
      <c r="B288" s="7">
        <v>1148299.3999999999</v>
      </c>
      <c r="D288" s="2">
        <v>276.10899999999998</v>
      </c>
      <c r="G288" s="2">
        <v>275.39600000000002</v>
      </c>
      <c r="J288" s="2">
        <v>267.92200000000003</v>
      </c>
      <c r="K288" s="15">
        <v>7.4749999999999996</v>
      </c>
      <c r="N288" s="7">
        <f>N286+(B288-B286)</f>
        <v>249</v>
      </c>
      <c r="O288" s="1">
        <f>19+16+16+16+16+16+16+16</f>
        <v>131</v>
      </c>
      <c r="P288" s="1" t="str">
        <f t="shared" ref="P288:P289" si="42">CONCATENATE(N288,",",O288)</f>
        <v>249,131</v>
      </c>
      <c r="Q288" s="6" t="s">
        <v>10</v>
      </c>
      <c r="R288" s="1">
        <v>90</v>
      </c>
      <c r="S288" s="1">
        <v>2.5</v>
      </c>
      <c r="T288" s="1" t="str">
        <f>$Q288&amp;" "&amp;$P288&amp;" "&amp;$S288&amp;" "&amp;$R288&amp;" "&amp;$J288</f>
        <v>-text 249,131 2.5 90 267.922</v>
      </c>
    </row>
    <row r="289" spans="1:20" x14ac:dyDescent="0.35">
      <c r="A289" s="1">
        <v>67900</v>
      </c>
      <c r="B289" s="7">
        <v>1148313.3</v>
      </c>
      <c r="D289" s="2">
        <v>276.16500000000002</v>
      </c>
      <c r="G289" s="2">
        <v>275.452</v>
      </c>
      <c r="J289" s="2">
        <v>268.10000000000002</v>
      </c>
      <c r="K289" s="15">
        <v>7.3529999999999998</v>
      </c>
      <c r="N289" s="7">
        <f t="shared" ref="N289:N294" si="43">N288+(B289-B288)</f>
        <v>262.9000000001397</v>
      </c>
      <c r="O289" s="1">
        <f t="shared" ref="O289:O352" si="44">19+16+16+16+16+16+16+16</f>
        <v>131</v>
      </c>
      <c r="P289" s="1" t="str">
        <f t="shared" si="42"/>
        <v>262.90000000014,131</v>
      </c>
      <c r="Q289" s="6" t="s">
        <v>10</v>
      </c>
      <c r="R289" s="1">
        <v>90</v>
      </c>
      <c r="S289" s="1">
        <v>2.5</v>
      </c>
      <c r="T289" s="1" t="str">
        <f t="shared" ref="T289:T352" si="45">$Q289&amp;" "&amp;$P289&amp;" "&amp;$S289&amp;" "&amp;$R289&amp;" "&amp;$J289</f>
        <v>-text 262.90000000014,131 2.5 90 268.1</v>
      </c>
    </row>
    <row r="290" spans="1:20" x14ac:dyDescent="0.35">
      <c r="A290" s="1">
        <v>67920</v>
      </c>
      <c r="B290" s="7">
        <v>1148333.3</v>
      </c>
      <c r="D290" s="2">
        <v>276.24599999999998</v>
      </c>
      <c r="G290" s="2">
        <v>275.53300000000002</v>
      </c>
      <c r="J290" s="2">
        <v>268.79199999999997</v>
      </c>
      <c r="K290" s="15">
        <v>6.74</v>
      </c>
      <c r="N290" s="7">
        <f t="shared" si="43"/>
        <v>282.9000000001397</v>
      </c>
      <c r="O290" s="1">
        <f t="shared" si="44"/>
        <v>131</v>
      </c>
      <c r="P290" s="1" t="str">
        <f t="shared" ref="P290:P294" si="46">CONCATENATE(N290,",",O290)</f>
        <v>282.90000000014,131</v>
      </c>
      <c r="Q290" s="6" t="s">
        <v>10</v>
      </c>
      <c r="R290" s="1">
        <v>90</v>
      </c>
      <c r="S290" s="1">
        <v>2.5</v>
      </c>
      <c r="T290" s="1" t="str">
        <f t="shared" si="45"/>
        <v>-text 282.90000000014,131 2.5 90 268.792</v>
      </c>
    </row>
    <row r="291" spans="1:20" x14ac:dyDescent="0.35">
      <c r="A291" s="1">
        <v>67940</v>
      </c>
      <c r="B291" s="7">
        <v>1148353.3</v>
      </c>
      <c r="D291" s="2">
        <v>276.32600000000002</v>
      </c>
      <c r="G291" s="2">
        <v>275.613</v>
      </c>
      <c r="J291" s="2">
        <v>268.74700000000001</v>
      </c>
      <c r="K291" s="15">
        <v>6.8659999999999997</v>
      </c>
      <c r="N291" s="7">
        <f t="shared" si="43"/>
        <v>302.9000000001397</v>
      </c>
      <c r="O291" s="1">
        <f t="shared" si="44"/>
        <v>131</v>
      </c>
      <c r="P291" s="1" t="str">
        <f t="shared" si="46"/>
        <v>302.90000000014,131</v>
      </c>
      <c r="Q291" s="6" t="s">
        <v>10</v>
      </c>
      <c r="R291" s="1">
        <v>90</v>
      </c>
      <c r="S291" s="1">
        <v>2.5</v>
      </c>
      <c r="T291" s="1" t="str">
        <f t="shared" si="45"/>
        <v>-text 302.90000000014,131 2.5 90 268.747</v>
      </c>
    </row>
    <row r="292" spans="1:20" x14ac:dyDescent="0.35">
      <c r="A292" s="1">
        <v>67960</v>
      </c>
      <c r="B292" s="7">
        <v>1148373.3</v>
      </c>
      <c r="D292" s="2">
        <v>276.40600000000001</v>
      </c>
      <c r="G292" s="2">
        <v>275.69299999999998</v>
      </c>
      <c r="J292" s="2">
        <v>268.92200000000003</v>
      </c>
      <c r="K292" s="15">
        <v>6.7709999999999999</v>
      </c>
      <c r="N292" s="7">
        <f t="shared" si="43"/>
        <v>322.9000000001397</v>
      </c>
      <c r="O292" s="1">
        <f t="shared" si="44"/>
        <v>131</v>
      </c>
      <c r="P292" s="1" t="str">
        <f t="shared" si="46"/>
        <v>322.90000000014,131</v>
      </c>
      <c r="Q292" s="6" t="s">
        <v>10</v>
      </c>
      <c r="R292" s="1">
        <v>90</v>
      </c>
      <c r="S292" s="1">
        <v>2.5</v>
      </c>
      <c r="T292" s="1" t="str">
        <f t="shared" si="45"/>
        <v>-text 322.90000000014,131 2.5 90 268.922</v>
      </c>
    </row>
    <row r="293" spans="1:20" x14ac:dyDescent="0.35">
      <c r="A293" s="1">
        <v>67980</v>
      </c>
      <c r="B293" s="7">
        <v>1148393.3</v>
      </c>
      <c r="D293" s="2">
        <v>276.48599999999999</v>
      </c>
      <c r="G293" s="2">
        <v>275.77300000000002</v>
      </c>
      <c r="J293" s="2">
        <v>269.22399999999999</v>
      </c>
      <c r="K293" s="15">
        <v>6.5490000000000004</v>
      </c>
      <c r="N293" s="7">
        <f t="shared" si="43"/>
        <v>342.9000000001397</v>
      </c>
      <c r="O293" s="1">
        <f t="shared" si="44"/>
        <v>131</v>
      </c>
      <c r="P293" s="1" t="str">
        <f t="shared" si="46"/>
        <v>342.90000000014,131</v>
      </c>
      <c r="Q293" s="6" t="s">
        <v>10</v>
      </c>
      <c r="R293" s="1">
        <v>90</v>
      </c>
      <c r="S293" s="1">
        <v>2.5</v>
      </c>
      <c r="T293" s="1" t="str">
        <f t="shared" si="45"/>
        <v>-text 342.90000000014,131 2.5 90 269.224</v>
      </c>
    </row>
    <row r="294" spans="1:20" x14ac:dyDescent="0.35">
      <c r="A294" s="1">
        <v>68000</v>
      </c>
      <c r="B294" s="7">
        <v>1148413.3</v>
      </c>
      <c r="D294" s="2">
        <v>276.56700000000001</v>
      </c>
      <c r="G294" s="2">
        <v>275.85399999999998</v>
      </c>
      <c r="J294" s="2">
        <v>269.33499999999998</v>
      </c>
      <c r="K294" s="15">
        <v>6.5190000000000001</v>
      </c>
      <c r="N294" s="7">
        <f t="shared" si="43"/>
        <v>362.9000000001397</v>
      </c>
      <c r="O294" s="1">
        <f t="shared" si="44"/>
        <v>131</v>
      </c>
      <c r="P294" s="1" t="str">
        <f t="shared" si="46"/>
        <v>362.90000000014,131</v>
      </c>
      <c r="Q294" s="6" t="s">
        <v>10</v>
      </c>
      <c r="R294" s="1">
        <v>90</v>
      </c>
      <c r="S294" s="1">
        <v>2.5</v>
      </c>
      <c r="T294" s="1" t="str">
        <f t="shared" si="45"/>
        <v>-text 362.90000000014,131 2.5 90 269.335</v>
      </c>
    </row>
    <row r="295" spans="1:20" s="10" customFormat="1" x14ac:dyDescent="0.35">
      <c r="B295" s="11"/>
      <c r="C295" s="9"/>
      <c r="D295" s="9"/>
      <c r="E295" s="9"/>
      <c r="F295" s="9"/>
      <c r="G295" s="9"/>
      <c r="H295" s="9"/>
      <c r="I295" s="9"/>
      <c r="J295" s="9"/>
      <c r="K295" s="16"/>
      <c r="L295" s="9"/>
      <c r="M295" s="9"/>
    </row>
    <row r="296" spans="1:20" x14ac:dyDescent="0.35">
      <c r="A296" s="1">
        <v>68000</v>
      </c>
      <c r="B296" s="7">
        <v>1148413.3</v>
      </c>
      <c r="D296" s="2">
        <v>276.56700000000001</v>
      </c>
      <c r="G296" s="2">
        <v>275.85399999999998</v>
      </c>
      <c r="J296" s="2">
        <v>269.33499999999998</v>
      </c>
      <c r="K296" s="15">
        <v>6.5190000000000001</v>
      </c>
      <c r="N296" s="7">
        <f>N295+(B2991-B295)</f>
        <v>0</v>
      </c>
      <c r="O296" s="1">
        <f t="shared" si="44"/>
        <v>131</v>
      </c>
      <c r="P296" s="1" t="str">
        <f t="shared" ref="P296:P297" si="47">CONCATENATE(N296,",",O296)</f>
        <v>0,131</v>
      </c>
      <c r="Q296" s="6" t="s">
        <v>10</v>
      </c>
      <c r="R296" s="1">
        <v>90</v>
      </c>
      <c r="S296" s="1">
        <v>2.5</v>
      </c>
      <c r="T296" s="1" t="str">
        <f t="shared" si="45"/>
        <v>-text 0,131 2.5 90 269.335</v>
      </c>
    </row>
    <row r="297" spans="1:20" x14ac:dyDescent="0.35">
      <c r="A297" s="1">
        <v>68020</v>
      </c>
      <c r="B297" s="7">
        <v>1148433.3</v>
      </c>
      <c r="D297" s="2">
        <v>276.64699999999999</v>
      </c>
      <c r="G297" s="2">
        <v>275.93400000000003</v>
      </c>
      <c r="J297" s="2">
        <v>269.30599999999998</v>
      </c>
      <c r="K297" s="15">
        <v>6.6280000000000001</v>
      </c>
      <c r="N297" s="7">
        <f t="shared" ref="N297:N321" si="48">N296+(B297-B296)</f>
        <v>20</v>
      </c>
      <c r="O297" s="1">
        <f t="shared" si="44"/>
        <v>131</v>
      </c>
      <c r="P297" s="1" t="str">
        <f t="shared" si="47"/>
        <v>20,131</v>
      </c>
      <c r="Q297" s="6" t="s">
        <v>10</v>
      </c>
      <c r="R297" s="1">
        <v>90</v>
      </c>
      <c r="S297" s="1">
        <v>2.5</v>
      </c>
      <c r="T297" s="1" t="str">
        <f t="shared" si="45"/>
        <v>-text 20,131 2.5 90 269.306</v>
      </c>
    </row>
    <row r="298" spans="1:20" x14ac:dyDescent="0.35">
      <c r="A298" s="1">
        <v>68040</v>
      </c>
      <c r="B298" s="7">
        <v>1148453.3</v>
      </c>
      <c r="D298" s="2">
        <v>276.72699999999998</v>
      </c>
      <c r="G298" s="2">
        <v>276.01400000000001</v>
      </c>
      <c r="J298" s="2">
        <v>269.24099999999999</v>
      </c>
      <c r="K298" s="15">
        <v>6.7729999999999997</v>
      </c>
      <c r="N298" s="7">
        <f t="shared" si="48"/>
        <v>40</v>
      </c>
      <c r="O298" s="1">
        <f t="shared" si="44"/>
        <v>131</v>
      </c>
      <c r="P298" s="1" t="str">
        <f t="shared" ref="P298:P321" si="49">CONCATENATE(N298,",",O298)</f>
        <v>40,131</v>
      </c>
      <c r="Q298" s="6" t="s">
        <v>10</v>
      </c>
      <c r="R298" s="1">
        <v>90</v>
      </c>
      <c r="S298" s="1">
        <v>2.5</v>
      </c>
      <c r="T298" s="1" t="str">
        <f t="shared" si="45"/>
        <v>-text 40,131 2.5 90 269.241</v>
      </c>
    </row>
    <row r="299" spans="1:20" x14ac:dyDescent="0.35">
      <c r="A299" s="1">
        <v>68060</v>
      </c>
      <c r="B299" s="7">
        <v>1148473.3</v>
      </c>
      <c r="D299" s="2">
        <v>276.80700000000002</v>
      </c>
      <c r="G299" s="2">
        <v>276.09399999999999</v>
      </c>
      <c r="J299" s="2">
        <v>269.07900000000001</v>
      </c>
      <c r="K299" s="15">
        <v>7.0149999999999997</v>
      </c>
      <c r="N299" s="7">
        <f t="shared" si="48"/>
        <v>60</v>
      </c>
      <c r="O299" s="1">
        <f t="shared" si="44"/>
        <v>131</v>
      </c>
      <c r="P299" s="1" t="str">
        <f t="shared" si="49"/>
        <v>60,131</v>
      </c>
      <c r="Q299" s="6" t="s">
        <v>10</v>
      </c>
      <c r="R299" s="1">
        <v>90</v>
      </c>
      <c r="S299" s="1">
        <v>2.5</v>
      </c>
      <c r="T299" s="1" t="str">
        <f t="shared" si="45"/>
        <v>-text 60,131 2.5 90 269.079</v>
      </c>
    </row>
    <row r="300" spans="1:20" x14ac:dyDescent="0.35">
      <c r="A300" s="1">
        <v>68080</v>
      </c>
      <c r="B300" s="7">
        <v>1148493.3</v>
      </c>
      <c r="D300" s="2">
        <v>276.88799999999998</v>
      </c>
      <c r="G300" s="2">
        <v>276.17500000000001</v>
      </c>
      <c r="J300" s="2">
        <v>268.911</v>
      </c>
      <c r="K300" s="15">
        <v>7.2629999999999999</v>
      </c>
      <c r="N300" s="7">
        <f t="shared" si="48"/>
        <v>80</v>
      </c>
      <c r="O300" s="1">
        <f t="shared" si="44"/>
        <v>131</v>
      </c>
      <c r="P300" s="1" t="str">
        <f t="shared" si="49"/>
        <v>80,131</v>
      </c>
      <c r="Q300" s="6" t="s">
        <v>10</v>
      </c>
      <c r="R300" s="1">
        <v>90</v>
      </c>
      <c r="S300" s="1">
        <v>2.5</v>
      </c>
      <c r="T300" s="1" t="str">
        <f t="shared" si="45"/>
        <v>-text 80,131 2.5 90 268.911</v>
      </c>
    </row>
    <row r="301" spans="1:20" x14ac:dyDescent="0.35">
      <c r="A301" s="1">
        <v>68100</v>
      </c>
      <c r="B301" s="7">
        <v>1148513.3</v>
      </c>
      <c r="D301" s="2">
        <v>276.96800000000002</v>
      </c>
      <c r="G301" s="2">
        <v>276.255</v>
      </c>
      <c r="J301" s="2">
        <v>268.94499999999999</v>
      </c>
      <c r="K301" s="15">
        <v>7.3090000000000002</v>
      </c>
      <c r="N301" s="7">
        <f t="shared" si="48"/>
        <v>100</v>
      </c>
      <c r="O301" s="1">
        <f t="shared" si="44"/>
        <v>131</v>
      </c>
      <c r="P301" s="1" t="str">
        <f t="shared" si="49"/>
        <v>100,131</v>
      </c>
      <c r="Q301" s="6" t="s">
        <v>10</v>
      </c>
      <c r="R301" s="1">
        <v>90</v>
      </c>
      <c r="S301" s="1">
        <v>2.5</v>
      </c>
      <c r="T301" s="1" t="str">
        <f t="shared" si="45"/>
        <v>-text 100,131 2.5 90 268.945</v>
      </c>
    </row>
    <row r="302" spans="1:20" x14ac:dyDescent="0.35">
      <c r="A302" s="1">
        <v>68120</v>
      </c>
      <c r="B302" s="7">
        <v>1148533.3</v>
      </c>
      <c r="D302" s="2">
        <v>277.048</v>
      </c>
      <c r="G302" s="2">
        <v>276.33499999999998</v>
      </c>
      <c r="J302" s="2">
        <v>268.99299999999999</v>
      </c>
      <c r="K302" s="15">
        <v>7.3419999999999996</v>
      </c>
      <c r="N302" s="7">
        <f t="shared" si="48"/>
        <v>120</v>
      </c>
      <c r="O302" s="1">
        <f t="shared" si="44"/>
        <v>131</v>
      </c>
      <c r="P302" s="1" t="str">
        <f t="shared" si="49"/>
        <v>120,131</v>
      </c>
      <c r="Q302" s="6" t="s">
        <v>10</v>
      </c>
      <c r="R302" s="1">
        <v>90</v>
      </c>
      <c r="S302" s="1">
        <v>2.5</v>
      </c>
      <c r="T302" s="1" t="str">
        <f t="shared" si="45"/>
        <v>-text 120,131 2.5 90 268.993</v>
      </c>
    </row>
    <row r="303" spans="1:20" x14ac:dyDescent="0.35">
      <c r="A303" s="1">
        <v>68140</v>
      </c>
      <c r="B303" s="7">
        <v>1148553.3</v>
      </c>
      <c r="D303" s="2">
        <v>277.12799999999999</v>
      </c>
      <c r="G303" s="2">
        <v>276.41500000000002</v>
      </c>
      <c r="J303" s="2">
        <v>269.06099999999998</v>
      </c>
      <c r="K303" s="15">
        <v>7.3550000000000004</v>
      </c>
      <c r="N303" s="7">
        <f t="shared" si="48"/>
        <v>140</v>
      </c>
      <c r="O303" s="1">
        <f t="shared" si="44"/>
        <v>131</v>
      </c>
      <c r="P303" s="1" t="str">
        <f t="shared" si="49"/>
        <v>140,131</v>
      </c>
      <c r="Q303" s="6" t="s">
        <v>10</v>
      </c>
      <c r="R303" s="1">
        <v>90</v>
      </c>
      <c r="S303" s="1">
        <v>2.5</v>
      </c>
      <c r="T303" s="1" t="str">
        <f t="shared" si="45"/>
        <v>-text 140,131 2.5 90 269.061</v>
      </c>
    </row>
    <row r="304" spans="1:20" x14ac:dyDescent="0.35">
      <c r="A304" s="1">
        <v>68160</v>
      </c>
      <c r="B304" s="7">
        <v>1148573.3</v>
      </c>
      <c r="D304" s="2">
        <v>277.209</v>
      </c>
      <c r="G304" s="2">
        <v>276.49599999999998</v>
      </c>
      <c r="J304" s="2">
        <v>269.18799999999999</v>
      </c>
      <c r="K304" s="15">
        <v>7.3070000000000004</v>
      </c>
      <c r="N304" s="7">
        <f t="shared" si="48"/>
        <v>160</v>
      </c>
      <c r="O304" s="1">
        <f t="shared" si="44"/>
        <v>131</v>
      </c>
      <c r="P304" s="1" t="str">
        <f t="shared" si="49"/>
        <v>160,131</v>
      </c>
      <c r="Q304" s="6" t="s">
        <v>10</v>
      </c>
      <c r="R304" s="1">
        <v>90</v>
      </c>
      <c r="S304" s="1">
        <v>2.5</v>
      </c>
      <c r="T304" s="1" t="str">
        <f t="shared" si="45"/>
        <v>-text 160,131 2.5 90 269.188</v>
      </c>
    </row>
    <row r="305" spans="1:20" x14ac:dyDescent="0.35">
      <c r="A305" s="1">
        <v>68180</v>
      </c>
      <c r="B305" s="7">
        <v>1148593.3</v>
      </c>
      <c r="D305" s="2">
        <v>277.28899999999999</v>
      </c>
      <c r="G305" s="2">
        <v>276.57600000000002</v>
      </c>
      <c r="J305" s="2">
        <v>269.05599999999998</v>
      </c>
      <c r="K305" s="15">
        <v>7.52</v>
      </c>
      <c r="N305" s="7">
        <f t="shared" si="48"/>
        <v>180</v>
      </c>
      <c r="O305" s="1">
        <f t="shared" si="44"/>
        <v>131</v>
      </c>
      <c r="P305" s="1" t="str">
        <f t="shared" si="49"/>
        <v>180,131</v>
      </c>
      <c r="Q305" s="6" t="s">
        <v>10</v>
      </c>
      <c r="R305" s="1">
        <v>90</v>
      </c>
      <c r="S305" s="1">
        <v>2.5</v>
      </c>
      <c r="T305" s="1" t="str">
        <f t="shared" si="45"/>
        <v>-text 180,131 2.5 90 269.056</v>
      </c>
    </row>
    <row r="306" spans="1:20" x14ac:dyDescent="0.35">
      <c r="A306" s="1">
        <v>68200</v>
      </c>
      <c r="B306" s="7">
        <v>1148613.3</v>
      </c>
      <c r="D306" s="2">
        <v>277.36900000000003</v>
      </c>
      <c r="G306" s="2">
        <v>276.65600000000001</v>
      </c>
      <c r="J306" s="2">
        <v>268.97300000000001</v>
      </c>
      <c r="K306" s="15">
        <v>7.6829999999999998</v>
      </c>
      <c r="N306" s="7">
        <f t="shared" si="48"/>
        <v>200</v>
      </c>
      <c r="O306" s="1">
        <f t="shared" si="44"/>
        <v>131</v>
      </c>
      <c r="P306" s="1" t="str">
        <f t="shared" si="49"/>
        <v>200,131</v>
      </c>
      <c r="Q306" s="6" t="s">
        <v>10</v>
      </c>
      <c r="R306" s="1">
        <v>90</v>
      </c>
      <c r="S306" s="1">
        <v>2.5</v>
      </c>
      <c r="T306" s="1" t="str">
        <f t="shared" si="45"/>
        <v>-text 200,131 2.5 90 268.973</v>
      </c>
    </row>
    <row r="307" spans="1:20" x14ac:dyDescent="0.35">
      <c r="A307" s="1">
        <v>68220</v>
      </c>
      <c r="B307" s="7">
        <v>1148633.3</v>
      </c>
      <c r="D307" s="2">
        <v>277.44900000000001</v>
      </c>
      <c r="G307" s="2">
        <v>276.73599999999999</v>
      </c>
      <c r="J307" s="2">
        <v>268.92899999999997</v>
      </c>
      <c r="K307" s="15">
        <v>7.8070000000000004</v>
      </c>
      <c r="N307" s="7">
        <f t="shared" si="48"/>
        <v>220</v>
      </c>
      <c r="O307" s="1">
        <f t="shared" si="44"/>
        <v>131</v>
      </c>
      <c r="P307" s="1" t="str">
        <f t="shared" si="49"/>
        <v>220,131</v>
      </c>
      <c r="Q307" s="6" t="s">
        <v>10</v>
      </c>
      <c r="R307" s="1">
        <v>90</v>
      </c>
      <c r="S307" s="1">
        <v>2.5</v>
      </c>
      <c r="T307" s="1" t="str">
        <f t="shared" si="45"/>
        <v>-text 220,131 2.5 90 268.929</v>
      </c>
    </row>
    <row r="308" spans="1:20" x14ac:dyDescent="0.35">
      <c r="A308" s="1">
        <v>68240</v>
      </c>
      <c r="B308" s="7">
        <v>1148653.3</v>
      </c>
      <c r="D308" s="2">
        <v>277.52999999999997</v>
      </c>
      <c r="G308" s="2">
        <v>276.81700000000001</v>
      </c>
      <c r="J308" s="2">
        <v>268.93900000000002</v>
      </c>
      <c r="K308" s="15">
        <v>7.8780000000000001</v>
      </c>
      <c r="N308" s="7">
        <f t="shared" si="48"/>
        <v>240</v>
      </c>
      <c r="O308" s="1">
        <f t="shared" si="44"/>
        <v>131</v>
      </c>
      <c r="P308" s="1" t="str">
        <f t="shared" si="49"/>
        <v>240,131</v>
      </c>
      <c r="Q308" s="6" t="s">
        <v>10</v>
      </c>
      <c r="R308" s="1">
        <v>90</v>
      </c>
      <c r="S308" s="1">
        <v>2.5</v>
      </c>
      <c r="T308" s="1" t="str">
        <f t="shared" si="45"/>
        <v>-text 240,131 2.5 90 268.939</v>
      </c>
    </row>
    <row r="309" spans="1:20" x14ac:dyDescent="0.35">
      <c r="A309" s="1">
        <v>68260</v>
      </c>
      <c r="B309" s="7">
        <v>1148673.3</v>
      </c>
      <c r="D309" s="2">
        <v>277.61</v>
      </c>
      <c r="G309" s="2">
        <v>276.89699999999999</v>
      </c>
      <c r="J309" s="2">
        <v>269.04500000000002</v>
      </c>
      <c r="K309" s="15">
        <v>7.8520000000000003</v>
      </c>
      <c r="N309" s="7">
        <f t="shared" si="48"/>
        <v>260</v>
      </c>
      <c r="O309" s="1">
        <f t="shared" si="44"/>
        <v>131</v>
      </c>
      <c r="P309" s="1" t="str">
        <f t="shared" si="49"/>
        <v>260,131</v>
      </c>
      <c r="Q309" s="6" t="s">
        <v>10</v>
      </c>
      <c r="R309" s="1">
        <v>90</v>
      </c>
      <c r="S309" s="1">
        <v>2.5</v>
      </c>
      <c r="T309" s="1" t="str">
        <f t="shared" si="45"/>
        <v>-text 260,131 2.5 90 269.045</v>
      </c>
    </row>
    <row r="310" spans="1:20" x14ac:dyDescent="0.35">
      <c r="A310" s="1">
        <v>68280</v>
      </c>
      <c r="B310" s="7">
        <v>1148693.3</v>
      </c>
      <c r="D310" s="2">
        <v>277.69</v>
      </c>
      <c r="G310" s="2">
        <v>276.97699999999998</v>
      </c>
      <c r="J310" s="2">
        <v>269.16300000000001</v>
      </c>
      <c r="K310" s="15">
        <v>7.8140000000000001</v>
      </c>
      <c r="N310" s="7">
        <f t="shared" si="48"/>
        <v>280</v>
      </c>
      <c r="O310" s="1">
        <f t="shared" si="44"/>
        <v>131</v>
      </c>
      <c r="P310" s="1" t="str">
        <f t="shared" si="49"/>
        <v>280,131</v>
      </c>
      <c r="Q310" s="6" t="s">
        <v>10</v>
      </c>
      <c r="R310" s="1">
        <v>90</v>
      </c>
      <c r="S310" s="1">
        <v>2.5</v>
      </c>
      <c r="T310" s="1" t="str">
        <f t="shared" si="45"/>
        <v>-text 280,131 2.5 90 269.163</v>
      </c>
    </row>
    <row r="311" spans="1:20" x14ac:dyDescent="0.35">
      <c r="A311" s="1">
        <v>68300</v>
      </c>
      <c r="B311" s="7">
        <v>1148713.3</v>
      </c>
      <c r="D311" s="2">
        <v>277.76</v>
      </c>
      <c r="G311" s="2">
        <v>277.04700000000003</v>
      </c>
      <c r="J311" s="2">
        <v>269.16800000000001</v>
      </c>
      <c r="K311" s="15">
        <v>7.8789999999999996</v>
      </c>
      <c r="N311" s="7">
        <f t="shared" si="48"/>
        <v>300</v>
      </c>
      <c r="O311" s="1">
        <f t="shared" si="44"/>
        <v>131</v>
      </c>
      <c r="P311" s="1" t="str">
        <f t="shared" si="49"/>
        <v>300,131</v>
      </c>
      <c r="Q311" s="6" t="s">
        <v>10</v>
      </c>
      <c r="R311" s="1">
        <v>90</v>
      </c>
      <c r="S311" s="1">
        <v>2.5</v>
      </c>
      <c r="T311" s="1" t="str">
        <f t="shared" si="45"/>
        <v>-text 300,131 2.5 90 269.168</v>
      </c>
    </row>
    <row r="312" spans="1:20" x14ac:dyDescent="0.35">
      <c r="A312" s="1">
        <v>68320</v>
      </c>
      <c r="B312" s="7">
        <v>1148733.3</v>
      </c>
      <c r="D312" s="2">
        <v>277.76</v>
      </c>
      <c r="G312" s="2">
        <v>277.04700000000003</v>
      </c>
      <c r="J312" s="2">
        <v>269.096</v>
      </c>
      <c r="K312" s="15">
        <v>7.9509999999999996</v>
      </c>
      <c r="N312" s="7">
        <f t="shared" si="48"/>
        <v>320</v>
      </c>
      <c r="O312" s="1">
        <f t="shared" si="44"/>
        <v>131</v>
      </c>
      <c r="P312" s="1" t="str">
        <f t="shared" si="49"/>
        <v>320,131</v>
      </c>
      <c r="Q312" s="6" t="s">
        <v>10</v>
      </c>
      <c r="R312" s="1">
        <v>90</v>
      </c>
      <c r="S312" s="1">
        <v>2.5</v>
      </c>
      <c r="T312" s="1" t="str">
        <f t="shared" si="45"/>
        <v>-text 320,131 2.5 90 269.096</v>
      </c>
    </row>
    <row r="313" spans="1:20" x14ac:dyDescent="0.35">
      <c r="A313" s="1">
        <v>68340</v>
      </c>
      <c r="B313" s="7">
        <v>1148753.3</v>
      </c>
      <c r="D313" s="2">
        <v>277.76</v>
      </c>
      <c r="G313" s="2">
        <v>277.04700000000003</v>
      </c>
      <c r="J313" s="2">
        <v>269.149</v>
      </c>
      <c r="K313" s="15">
        <v>7.8979999999999997</v>
      </c>
      <c r="N313" s="7">
        <f t="shared" si="48"/>
        <v>340</v>
      </c>
      <c r="O313" s="1">
        <f t="shared" si="44"/>
        <v>131</v>
      </c>
      <c r="P313" s="1" t="str">
        <f t="shared" si="49"/>
        <v>340,131</v>
      </c>
      <c r="Q313" s="6" t="s">
        <v>10</v>
      </c>
      <c r="R313" s="1">
        <v>90</v>
      </c>
      <c r="S313" s="1">
        <v>2.5</v>
      </c>
      <c r="T313" s="1" t="str">
        <f t="shared" si="45"/>
        <v>-text 340,131 2.5 90 269.149</v>
      </c>
    </row>
    <row r="314" spans="1:20" x14ac:dyDescent="0.35">
      <c r="A314" s="1">
        <v>68360</v>
      </c>
      <c r="B314" s="7">
        <v>1148773.3</v>
      </c>
      <c r="D314" s="2">
        <v>277.76</v>
      </c>
      <c r="G314" s="2">
        <v>277.04700000000003</v>
      </c>
      <c r="J314" s="2">
        <v>269.43700000000001</v>
      </c>
      <c r="K314" s="15">
        <v>7.61</v>
      </c>
      <c r="N314" s="7">
        <f t="shared" si="48"/>
        <v>360</v>
      </c>
      <c r="O314" s="1">
        <f t="shared" si="44"/>
        <v>131</v>
      </c>
      <c r="P314" s="1" t="str">
        <f t="shared" si="49"/>
        <v>360,131</v>
      </c>
      <c r="Q314" s="6" t="s">
        <v>10</v>
      </c>
      <c r="R314" s="1">
        <v>90</v>
      </c>
      <c r="S314" s="1">
        <v>2.5</v>
      </c>
      <c r="T314" s="1" t="str">
        <f t="shared" si="45"/>
        <v>-text 360,131 2.5 90 269.437</v>
      </c>
    </row>
    <row r="315" spans="1:20" x14ac:dyDescent="0.35">
      <c r="A315" s="1">
        <v>68380</v>
      </c>
      <c r="B315" s="7">
        <v>1148793.3</v>
      </c>
      <c r="D315" s="2">
        <v>277.76</v>
      </c>
      <c r="G315" s="2">
        <v>277.04700000000003</v>
      </c>
      <c r="J315" s="2">
        <v>269.59899999999999</v>
      </c>
      <c r="K315" s="15">
        <v>7.4480000000000004</v>
      </c>
      <c r="N315" s="7">
        <f t="shared" si="48"/>
        <v>380</v>
      </c>
      <c r="O315" s="1">
        <f t="shared" si="44"/>
        <v>131</v>
      </c>
      <c r="P315" s="1" t="str">
        <f t="shared" si="49"/>
        <v>380,131</v>
      </c>
      <c r="Q315" s="6" t="s">
        <v>10</v>
      </c>
      <c r="R315" s="1">
        <v>90</v>
      </c>
      <c r="S315" s="1">
        <v>2.5</v>
      </c>
      <c r="T315" s="1" t="str">
        <f t="shared" si="45"/>
        <v>-text 380,131 2.5 90 269.599</v>
      </c>
    </row>
    <row r="316" spans="1:20" x14ac:dyDescent="0.35">
      <c r="A316" s="1">
        <v>68400</v>
      </c>
      <c r="B316" s="7">
        <v>1148813.3</v>
      </c>
      <c r="D316" s="2">
        <v>277.76</v>
      </c>
      <c r="G316" s="2">
        <v>277.04700000000003</v>
      </c>
      <c r="J316" s="2">
        <v>269.47000000000003</v>
      </c>
      <c r="K316" s="15">
        <v>7.577</v>
      </c>
      <c r="N316" s="7">
        <f t="shared" si="48"/>
        <v>400</v>
      </c>
      <c r="O316" s="1">
        <f t="shared" si="44"/>
        <v>131</v>
      </c>
      <c r="P316" s="1" t="str">
        <f t="shared" si="49"/>
        <v>400,131</v>
      </c>
      <c r="Q316" s="6" t="s">
        <v>10</v>
      </c>
      <c r="R316" s="1">
        <v>90</v>
      </c>
      <c r="S316" s="1">
        <v>2.5</v>
      </c>
      <c r="T316" s="1" t="str">
        <f t="shared" si="45"/>
        <v>-text 400,131 2.5 90 269.47</v>
      </c>
    </row>
    <row r="317" spans="1:20" x14ac:dyDescent="0.35">
      <c r="A317" s="1">
        <v>68420</v>
      </c>
      <c r="B317" s="7">
        <v>1148833.3</v>
      </c>
      <c r="D317" s="2">
        <v>277.76</v>
      </c>
      <c r="G317" s="2">
        <v>277.04700000000003</v>
      </c>
      <c r="J317" s="2">
        <v>269.38299999999998</v>
      </c>
      <c r="K317" s="15">
        <v>7.6639999999999997</v>
      </c>
      <c r="N317" s="7">
        <f t="shared" si="48"/>
        <v>420</v>
      </c>
      <c r="O317" s="1">
        <f t="shared" si="44"/>
        <v>131</v>
      </c>
      <c r="P317" s="1" t="str">
        <f t="shared" si="49"/>
        <v>420,131</v>
      </c>
      <c r="Q317" s="6" t="s">
        <v>10</v>
      </c>
      <c r="R317" s="1">
        <v>90</v>
      </c>
      <c r="S317" s="1">
        <v>2.5</v>
      </c>
      <c r="T317" s="1" t="str">
        <f t="shared" si="45"/>
        <v>-text 420,131 2.5 90 269.383</v>
      </c>
    </row>
    <row r="318" spans="1:20" x14ac:dyDescent="0.35">
      <c r="A318" s="1">
        <v>68440</v>
      </c>
      <c r="B318" s="7">
        <v>1148853.3</v>
      </c>
      <c r="D318" s="2">
        <v>277.76</v>
      </c>
      <c r="G318" s="2">
        <v>277.04700000000003</v>
      </c>
      <c r="J318" s="2">
        <v>269.637</v>
      </c>
      <c r="K318" s="15">
        <v>7.41</v>
      </c>
      <c r="N318" s="7">
        <f t="shared" si="48"/>
        <v>440</v>
      </c>
      <c r="O318" s="1">
        <f t="shared" si="44"/>
        <v>131</v>
      </c>
      <c r="P318" s="1" t="str">
        <f t="shared" si="49"/>
        <v>440,131</v>
      </c>
      <c r="Q318" s="6" t="s">
        <v>10</v>
      </c>
      <c r="R318" s="1">
        <v>90</v>
      </c>
      <c r="S318" s="1">
        <v>2.5</v>
      </c>
      <c r="T318" s="1" t="str">
        <f t="shared" si="45"/>
        <v>-text 440,131 2.5 90 269.637</v>
      </c>
    </row>
    <row r="319" spans="1:20" x14ac:dyDescent="0.35">
      <c r="A319" s="1">
        <v>68460</v>
      </c>
      <c r="B319" s="7">
        <v>1148873.3</v>
      </c>
      <c r="D319" s="2">
        <v>277.76</v>
      </c>
      <c r="G319" s="2">
        <v>277.04700000000003</v>
      </c>
      <c r="J319" s="2">
        <v>269.74200000000002</v>
      </c>
      <c r="K319" s="15">
        <v>7.3049999999999997</v>
      </c>
      <c r="N319" s="7">
        <f t="shared" si="48"/>
        <v>460</v>
      </c>
      <c r="O319" s="1">
        <f t="shared" si="44"/>
        <v>131</v>
      </c>
      <c r="P319" s="1" t="str">
        <f t="shared" si="49"/>
        <v>460,131</v>
      </c>
      <c r="Q319" s="6" t="s">
        <v>10</v>
      </c>
      <c r="R319" s="1">
        <v>90</v>
      </c>
      <c r="S319" s="1">
        <v>2.5</v>
      </c>
      <c r="T319" s="1" t="str">
        <f t="shared" si="45"/>
        <v>-text 460,131 2.5 90 269.742</v>
      </c>
    </row>
    <row r="320" spans="1:20" x14ac:dyDescent="0.35">
      <c r="A320" s="1">
        <v>68480</v>
      </c>
      <c r="B320" s="7">
        <v>1148893.3</v>
      </c>
      <c r="D320" s="2">
        <v>277.76</v>
      </c>
      <c r="G320" s="2">
        <v>277.04700000000003</v>
      </c>
      <c r="J320" s="2">
        <v>269.80200000000002</v>
      </c>
      <c r="K320" s="15">
        <v>7.2450000000000001</v>
      </c>
      <c r="N320" s="7">
        <f t="shared" si="48"/>
        <v>480</v>
      </c>
      <c r="O320" s="1">
        <f t="shared" si="44"/>
        <v>131</v>
      </c>
      <c r="P320" s="1" t="str">
        <f t="shared" si="49"/>
        <v>480,131</v>
      </c>
      <c r="Q320" s="6" t="s">
        <v>10</v>
      </c>
      <c r="R320" s="1">
        <v>90</v>
      </c>
      <c r="S320" s="1">
        <v>2.5</v>
      </c>
      <c r="T320" s="1" t="str">
        <f t="shared" si="45"/>
        <v>-text 480,131 2.5 90 269.802</v>
      </c>
    </row>
    <row r="321" spans="1:20" x14ac:dyDescent="0.35">
      <c r="A321" s="1">
        <v>68500</v>
      </c>
      <c r="B321" s="7">
        <v>1148913.3</v>
      </c>
      <c r="D321" s="2">
        <v>277.76</v>
      </c>
      <c r="G321" s="2">
        <v>277.04700000000003</v>
      </c>
      <c r="J321" s="2">
        <v>269.72199999999998</v>
      </c>
      <c r="K321" s="15">
        <v>7.3250000000000002</v>
      </c>
      <c r="N321" s="7">
        <f t="shared" si="48"/>
        <v>500</v>
      </c>
      <c r="O321" s="1">
        <f t="shared" si="44"/>
        <v>131</v>
      </c>
      <c r="P321" s="1" t="str">
        <f t="shared" si="49"/>
        <v>500,131</v>
      </c>
      <c r="Q321" s="6" t="s">
        <v>10</v>
      </c>
      <c r="R321" s="1">
        <v>90</v>
      </c>
      <c r="S321" s="1">
        <v>2.5</v>
      </c>
      <c r="T321" s="1" t="str">
        <f t="shared" si="45"/>
        <v>-text 500,131 2.5 90 269.722</v>
      </c>
    </row>
    <row r="322" spans="1:20" s="10" customFormat="1" x14ac:dyDescent="0.35">
      <c r="B322" s="11"/>
      <c r="C322" s="9"/>
      <c r="D322" s="9"/>
      <c r="E322" s="9"/>
      <c r="F322" s="9"/>
      <c r="G322" s="9"/>
      <c r="H322" s="9"/>
      <c r="I322" s="9"/>
      <c r="J322" s="9"/>
      <c r="K322" s="16"/>
      <c r="L322" s="9"/>
      <c r="M322" s="9"/>
    </row>
    <row r="323" spans="1:20" x14ac:dyDescent="0.35">
      <c r="A323" s="1">
        <v>68500</v>
      </c>
      <c r="B323" s="7">
        <v>1148913.3</v>
      </c>
      <c r="D323" s="2">
        <v>277.76</v>
      </c>
      <c r="G323" s="2">
        <v>277.04700000000003</v>
      </c>
      <c r="J323" s="2">
        <v>269.72199999999998</v>
      </c>
      <c r="K323" s="15">
        <v>7.3250000000000002</v>
      </c>
      <c r="N323" s="7">
        <v>0</v>
      </c>
      <c r="O323" s="1">
        <f t="shared" si="44"/>
        <v>131</v>
      </c>
      <c r="P323" s="1" t="str">
        <f t="shared" ref="P323:P324" si="50">CONCATENATE(N323,",",O323)</f>
        <v>0,131</v>
      </c>
      <c r="Q323" s="6" t="s">
        <v>10</v>
      </c>
      <c r="R323" s="1">
        <v>90</v>
      </c>
      <c r="S323" s="1">
        <v>2.5</v>
      </c>
      <c r="T323" s="1" t="str">
        <f t="shared" si="45"/>
        <v>-text 0,131 2.5 90 269.722</v>
      </c>
    </row>
    <row r="324" spans="1:20" x14ac:dyDescent="0.35">
      <c r="A324" s="1">
        <v>68520</v>
      </c>
      <c r="B324" s="7">
        <v>1148933.3</v>
      </c>
      <c r="D324" s="2">
        <v>277.76</v>
      </c>
      <c r="G324" s="2">
        <v>277.04700000000003</v>
      </c>
      <c r="J324" s="2">
        <v>269.60300000000001</v>
      </c>
      <c r="K324" s="15">
        <v>7.444</v>
      </c>
      <c r="N324" s="7">
        <f t="shared" ref="N324:N348" si="51">N323+(B324-B323)</f>
        <v>20</v>
      </c>
      <c r="O324" s="1">
        <f t="shared" si="44"/>
        <v>131</v>
      </c>
      <c r="P324" s="1" t="str">
        <f t="shared" si="50"/>
        <v>20,131</v>
      </c>
      <c r="Q324" s="6" t="s">
        <v>10</v>
      </c>
      <c r="R324" s="1">
        <v>90</v>
      </c>
      <c r="S324" s="1">
        <v>2.5</v>
      </c>
      <c r="T324" s="1" t="str">
        <f t="shared" si="45"/>
        <v>-text 20,131 2.5 90 269.603</v>
      </c>
    </row>
    <row r="325" spans="1:20" x14ac:dyDescent="0.35">
      <c r="A325" s="1">
        <v>68540</v>
      </c>
      <c r="B325" s="7">
        <v>1148953.3</v>
      </c>
      <c r="D325" s="2">
        <v>277.76</v>
      </c>
      <c r="G325" s="2">
        <v>277.04700000000003</v>
      </c>
      <c r="J325" s="2">
        <v>268.52699999999999</v>
      </c>
      <c r="K325" s="15">
        <v>8.52</v>
      </c>
      <c r="N325" s="7">
        <f t="shared" si="51"/>
        <v>40</v>
      </c>
      <c r="O325" s="1">
        <f t="shared" si="44"/>
        <v>131</v>
      </c>
      <c r="P325" s="1" t="str">
        <f t="shared" ref="P325:P348" si="52">CONCATENATE(N325,",",O325)</f>
        <v>40,131</v>
      </c>
      <c r="Q325" s="6" t="s">
        <v>10</v>
      </c>
      <c r="R325" s="1">
        <v>90</v>
      </c>
      <c r="S325" s="1">
        <v>2.5</v>
      </c>
      <c r="T325" s="1" t="str">
        <f t="shared" si="45"/>
        <v>-text 40,131 2.5 90 268.527</v>
      </c>
    </row>
    <row r="326" spans="1:20" x14ac:dyDescent="0.35">
      <c r="A326" s="1">
        <v>68560</v>
      </c>
      <c r="B326" s="7">
        <v>1148973.3</v>
      </c>
      <c r="D326" s="2">
        <v>277.76</v>
      </c>
      <c r="G326" s="2">
        <v>277.04700000000003</v>
      </c>
      <c r="J326" s="2">
        <v>268.77499999999998</v>
      </c>
      <c r="K326" s="15">
        <v>8.2720000000000002</v>
      </c>
      <c r="N326" s="7">
        <f t="shared" si="51"/>
        <v>60</v>
      </c>
      <c r="O326" s="1">
        <f t="shared" si="44"/>
        <v>131</v>
      </c>
      <c r="P326" s="1" t="str">
        <f t="shared" si="52"/>
        <v>60,131</v>
      </c>
      <c r="Q326" s="6" t="s">
        <v>10</v>
      </c>
      <c r="R326" s="1">
        <v>90</v>
      </c>
      <c r="S326" s="1">
        <v>2.5</v>
      </c>
      <c r="T326" s="1" t="str">
        <f t="shared" si="45"/>
        <v>-text 60,131 2.5 90 268.775</v>
      </c>
    </row>
    <row r="327" spans="1:20" x14ac:dyDescent="0.35">
      <c r="A327" s="1">
        <v>68580</v>
      </c>
      <c r="B327" s="7">
        <v>1148993.3</v>
      </c>
      <c r="D327" s="2">
        <v>277.76</v>
      </c>
      <c r="G327" s="2">
        <v>277.04700000000003</v>
      </c>
      <c r="J327" s="2">
        <v>270.16800000000001</v>
      </c>
      <c r="K327" s="15">
        <v>6.8789999999999996</v>
      </c>
      <c r="N327" s="7">
        <f t="shared" si="51"/>
        <v>80</v>
      </c>
      <c r="O327" s="1">
        <f t="shared" si="44"/>
        <v>131</v>
      </c>
      <c r="P327" s="1" t="str">
        <f t="shared" si="52"/>
        <v>80,131</v>
      </c>
      <c r="Q327" s="6" t="s">
        <v>10</v>
      </c>
      <c r="R327" s="1">
        <v>90</v>
      </c>
      <c r="S327" s="1">
        <v>2.5</v>
      </c>
      <c r="T327" s="1" t="str">
        <f t="shared" si="45"/>
        <v>-text 80,131 2.5 90 270.168</v>
      </c>
    </row>
    <row r="328" spans="1:20" x14ac:dyDescent="0.35">
      <c r="A328" s="1">
        <v>68600</v>
      </c>
      <c r="B328" s="7">
        <v>1149013.3</v>
      </c>
      <c r="D328" s="2">
        <v>277.76</v>
      </c>
      <c r="G328" s="2">
        <v>277.04700000000003</v>
      </c>
      <c r="J328" s="2">
        <v>268.66399999999999</v>
      </c>
      <c r="K328" s="15">
        <v>8.3829999999999991</v>
      </c>
      <c r="N328" s="7">
        <f t="shared" si="51"/>
        <v>100</v>
      </c>
      <c r="O328" s="1">
        <f t="shared" si="44"/>
        <v>131</v>
      </c>
      <c r="P328" s="1" t="str">
        <f t="shared" si="52"/>
        <v>100,131</v>
      </c>
      <c r="Q328" s="6" t="s">
        <v>10</v>
      </c>
      <c r="R328" s="1">
        <v>90</v>
      </c>
      <c r="S328" s="1">
        <v>2.5</v>
      </c>
      <c r="T328" s="1" t="str">
        <f t="shared" si="45"/>
        <v>-text 100,131 2.5 90 268.664</v>
      </c>
    </row>
    <row r="329" spans="1:20" x14ac:dyDescent="0.35">
      <c r="A329" s="1">
        <v>68620</v>
      </c>
      <c r="B329" s="7">
        <v>1149033.3</v>
      </c>
      <c r="D329" s="2">
        <v>277.76</v>
      </c>
      <c r="G329" s="2">
        <v>277.04700000000003</v>
      </c>
      <c r="J329" s="2">
        <v>267.37400000000002</v>
      </c>
      <c r="K329" s="15">
        <v>9.673</v>
      </c>
      <c r="N329" s="7">
        <f t="shared" si="51"/>
        <v>120</v>
      </c>
      <c r="O329" s="1">
        <f t="shared" si="44"/>
        <v>131</v>
      </c>
      <c r="P329" s="1" t="str">
        <f t="shared" si="52"/>
        <v>120,131</v>
      </c>
      <c r="Q329" s="6" t="s">
        <v>10</v>
      </c>
      <c r="R329" s="1">
        <v>90</v>
      </c>
      <c r="S329" s="1">
        <v>2.5</v>
      </c>
      <c r="T329" s="1" t="str">
        <f t="shared" si="45"/>
        <v>-text 120,131 2.5 90 267.374</v>
      </c>
    </row>
    <row r="330" spans="1:20" x14ac:dyDescent="0.35">
      <c r="A330" s="1">
        <v>68640</v>
      </c>
      <c r="B330" s="7">
        <v>1149053.3</v>
      </c>
      <c r="D330" s="2">
        <v>277.76</v>
      </c>
      <c r="G330" s="2">
        <v>277.04700000000003</v>
      </c>
      <c r="J330" s="2">
        <v>266.95</v>
      </c>
      <c r="K330" s="15">
        <v>10.097</v>
      </c>
      <c r="N330" s="7">
        <f t="shared" si="51"/>
        <v>140</v>
      </c>
      <c r="O330" s="1">
        <f t="shared" si="44"/>
        <v>131</v>
      </c>
      <c r="P330" s="1" t="str">
        <f t="shared" si="52"/>
        <v>140,131</v>
      </c>
      <c r="Q330" s="6" t="s">
        <v>10</v>
      </c>
      <c r="R330" s="1">
        <v>90</v>
      </c>
      <c r="S330" s="1">
        <v>2.5</v>
      </c>
      <c r="T330" s="1" t="str">
        <f t="shared" si="45"/>
        <v>-text 140,131 2.5 90 266.95</v>
      </c>
    </row>
    <row r="331" spans="1:20" x14ac:dyDescent="0.35">
      <c r="A331" s="1">
        <v>68660</v>
      </c>
      <c r="B331" s="7">
        <v>1149073.3</v>
      </c>
      <c r="D331" s="2">
        <v>277.76</v>
      </c>
      <c r="G331" s="2">
        <v>277.04700000000003</v>
      </c>
      <c r="J331" s="2">
        <v>267.03899999999999</v>
      </c>
      <c r="K331" s="15">
        <v>10.007999999999999</v>
      </c>
      <c r="N331" s="7">
        <f t="shared" si="51"/>
        <v>160</v>
      </c>
      <c r="O331" s="1">
        <f t="shared" si="44"/>
        <v>131</v>
      </c>
      <c r="P331" s="1" t="str">
        <f t="shared" si="52"/>
        <v>160,131</v>
      </c>
      <c r="Q331" s="6" t="s">
        <v>10</v>
      </c>
      <c r="R331" s="1">
        <v>90</v>
      </c>
      <c r="S331" s="1">
        <v>2.5</v>
      </c>
      <c r="T331" s="1" t="str">
        <f t="shared" si="45"/>
        <v>-text 160,131 2.5 90 267.039</v>
      </c>
    </row>
    <row r="332" spans="1:20" x14ac:dyDescent="0.35">
      <c r="A332" s="1">
        <v>68680</v>
      </c>
      <c r="B332" s="7">
        <v>1149093.3</v>
      </c>
      <c r="D332" s="2">
        <v>277.76</v>
      </c>
      <c r="G332" s="2">
        <v>277.04700000000003</v>
      </c>
      <c r="J332" s="2">
        <v>267.185</v>
      </c>
      <c r="K332" s="15">
        <v>9.8620000000000001</v>
      </c>
      <c r="N332" s="7">
        <f t="shared" si="51"/>
        <v>180</v>
      </c>
      <c r="O332" s="1">
        <f t="shared" si="44"/>
        <v>131</v>
      </c>
      <c r="P332" s="1" t="str">
        <f t="shared" si="52"/>
        <v>180,131</v>
      </c>
      <c r="Q332" s="6" t="s">
        <v>10</v>
      </c>
      <c r="R332" s="1">
        <v>90</v>
      </c>
      <c r="S332" s="1">
        <v>2.5</v>
      </c>
      <c r="T332" s="1" t="str">
        <f t="shared" si="45"/>
        <v>-text 180,131 2.5 90 267.185</v>
      </c>
    </row>
    <row r="333" spans="1:20" x14ac:dyDescent="0.35">
      <c r="A333" s="1">
        <v>68700</v>
      </c>
      <c r="B333" s="7">
        <v>1149113.3</v>
      </c>
      <c r="D333" s="2">
        <v>277.76</v>
      </c>
      <c r="G333" s="2">
        <v>277.04700000000003</v>
      </c>
      <c r="J333" s="2">
        <v>267.39800000000002</v>
      </c>
      <c r="K333" s="15">
        <v>9.6489999999999991</v>
      </c>
      <c r="N333" s="7">
        <f t="shared" si="51"/>
        <v>200</v>
      </c>
      <c r="O333" s="1">
        <f t="shared" si="44"/>
        <v>131</v>
      </c>
      <c r="P333" s="1" t="str">
        <f t="shared" si="52"/>
        <v>200,131</v>
      </c>
      <c r="Q333" s="6" t="s">
        <v>10</v>
      </c>
      <c r="R333" s="1">
        <v>90</v>
      </c>
      <c r="S333" s="1">
        <v>2.5</v>
      </c>
      <c r="T333" s="1" t="str">
        <f t="shared" si="45"/>
        <v>-text 200,131 2.5 90 267.398</v>
      </c>
    </row>
    <row r="334" spans="1:20" x14ac:dyDescent="0.35">
      <c r="A334" s="1">
        <v>68720</v>
      </c>
      <c r="B334" s="7">
        <v>1149133.3</v>
      </c>
      <c r="D334" s="2">
        <v>277.76</v>
      </c>
      <c r="G334" s="2">
        <v>277.04700000000003</v>
      </c>
      <c r="J334" s="2">
        <v>267.65699999999998</v>
      </c>
      <c r="K334" s="15">
        <v>9.39</v>
      </c>
      <c r="N334" s="7">
        <f t="shared" si="51"/>
        <v>220</v>
      </c>
      <c r="O334" s="1">
        <f t="shared" si="44"/>
        <v>131</v>
      </c>
      <c r="P334" s="1" t="str">
        <f t="shared" si="52"/>
        <v>220,131</v>
      </c>
      <c r="Q334" s="6" t="s">
        <v>10</v>
      </c>
      <c r="R334" s="1">
        <v>90</v>
      </c>
      <c r="S334" s="1">
        <v>2.5</v>
      </c>
      <c r="T334" s="1" t="str">
        <f t="shared" si="45"/>
        <v>-text 220,131 2.5 90 267.657</v>
      </c>
    </row>
    <row r="335" spans="1:20" x14ac:dyDescent="0.35">
      <c r="A335" s="1">
        <v>68740</v>
      </c>
      <c r="B335" s="7">
        <v>1149153.3</v>
      </c>
      <c r="D335" s="2">
        <v>277.76</v>
      </c>
      <c r="G335" s="2">
        <v>277.04700000000003</v>
      </c>
      <c r="J335" s="2">
        <v>266.887</v>
      </c>
      <c r="K335" s="15">
        <v>10.16</v>
      </c>
      <c r="N335" s="7">
        <f t="shared" si="51"/>
        <v>240</v>
      </c>
      <c r="O335" s="1">
        <f t="shared" si="44"/>
        <v>131</v>
      </c>
      <c r="P335" s="1" t="str">
        <f t="shared" si="52"/>
        <v>240,131</v>
      </c>
      <c r="Q335" s="6" t="s">
        <v>10</v>
      </c>
      <c r="R335" s="1">
        <v>90</v>
      </c>
      <c r="S335" s="1">
        <v>2.5</v>
      </c>
      <c r="T335" s="1" t="str">
        <f t="shared" si="45"/>
        <v>-text 240,131 2.5 90 266.887</v>
      </c>
    </row>
    <row r="336" spans="1:20" x14ac:dyDescent="0.35">
      <c r="A336" s="1">
        <v>68760</v>
      </c>
      <c r="B336" s="7">
        <v>1149173.3</v>
      </c>
      <c r="D336" s="2">
        <v>277.76</v>
      </c>
      <c r="G336" s="2">
        <v>277.04700000000003</v>
      </c>
      <c r="J336" s="2">
        <v>267.02300000000002</v>
      </c>
      <c r="K336" s="15">
        <v>10.023999999999999</v>
      </c>
      <c r="N336" s="7">
        <f t="shared" si="51"/>
        <v>260</v>
      </c>
      <c r="O336" s="1">
        <f t="shared" si="44"/>
        <v>131</v>
      </c>
      <c r="P336" s="1" t="str">
        <f t="shared" si="52"/>
        <v>260,131</v>
      </c>
      <c r="Q336" s="6" t="s">
        <v>10</v>
      </c>
      <c r="R336" s="1">
        <v>90</v>
      </c>
      <c r="S336" s="1">
        <v>2.5</v>
      </c>
      <c r="T336" s="1" t="str">
        <f t="shared" si="45"/>
        <v>-text 260,131 2.5 90 267.023</v>
      </c>
    </row>
    <row r="337" spans="1:20" x14ac:dyDescent="0.35">
      <c r="A337" s="1">
        <v>68780</v>
      </c>
      <c r="B337" s="7">
        <v>1149193.3</v>
      </c>
      <c r="D337" s="2">
        <v>277.76</v>
      </c>
      <c r="G337" s="2">
        <v>277.04700000000003</v>
      </c>
      <c r="J337" s="2">
        <v>268.005</v>
      </c>
      <c r="K337" s="15">
        <v>9.0419999999999998</v>
      </c>
      <c r="N337" s="7">
        <f t="shared" si="51"/>
        <v>280</v>
      </c>
      <c r="O337" s="1">
        <f t="shared" si="44"/>
        <v>131</v>
      </c>
      <c r="P337" s="1" t="str">
        <f t="shared" si="52"/>
        <v>280,131</v>
      </c>
      <c r="Q337" s="6" t="s">
        <v>10</v>
      </c>
      <c r="R337" s="1">
        <v>90</v>
      </c>
      <c r="S337" s="1">
        <v>2.5</v>
      </c>
      <c r="T337" s="1" t="str">
        <f t="shared" si="45"/>
        <v>-text 280,131 2.5 90 268.005</v>
      </c>
    </row>
    <row r="338" spans="1:20" x14ac:dyDescent="0.35">
      <c r="A338" s="1">
        <v>68800</v>
      </c>
      <c r="B338" s="7">
        <v>1149213.3</v>
      </c>
      <c r="D338" s="2">
        <v>277.76</v>
      </c>
      <c r="G338" s="2">
        <v>277.04700000000003</v>
      </c>
      <c r="J338" s="2">
        <v>268.29899999999998</v>
      </c>
      <c r="K338" s="15">
        <v>8.7479999999999993</v>
      </c>
      <c r="N338" s="7">
        <f t="shared" si="51"/>
        <v>300</v>
      </c>
      <c r="O338" s="1">
        <f t="shared" si="44"/>
        <v>131</v>
      </c>
      <c r="P338" s="1" t="str">
        <f t="shared" si="52"/>
        <v>300,131</v>
      </c>
      <c r="Q338" s="6" t="s">
        <v>10</v>
      </c>
      <c r="R338" s="1">
        <v>90</v>
      </c>
      <c r="S338" s="1">
        <v>2.5</v>
      </c>
      <c r="T338" s="1" t="str">
        <f t="shared" si="45"/>
        <v>-text 300,131 2.5 90 268.299</v>
      </c>
    </row>
    <row r="339" spans="1:20" x14ac:dyDescent="0.35">
      <c r="A339" s="1">
        <v>68820</v>
      </c>
      <c r="B339" s="7">
        <v>1149233.3</v>
      </c>
      <c r="D339" s="2">
        <v>277.76</v>
      </c>
      <c r="G339" s="2">
        <v>277.04700000000003</v>
      </c>
      <c r="J339" s="2">
        <v>267.85300000000001</v>
      </c>
      <c r="K339" s="15">
        <v>9.1940000000000008</v>
      </c>
      <c r="N339" s="7">
        <f t="shared" si="51"/>
        <v>320</v>
      </c>
      <c r="O339" s="1">
        <f t="shared" si="44"/>
        <v>131</v>
      </c>
      <c r="P339" s="1" t="str">
        <f t="shared" si="52"/>
        <v>320,131</v>
      </c>
      <c r="Q339" s="6" t="s">
        <v>10</v>
      </c>
      <c r="R339" s="1">
        <v>90</v>
      </c>
      <c r="S339" s="1">
        <v>2.5</v>
      </c>
      <c r="T339" s="1" t="str">
        <f t="shared" si="45"/>
        <v>-text 320,131 2.5 90 267.853</v>
      </c>
    </row>
    <row r="340" spans="1:20" x14ac:dyDescent="0.35">
      <c r="A340" s="1">
        <v>68840</v>
      </c>
      <c r="B340" s="7">
        <v>1149253.3</v>
      </c>
      <c r="D340" s="2">
        <v>277.76</v>
      </c>
      <c r="G340" s="2">
        <v>277.04700000000003</v>
      </c>
      <c r="J340" s="2">
        <v>267.84899999999999</v>
      </c>
      <c r="K340" s="15">
        <v>9.1980000000000004</v>
      </c>
      <c r="N340" s="7">
        <f t="shared" si="51"/>
        <v>340</v>
      </c>
      <c r="O340" s="1">
        <f t="shared" si="44"/>
        <v>131</v>
      </c>
      <c r="P340" s="1" t="str">
        <f t="shared" si="52"/>
        <v>340,131</v>
      </c>
      <c r="Q340" s="6" t="s">
        <v>10</v>
      </c>
      <c r="R340" s="1">
        <v>90</v>
      </c>
      <c r="S340" s="1">
        <v>2.5</v>
      </c>
      <c r="T340" s="1" t="str">
        <f t="shared" si="45"/>
        <v>-text 340,131 2.5 90 267.849</v>
      </c>
    </row>
    <row r="341" spans="1:20" x14ac:dyDescent="0.35">
      <c r="A341" s="1">
        <v>68860</v>
      </c>
      <c r="B341" s="7">
        <v>1149273.3</v>
      </c>
      <c r="D341" s="2">
        <v>277.76</v>
      </c>
      <c r="G341" s="2">
        <v>277.04700000000003</v>
      </c>
      <c r="J341" s="2">
        <v>267.822</v>
      </c>
      <c r="K341" s="15">
        <v>9.2249999999999996</v>
      </c>
      <c r="N341" s="7">
        <f t="shared" si="51"/>
        <v>360</v>
      </c>
      <c r="O341" s="1">
        <f t="shared" si="44"/>
        <v>131</v>
      </c>
      <c r="P341" s="1" t="str">
        <f t="shared" si="52"/>
        <v>360,131</v>
      </c>
      <c r="Q341" s="6" t="s">
        <v>10</v>
      </c>
      <c r="R341" s="1">
        <v>90</v>
      </c>
      <c r="S341" s="1">
        <v>2.5</v>
      </c>
      <c r="T341" s="1" t="str">
        <f t="shared" si="45"/>
        <v>-text 360,131 2.5 90 267.822</v>
      </c>
    </row>
    <row r="342" spans="1:20" x14ac:dyDescent="0.35">
      <c r="A342" s="1">
        <v>68880</v>
      </c>
      <c r="B342" s="7">
        <v>1149293.3</v>
      </c>
      <c r="D342" s="2">
        <v>277.76</v>
      </c>
      <c r="G342" s="2">
        <v>277.04700000000003</v>
      </c>
      <c r="J342" s="2">
        <v>267.80599999999998</v>
      </c>
      <c r="K342" s="15">
        <v>9.2409999999999997</v>
      </c>
      <c r="N342" s="7">
        <f t="shared" si="51"/>
        <v>380</v>
      </c>
      <c r="O342" s="1">
        <f t="shared" si="44"/>
        <v>131</v>
      </c>
      <c r="P342" s="1" t="str">
        <f t="shared" si="52"/>
        <v>380,131</v>
      </c>
      <c r="Q342" s="6" t="s">
        <v>10</v>
      </c>
      <c r="R342" s="1">
        <v>90</v>
      </c>
      <c r="S342" s="1">
        <v>2.5</v>
      </c>
      <c r="T342" s="1" t="str">
        <f t="shared" si="45"/>
        <v>-text 380,131 2.5 90 267.806</v>
      </c>
    </row>
    <row r="343" spans="1:20" x14ac:dyDescent="0.35">
      <c r="A343" s="1">
        <v>68900</v>
      </c>
      <c r="B343" s="7">
        <v>1149313.3</v>
      </c>
      <c r="D343" s="2">
        <v>277.76</v>
      </c>
      <c r="G343" s="2">
        <v>277.04700000000003</v>
      </c>
      <c r="J343" s="2">
        <v>268.036</v>
      </c>
      <c r="K343" s="15">
        <v>9.0109999999999992</v>
      </c>
      <c r="N343" s="7">
        <f t="shared" si="51"/>
        <v>400</v>
      </c>
      <c r="O343" s="1">
        <f t="shared" si="44"/>
        <v>131</v>
      </c>
      <c r="P343" s="1" t="str">
        <f t="shared" si="52"/>
        <v>400,131</v>
      </c>
      <c r="Q343" s="6" t="s">
        <v>10</v>
      </c>
      <c r="R343" s="1">
        <v>90</v>
      </c>
      <c r="S343" s="1">
        <v>2.5</v>
      </c>
      <c r="T343" s="1" t="str">
        <f t="shared" si="45"/>
        <v>-text 400,131 2.5 90 268.036</v>
      </c>
    </row>
    <row r="344" spans="1:20" x14ac:dyDescent="0.35">
      <c r="A344" s="1">
        <v>68920</v>
      </c>
      <c r="B344" s="7">
        <v>1149333.3</v>
      </c>
      <c r="D344" s="2">
        <v>277.76</v>
      </c>
      <c r="G344" s="2">
        <v>277.04700000000003</v>
      </c>
      <c r="J344" s="2">
        <v>267.863</v>
      </c>
      <c r="K344" s="15">
        <v>9.1839999999999993</v>
      </c>
      <c r="N344" s="7">
        <f t="shared" si="51"/>
        <v>420</v>
      </c>
      <c r="O344" s="1">
        <f t="shared" si="44"/>
        <v>131</v>
      </c>
      <c r="P344" s="1" t="str">
        <f t="shared" si="52"/>
        <v>420,131</v>
      </c>
      <c r="Q344" s="6" t="s">
        <v>10</v>
      </c>
      <c r="R344" s="1">
        <v>90</v>
      </c>
      <c r="S344" s="1">
        <v>2.5</v>
      </c>
      <c r="T344" s="1" t="str">
        <f t="shared" si="45"/>
        <v>-text 420,131 2.5 90 267.863</v>
      </c>
    </row>
    <row r="345" spans="1:20" x14ac:dyDescent="0.35">
      <c r="A345" s="1">
        <v>68940</v>
      </c>
      <c r="B345" s="7">
        <v>1149353.3</v>
      </c>
      <c r="D345" s="2">
        <v>277.76</v>
      </c>
      <c r="G345" s="2">
        <v>277.04700000000003</v>
      </c>
      <c r="J345" s="2">
        <v>267.84300000000002</v>
      </c>
      <c r="K345" s="15">
        <v>9.2040000000000006</v>
      </c>
      <c r="N345" s="7">
        <f t="shared" si="51"/>
        <v>440</v>
      </c>
      <c r="O345" s="1">
        <f t="shared" si="44"/>
        <v>131</v>
      </c>
      <c r="P345" s="1" t="str">
        <f t="shared" si="52"/>
        <v>440,131</v>
      </c>
      <c r="Q345" s="6" t="s">
        <v>10</v>
      </c>
      <c r="R345" s="1">
        <v>90</v>
      </c>
      <c r="S345" s="1">
        <v>2.5</v>
      </c>
      <c r="T345" s="1" t="str">
        <f t="shared" si="45"/>
        <v>-text 440,131 2.5 90 267.843</v>
      </c>
    </row>
    <row r="346" spans="1:20" x14ac:dyDescent="0.35">
      <c r="A346" s="1">
        <v>68960</v>
      </c>
      <c r="B346" s="7">
        <v>1149373.3</v>
      </c>
      <c r="D346" s="2">
        <v>277.76</v>
      </c>
      <c r="G346" s="2">
        <v>277.04700000000003</v>
      </c>
      <c r="J346" s="2">
        <v>267.80599999999998</v>
      </c>
      <c r="K346" s="15">
        <v>9.2409999999999997</v>
      </c>
      <c r="N346" s="7">
        <f t="shared" si="51"/>
        <v>460</v>
      </c>
      <c r="O346" s="1">
        <f t="shared" si="44"/>
        <v>131</v>
      </c>
      <c r="P346" s="1" t="str">
        <f t="shared" si="52"/>
        <v>460,131</v>
      </c>
      <c r="Q346" s="6" t="s">
        <v>10</v>
      </c>
      <c r="R346" s="1">
        <v>90</v>
      </c>
      <c r="S346" s="1">
        <v>2.5</v>
      </c>
      <c r="T346" s="1" t="str">
        <f t="shared" si="45"/>
        <v>-text 460,131 2.5 90 267.806</v>
      </c>
    </row>
    <row r="347" spans="1:20" x14ac:dyDescent="0.35">
      <c r="A347" s="1">
        <v>68980</v>
      </c>
      <c r="B347" s="7">
        <v>1149393.3</v>
      </c>
      <c r="D347" s="2">
        <v>277.76</v>
      </c>
      <c r="G347" s="2">
        <v>277.04700000000003</v>
      </c>
      <c r="J347" s="2">
        <v>267.74200000000002</v>
      </c>
      <c r="K347" s="15">
        <v>9.3049999999999997</v>
      </c>
      <c r="N347" s="7">
        <f t="shared" si="51"/>
        <v>480</v>
      </c>
      <c r="O347" s="1">
        <f t="shared" si="44"/>
        <v>131</v>
      </c>
      <c r="P347" s="1" t="str">
        <f t="shared" si="52"/>
        <v>480,131</v>
      </c>
      <c r="Q347" s="6" t="s">
        <v>10</v>
      </c>
      <c r="R347" s="1">
        <v>90</v>
      </c>
      <c r="S347" s="1">
        <v>2.5</v>
      </c>
      <c r="T347" s="1" t="str">
        <f t="shared" si="45"/>
        <v>-text 480,131 2.5 90 267.742</v>
      </c>
    </row>
    <row r="348" spans="1:20" x14ac:dyDescent="0.35">
      <c r="A348" s="1">
        <v>69000</v>
      </c>
      <c r="B348" s="7">
        <v>1149413.3</v>
      </c>
      <c r="D348" s="2">
        <v>277.76</v>
      </c>
      <c r="G348" s="2">
        <v>277.04700000000003</v>
      </c>
      <c r="J348" s="2">
        <v>267.70699999999999</v>
      </c>
      <c r="K348" s="15">
        <v>9.34</v>
      </c>
      <c r="N348" s="7">
        <f t="shared" si="51"/>
        <v>500</v>
      </c>
      <c r="O348" s="1">
        <f t="shared" si="44"/>
        <v>131</v>
      </c>
      <c r="P348" s="1" t="str">
        <f t="shared" si="52"/>
        <v>500,131</v>
      </c>
      <c r="Q348" s="6" t="s">
        <v>10</v>
      </c>
      <c r="R348" s="1">
        <v>90</v>
      </c>
      <c r="S348" s="1">
        <v>2.5</v>
      </c>
      <c r="T348" s="1" t="str">
        <f t="shared" si="45"/>
        <v>-text 500,131 2.5 90 267.707</v>
      </c>
    </row>
    <row r="349" spans="1:20" s="10" customFormat="1" x14ac:dyDescent="0.35">
      <c r="B349" s="11"/>
      <c r="C349" s="9"/>
      <c r="D349" s="9"/>
      <c r="E349" s="9"/>
      <c r="F349" s="9"/>
      <c r="G349" s="9"/>
      <c r="H349" s="9"/>
      <c r="I349" s="9"/>
      <c r="J349" s="9"/>
      <c r="K349" s="16"/>
      <c r="L349" s="9"/>
      <c r="M349" s="9"/>
    </row>
    <row r="350" spans="1:20" x14ac:dyDescent="0.35">
      <c r="A350" s="1">
        <v>69000</v>
      </c>
      <c r="B350" s="7">
        <v>1149413.3</v>
      </c>
      <c r="D350" s="2">
        <v>277.76</v>
      </c>
      <c r="G350" s="2">
        <v>277.04700000000003</v>
      </c>
      <c r="J350" s="2">
        <v>267.70699999999999</v>
      </c>
      <c r="K350" s="15">
        <v>9.34</v>
      </c>
      <c r="N350" s="7">
        <v>0</v>
      </c>
      <c r="O350" s="1">
        <f t="shared" si="44"/>
        <v>131</v>
      </c>
      <c r="P350" s="1" t="str">
        <f t="shared" ref="P350:P351" si="53">CONCATENATE(N350,",",O350)</f>
        <v>0,131</v>
      </c>
      <c r="Q350" s="6" t="s">
        <v>10</v>
      </c>
      <c r="R350" s="1">
        <v>90</v>
      </c>
      <c r="S350" s="1">
        <v>2.5</v>
      </c>
      <c r="T350" s="1" t="str">
        <f t="shared" si="45"/>
        <v>-text 0,131 2.5 90 267.707</v>
      </c>
    </row>
    <row r="351" spans="1:20" x14ac:dyDescent="0.35">
      <c r="A351" s="1">
        <v>69020</v>
      </c>
      <c r="B351" s="7">
        <v>1149433.3</v>
      </c>
      <c r="D351" s="2">
        <v>277.76</v>
      </c>
      <c r="G351" s="2">
        <v>277.04700000000003</v>
      </c>
      <c r="J351" s="2">
        <v>267.596</v>
      </c>
      <c r="K351" s="15">
        <v>9.4510000000000005</v>
      </c>
      <c r="N351" s="7">
        <f t="shared" ref="N351:N375" si="54">N350+(B351-B350)</f>
        <v>20</v>
      </c>
      <c r="O351" s="1">
        <f t="shared" si="44"/>
        <v>131</v>
      </c>
      <c r="P351" s="1" t="str">
        <f t="shared" si="53"/>
        <v>20,131</v>
      </c>
      <c r="Q351" s="6" t="s">
        <v>10</v>
      </c>
      <c r="R351" s="1">
        <v>90</v>
      </c>
      <c r="S351" s="1">
        <v>2.5</v>
      </c>
      <c r="T351" s="1" t="str">
        <f t="shared" si="45"/>
        <v>-text 20,131 2.5 90 267.596</v>
      </c>
    </row>
    <row r="352" spans="1:20" x14ac:dyDescent="0.35">
      <c r="A352" s="1">
        <v>69040</v>
      </c>
      <c r="B352" s="7">
        <v>1149453.3</v>
      </c>
      <c r="D352" s="2">
        <v>277.76</v>
      </c>
      <c r="G352" s="2">
        <v>277.04700000000003</v>
      </c>
      <c r="J352" s="2">
        <v>267.51499999999999</v>
      </c>
      <c r="K352" s="15">
        <v>9.532</v>
      </c>
      <c r="N352" s="7">
        <f t="shared" si="54"/>
        <v>40</v>
      </c>
      <c r="O352" s="1">
        <f t="shared" si="44"/>
        <v>131</v>
      </c>
      <c r="P352" s="1" t="str">
        <f t="shared" ref="P352:P375" si="55">CONCATENATE(N352,",",O352)</f>
        <v>40,131</v>
      </c>
      <c r="Q352" s="6" t="s">
        <v>10</v>
      </c>
      <c r="R352" s="1">
        <v>90</v>
      </c>
      <c r="S352" s="1">
        <v>2.5</v>
      </c>
      <c r="T352" s="1" t="str">
        <f t="shared" si="45"/>
        <v>-text 40,131 2.5 90 267.515</v>
      </c>
    </row>
    <row r="353" spans="1:20" x14ac:dyDescent="0.35">
      <c r="A353" s="1">
        <v>69060</v>
      </c>
      <c r="B353" s="7">
        <v>1149473.3</v>
      </c>
      <c r="D353" s="2">
        <v>277.76</v>
      </c>
      <c r="G353" s="2">
        <v>277.04700000000003</v>
      </c>
      <c r="J353" s="2">
        <v>267.47000000000003</v>
      </c>
      <c r="K353" s="15">
        <v>9.577</v>
      </c>
      <c r="N353" s="7">
        <f t="shared" si="54"/>
        <v>60</v>
      </c>
      <c r="O353" s="1">
        <f t="shared" ref="O353:O416" si="56">19+16+16+16+16+16+16+16</f>
        <v>131</v>
      </c>
      <c r="P353" s="1" t="str">
        <f t="shared" si="55"/>
        <v>60,131</v>
      </c>
      <c r="Q353" s="6" t="s">
        <v>10</v>
      </c>
      <c r="R353" s="1">
        <v>90</v>
      </c>
      <c r="S353" s="1">
        <v>2.5</v>
      </c>
      <c r="T353" s="1" t="str">
        <f t="shared" ref="T353:T416" si="57">$Q353&amp;" "&amp;$P353&amp;" "&amp;$S353&amp;" "&amp;$R353&amp;" "&amp;$J353</f>
        <v>-text 60,131 2.5 90 267.47</v>
      </c>
    </row>
    <row r="354" spans="1:20" x14ac:dyDescent="0.35">
      <c r="A354" s="1">
        <v>69080</v>
      </c>
      <c r="B354" s="7">
        <v>1149493.3</v>
      </c>
      <c r="D354" s="2">
        <v>277.76</v>
      </c>
      <c r="G354" s="2">
        <v>277.04700000000003</v>
      </c>
      <c r="J354" s="2">
        <v>267.44200000000001</v>
      </c>
      <c r="K354" s="15">
        <v>9.6050000000000004</v>
      </c>
      <c r="N354" s="7">
        <f t="shared" si="54"/>
        <v>80</v>
      </c>
      <c r="O354" s="1">
        <f t="shared" si="56"/>
        <v>131</v>
      </c>
      <c r="P354" s="1" t="str">
        <f t="shared" si="55"/>
        <v>80,131</v>
      </c>
      <c r="Q354" s="6" t="s">
        <v>10</v>
      </c>
      <c r="R354" s="1">
        <v>90</v>
      </c>
      <c r="S354" s="1">
        <v>2.5</v>
      </c>
      <c r="T354" s="1" t="str">
        <f t="shared" si="57"/>
        <v>-text 80,131 2.5 90 267.442</v>
      </c>
    </row>
    <row r="355" spans="1:20" x14ac:dyDescent="0.35">
      <c r="A355" s="1">
        <v>69100</v>
      </c>
      <c r="B355" s="7">
        <v>1149513.3</v>
      </c>
      <c r="D355" s="2">
        <v>277.76</v>
      </c>
      <c r="G355" s="2">
        <v>277.04700000000003</v>
      </c>
      <c r="J355" s="2">
        <v>267.40600000000001</v>
      </c>
      <c r="K355" s="15">
        <v>9.641</v>
      </c>
      <c r="N355" s="7">
        <f t="shared" si="54"/>
        <v>100</v>
      </c>
      <c r="O355" s="1">
        <f t="shared" si="56"/>
        <v>131</v>
      </c>
      <c r="P355" s="1" t="str">
        <f t="shared" si="55"/>
        <v>100,131</v>
      </c>
      <c r="Q355" s="6" t="s">
        <v>10</v>
      </c>
      <c r="R355" s="1">
        <v>90</v>
      </c>
      <c r="S355" s="1">
        <v>2.5</v>
      </c>
      <c r="T355" s="1" t="str">
        <f t="shared" si="57"/>
        <v>-text 100,131 2.5 90 267.406</v>
      </c>
    </row>
    <row r="356" spans="1:20" x14ac:dyDescent="0.35">
      <c r="A356" s="1">
        <v>69120</v>
      </c>
      <c r="B356" s="7">
        <v>1149533.3</v>
      </c>
      <c r="D356" s="2">
        <v>277.74099999999999</v>
      </c>
      <c r="G356" s="2">
        <v>277.02800000000002</v>
      </c>
      <c r="J356" s="2">
        <v>267.35700000000003</v>
      </c>
      <c r="K356" s="15">
        <v>9.6720000000000006</v>
      </c>
      <c r="N356" s="7">
        <f t="shared" si="54"/>
        <v>120</v>
      </c>
      <c r="O356" s="1">
        <f t="shared" si="56"/>
        <v>131</v>
      </c>
      <c r="P356" s="1" t="str">
        <f t="shared" si="55"/>
        <v>120,131</v>
      </c>
      <c r="Q356" s="6" t="s">
        <v>10</v>
      </c>
      <c r="R356" s="1">
        <v>90</v>
      </c>
      <c r="S356" s="1">
        <v>2.5</v>
      </c>
      <c r="T356" s="1" t="str">
        <f t="shared" si="57"/>
        <v>-text 120,131 2.5 90 267.357</v>
      </c>
    </row>
    <row r="357" spans="1:20" x14ac:dyDescent="0.35">
      <c r="A357" s="1">
        <v>69140</v>
      </c>
      <c r="B357" s="7">
        <v>1149553.3</v>
      </c>
      <c r="D357" s="2">
        <v>277.685</v>
      </c>
      <c r="G357" s="2">
        <v>276.97199999999998</v>
      </c>
      <c r="J357" s="2">
        <v>267.30799999999999</v>
      </c>
      <c r="K357" s="15">
        <v>9.6639999999999997</v>
      </c>
      <c r="N357" s="7">
        <f t="shared" si="54"/>
        <v>140</v>
      </c>
      <c r="O357" s="1">
        <f t="shared" si="56"/>
        <v>131</v>
      </c>
      <c r="P357" s="1" t="str">
        <f t="shared" si="55"/>
        <v>140,131</v>
      </c>
      <c r="Q357" s="6" t="s">
        <v>10</v>
      </c>
      <c r="R357" s="1">
        <v>90</v>
      </c>
      <c r="S357" s="1">
        <v>2.5</v>
      </c>
      <c r="T357" s="1" t="str">
        <f t="shared" si="57"/>
        <v>-text 140,131 2.5 90 267.308</v>
      </c>
    </row>
    <row r="358" spans="1:20" x14ac:dyDescent="0.35">
      <c r="A358" s="1">
        <v>69160</v>
      </c>
      <c r="B358" s="7">
        <v>1149573.3</v>
      </c>
      <c r="D358" s="2">
        <v>277.62900000000002</v>
      </c>
      <c r="G358" s="2">
        <v>276.916</v>
      </c>
      <c r="J358" s="2">
        <v>267.03800000000001</v>
      </c>
      <c r="K358" s="15">
        <v>9.8780000000000001</v>
      </c>
      <c r="N358" s="7">
        <f t="shared" si="54"/>
        <v>160</v>
      </c>
      <c r="O358" s="1">
        <f t="shared" si="56"/>
        <v>131</v>
      </c>
      <c r="P358" s="1" t="str">
        <f t="shared" si="55"/>
        <v>160,131</v>
      </c>
      <c r="Q358" s="6" t="s">
        <v>10</v>
      </c>
      <c r="R358" s="1">
        <v>90</v>
      </c>
      <c r="S358" s="1">
        <v>2.5</v>
      </c>
      <c r="T358" s="1" t="str">
        <f t="shared" si="57"/>
        <v>-text 160,131 2.5 90 267.038</v>
      </c>
    </row>
    <row r="359" spans="1:20" x14ac:dyDescent="0.35">
      <c r="A359" s="1">
        <v>69180</v>
      </c>
      <c r="B359" s="7">
        <v>1149593.3</v>
      </c>
      <c r="D359" s="2">
        <v>277.572</v>
      </c>
      <c r="G359" s="2">
        <v>276.85899999999998</v>
      </c>
      <c r="J359" s="2">
        <v>267.142</v>
      </c>
      <c r="K359" s="15">
        <v>9.7170000000000005</v>
      </c>
      <c r="N359" s="7">
        <f t="shared" si="54"/>
        <v>180</v>
      </c>
      <c r="O359" s="1">
        <f t="shared" si="56"/>
        <v>131</v>
      </c>
      <c r="P359" s="1" t="str">
        <f t="shared" si="55"/>
        <v>180,131</v>
      </c>
      <c r="Q359" s="6" t="s">
        <v>10</v>
      </c>
      <c r="R359" s="1">
        <v>90</v>
      </c>
      <c r="S359" s="1">
        <v>2.5</v>
      </c>
      <c r="T359" s="1" t="str">
        <f t="shared" si="57"/>
        <v>-text 180,131 2.5 90 267.142</v>
      </c>
    </row>
    <row r="360" spans="1:20" x14ac:dyDescent="0.35">
      <c r="A360" s="1">
        <v>69200</v>
      </c>
      <c r="B360" s="7">
        <v>1149613.3</v>
      </c>
      <c r="D360" s="2">
        <v>277.51600000000002</v>
      </c>
      <c r="G360" s="2">
        <v>276.803</v>
      </c>
      <c r="J360" s="2">
        <v>267.05799999999999</v>
      </c>
      <c r="K360" s="15">
        <v>9.7449999999999992</v>
      </c>
      <c r="N360" s="7">
        <f t="shared" si="54"/>
        <v>200</v>
      </c>
      <c r="O360" s="1">
        <f t="shared" si="56"/>
        <v>131</v>
      </c>
      <c r="P360" s="1" t="str">
        <f t="shared" si="55"/>
        <v>200,131</v>
      </c>
      <c r="Q360" s="6" t="s">
        <v>10</v>
      </c>
      <c r="R360" s="1">
        <v>90</v>
      </c>
      <c r="S360" s="1">
        <v>2.5</v>
      </c>
      <c r="T360" s="1" t="str">
        <f t="shared" si="57"/>
        <v>-text 200,131 2.5 90 267.058</v>
      </c>
    </row>
    <row r="361" spans="1:20" x14ac:dyDescent="0.35">
      <c r="A361" s="1">
        <v>69220</v>
      </c>
      <c r="B361" s="7">
        <v>1149633.3</v>
      </c>
      <c r="D361" s="2">
        <v>277.45999999999998</v>
      </c>
      <c r="G361" s="2">
        <v>276.74700000000001</v>
      </c>
      <c r="J361" s="2">
        <v>267.072</v>
      </c>
      <c r="K361" s="15">
        <v>9.6750000000000007</v>
      </c>
      <c r="N361" s="7">
        <f t="shared" si="54"/>
        <v>220</v>
      </c>
      <c r="O361" s="1">
        <f t="shared" si="56"/>
        <v>131</v>
      </c>
      <c r="P361" s="1" t="str">
        <f t="shared" si="55"/>
        <v>220,131</v>
      </c>
      <c r="Q361" s="6" t="s">
        <v>10</v>
      </c>
      <c r="R361" s="1">
        <v>90</v>
      </c>
      <c r="S361" s="1">
        <v>2.5</v>
      </c>
      <c r="T361" s="1" t="str">
        <f t="shared" si="57"/>
        <v>-text 220,131 2.5 90 267.072</v>
      </c>
    </row>
    <row r="362" spans="1:20" x14ac:dyDescent="0.35">
      <c r="A362" s="1">
        <v>69240</v>
      </c>
      <c r="B362" s="7">
        <v>1149653.3</v>
      </c>
      <c r="D362" s="2">
        <v>277.40300000000002</v>
      </c>
      <c r="G362" s="2">
        <v>276.69</v>
      </c>
      <c r="J362" s="2">
        <v>267.08499999999998</v>
      </c>
      <c r="K362" s="15">
        <v>9.6050000000000004</v>
      </c>
      <c r="N362" s="7">
        <f t="shared" si="54"/>
        <v>240</v>
      </c>
      <c r="O362" s="1">
        <f t="shared" si="56"/>
        <v>131</v>
      </c>
      <c r="P362" s="1" t="str">
        <f t="shared" si="55"/>
        <v>240,131</v>
      </c>
      <c r="Q362" s="6" t="s">
        <v>10</v>
      </c>
      <c r="R362" s="1">
        <v>90</v>
      </c>
      <c r="S362" s="1">
        <v>2.5</v>
      </c>
      <c r="T362" s="1" t="str">
        <f t="shared" si="57"/>
        <v>-text 240,131 2.5 90 267.085</v>
      </c>
    </row>
    <row r="363" spans="1:20" x14ac:dyDescent="0.35">
      <c r="A363" s="1">
        <v>69260</v>
      </c>
      <c r="B363" s="7">
        <v>1149673.3</v>
      </c>
      <c r="D363" s="2">
        <v>277.34699999999998</v>
      </c>
      <c r="G363" s="2">
        <v>276.63400000000001</v>
      </c>
      <c r="J363" s="2">
        <v>267.10599999999999</v>
      </c>
      <c r="K363" s="15">
        <v>9.5280000000000005</v>
      </c>
      <c r="N363" s="7">
        <f t="shared" si="54"/>
        <v>260</v>
      </c>
      <c r="O363" s="1">
        <f t="shared" si="56"/>
        <v>131</v>
      </c>
      <c r="P363" s="1" t="str">
        <f t="shared" si="55"/>
        <v>260,131</v>
      </c>
      <c r="Q363" s="6" t="s">
        <v>10</v>
      </c>
      <c r="R363" s="1">
        <v>90</v>
      </c>
      <c r="S363" s="1">
        <v>2.5</v>
      </c>
      <c r="T363" s="1" t="str">
        <f t="shared" si="57"/>
        <v>-text 260,131 2.5 90 267.106</v>
      </c>
    </row>
    <row r="364" spans="1:20" x14ac:dyDescent="0.35">
      <c r="A364" s="1">
        <v>69280</v>
      </c>
      <c r="B364" s="7">
        <v>1149693.3</v>
      </c>
      <c r="D364" s="2">
        <v>277.291</v>
      </c>
      <c r="G364" s="2">
        <v>276.57799999999997</v>
      </c>
      <c r="J364" s="2">
        <v>267.19299999999998</v>
      </c>
      <c r="K364" s="15">
        <v>9.3840000000000003</v>
      </c>
      <c r="N364" s="7">
        <f t="shared" si="54"/>
        <v>280</v>
      </c>
      <c r="O364" s="1">
        <f t="shared" si="56"/>
        <v>131</v>
      </c>
      <c r="P364" s="1" t="str">
        <f t="shared" si="55"/>
        <v>280,131</v>
      </c>
      <c r="Q364" s="6" t="s">
        <v>10</v>
      </c>
      <c r="R364" s="1">
        <v>90</v>
      </c>
      <c r="S364" s="1">
        <v>2.5</v>
      </c>
      <c r="T364" s="1" t="str">
        <f t="shared" si="57"/>
        <v>-text 280,131 2.5 90 267.193</v>
      </c>
    </row>
    <row r="365" spans="1:20" x14ac:dyDescent="0.35">
      <c r="A365" s="1">
        <v>69300</v>
      </c>
      <c r="B365" s="7">
        <v>1149713.3</v>
      </c>
      <c r="D365" s="2">
        <v>277.23399999999998</v>
      </c>
      <c r="G365" s="2">
        <v>276.52100000000002</v>
      </c>
      <c r="J365" s="2">
        <v>267.23599999999999</v>
      </c>
      <c r="K365" s="15">
        <v>9.2850000000000001</v>
      </c>
      <c r="N365" s="7">
        <f t="shared" si="54"/>
        <v>300</v>
      </c>
      <c r="O365" s="1">
        <f t="shared" si="56"/>
        <v>131</v>
      </c>
      <c r="P365" s="1" t="str">
        <f t="shared" si="55"/>
        <v>300,131</v>
      </c>
      <c r="Q365" s="6" t="s">
        <v>10</v>
      </c>
      <c r="R365" s="1">
        <v>90</v>
      </c>
      <c r="S365" s="1">
        <v>2.5</v>
      </c>
      <c r="T365" s="1" t="str">
        <f t="shared" si="57"/>
        <v>-text 300,131 2.5 90 267.236</v>
      </c>
    </row>
    <row r="366" spans="1:20" x14ac:dyDescent="0.35">
      <c r="A366" s="1">
        <v>69320</v>
      </c>
      <c r="B366" s="7">
        <v>1149733.3</v>
      </c>
      <c r="D366" s="2">
        <v>277.178</v>
      </c>
      <c r="G366" s="2">
        <v>276.46499999999997</v>
      </c>
      <c r="J366" s="2">
        <v>267.32600000000002</v>
      </c>
      <c r="K366" s="15">
        <v>9.1389999999999993</v>
      </c>
      <c r="N366" s="7">
        <f t="shared" si="54"/>
        <v>320</v>
      </c>
      <c r="O366" s="1">
        <f t="shared" si="56"/>
        <v>131</v>
      </c>
      <c r="P366" s="1" t="str">
        <f t="shared" si="55"/>
        <v>320,131</v>
      </c>
      <c r="Q366" s="6" t="s">
        <v>10</v>
      </c>
      <c r="R366" s="1">
        <v>90</v>
      </c>
      <c r="S366" s="1">
        <v>2.5</v>
      </c>
      <c r="T366" s="1" t="str">
        <f t="shared" si="57"/>
        <v>-text 320,131 2.5 90 267.326</v>
      </c>
    </row>
    <row r="367" spans="1:20" x14ac:dyDescent="0.35">
      <c r="A367" s="1">
        <v>69340</v>
      </c>
      <c r="B367" s="7">
        <v>1149753.3</v>
      </c>
      <c r="D367" s="2">
        <v>277.12200000000001</v>
      </c>
      <c r="G367" s="2">
        <v>276.40899999999999</v>
      </c>
      <c r="J367" s="2">
        <v>267.30099999999999</v>
      </c>
      <c r="K367" s="15">
        <v>9.1080000000000005</v>
      </c>
      <c r="N367" s="7">
        <f t="shared" si="54"/>
        <v>340</v>
      </c>
      <c r="O367" s="1">
        <f t="shared" si="56"/>
        <v>131</v>
      </c>
      <c r="P367" s="1" t="str">
        <f t="shared" si="55"/>
        <v>340,131</v>
      </c>
      <c r="Q367" s="6" t="s">
        <v>10</v>
      </c>
      <c r="R367" s="1">
        <v>90</v>
      </c>
      <c r="S367" s="1">
        <v>2.5</v>
      </c>
      <c r="T367" s="1" t="str">
        <f t="shared" si="57"/>
        <v>-text 340,131 2.5 90 267.301</v>
      </c>
    </row>
    <row r="368" spans="1:20" x14ac:dyDescent="0.35">
      <c r="A368" s="1">
        <v>69360</v>
      </c>
      <c r="B368" s="7">
        <v>1149773.3</v>
      </c>
      <c r="D368" s="2">
        <v>277.065</v>
      </c>
      <c r="G368" s="2">
        <v>276.35199999999998</v>
      </c>
      <c r="J368" s="2">
        <v>267.34699999999998</v>
      </c>
      <c r="K368" s="15">
        <v>9.0050000000000008</v>
      </c>
      <c r="N368" s="7">
        <f t="shared" si="54"/>
        <v>360</v>
      </c>
      <c r="O368" s="1">
        <f t="shared" si="56"/>
        <v>131</v>
      </c>
      <c r="P368" s="1" t="str">
        <f t="shared" si="55"/>
        <v>360,131</v>
      </c>
      <c r="Q368" s="6" t="s">
        <v>10</v>
      </c>
      <c r="R368" s="1">
        <v>90</v>
      </c>
      <c r="S368" s="1">
        <v>2.5</v>
      </c>
      <c r="T368" s="1" t="str">
        <f t="shared" si="57"/>
        <v>-text 360,131 2.5 90 267.347</v>
      </c>
    </row>
    <row r="369" spans="1:20" x14ac:dyDescent="0.35">
      <c r="A369" s="1">
        <v>69380</v>
      </c>
      <c r="B369" s="7">
        <v>1149793.3</v>
      </c>
      <c r="D369" s="2">
        <v>277.00900000000001</v>
      </c>
      <c r="G369" s="2">
        <v>276.29599999999999</v>
      </c>
      <c r="J369" s="2">
        <v>267.93400000000003</v>
      </c>
      <c r="K369" s="15">
        <v>8.3620000000000001</v>
      </c>
      <c r="N369" s="7">
        <f t="shared" si="54"/>
        <v>380</v>
      </c>
      <c r="O369" s="1">
        <f t="shared" si="56"/>
        <v>131</v>
      </c>
      <c r="P369" s="1" t="str">
        <f t="shared" si="55"/>
        <v>380,131</v>
      </c>
      <c r="Q369" s="6" t="s">
        <v>10</v>
      </c>
      <c r="R369" s="1">
        <v>90</v>
      </c>
      <c r="S369" s="1">
        <v>2.5</v>
      </c>
      <c r="T369" s="1" t="str">
        <f t="shared" si="57"/>
        <v>-text 380,131 2.5 90 267.934</v>
      </c>
    </row>
    <row r="370" spans="1:20" x14ac:dyDescent="0.35">
      <c r="A370" s="1">
        <v>69400</v>
      </c>
      <c r="B370" s="7">
        <v>1149813.3</v>
      </c>
      <c r="D370" s="2">
        <v>276.95299999999997</v>
      </c>
      <c r="G370" s="2">
        <v>276.24</v>
      </c>
      <c r="J370" s="2">
        <v>267.54000000000002</v>
      </c>
      <c r="K370" s="15">
        <v>8.6999999999999993</v>
      </c>
      <c r="N370" s="7">
        <f t="shared" si="54"/>
        <v>400</v>
      </c>
      <c r="O370" s="1">
        <f t="shared" si="56"/>
        <v>131</v>
      </c>
      <c r="P370" s="1" t="str">
        <f t="shared" si="55"/>
        <v>400,131</v>
      </c>
      <c r="Q370" s="6" t="s">
        <v>10</v>
      </c>
      <c r="R370" s="1">
        <v>90</v>
      </c>
      <c r="S370" s="1">
        <v>2.5</v>
      </c>
      <c r="T370" s="1" t="str">
        <f t="shared" si="57"/>
        <v>-text 400,131 2.5 90 267.54</v>
      </c>
    </row>
    <row r="371" spans="1:20" x14ac:dyDescent="0.35">
      <c r="A371" s="1">
        <v>69420</v>
      </c>
      <c r="B371" s="7">
        <v>1149833.3</v>
      </c>
      <c r="D371" s="2">
        <v>276.89600000000002</v>
      </c>
      <c r="G371" s="2">
        <v>276.18299999999999</v>
      </c>
      <c r="J371" s="2">
        <v>267.42</v>
      </c>
      <c r="K371" s="15">
        <v>8.7639999999999993</v>
      </c>
      <c r="N371" s="7">
        <f t="shared" si="54"/>
        <v>420</v>
      </c>
      <c r="O371" s="1">
        <f t="shared" si="56"/>
        <v>131</v>
      </c>
      <c r="P371" s="1" t="str">
        <f t="shared" si="55"/>
        <v>420,131</v>
      </c>
      <c r="Q371" s="6" t="s">
        <v>10</v>
      </c>
      <c r="R371" s="1">
        <v>90</v>
      </c>
      <c r="S371" s="1">
        <v>2.5</v>
      </c>
      <c r="T371" s="1" t="str">
        <f t="shared" si="57"/>
        <v>-text 420,131 2.5 90 267.42</v>
      </c>
    </row>
    <row r="372" spans="1:20" x14ac:dyDescent="0.35">
      <c r="A372" s="1">
        <v>69440</v>
      </c>
      <c r="B372" s="7">
        <v>1149853.3</v>
      </c>
      <c r="D372" s="2">
        <v>276.83999999999997</v>
      </c>
      <c r="G372" s="2">
        <v>276.12700000000001</v>
      </c>
      <c r="J372" s="2">
        <v>267.06700000000001</v>
      </c>
      <c r="K372" s="15">
        <v>9.06</v>
      </c>
      <c r="N372" s="7">
        <f t="shared" si="54"/>
        <v>440</v>
      </c>
      <c r="O372" s="1">
        <f t="shared" si="56"/>
        <v>131</v>
      </c>
      <c r="P372" s="1" t="str">
        <f t="shared" si="55"/>
        <v>440,131</v>
      </c>
      <c r="Q372" s="6" t="s">
        <v>10</v>
      </c>
      <c r="R372" s="1">
        <v>90</v>
      </c>
      <c r="S372" s="1">
        <v>2.5</v>
      </c>
      <c r="T372" s="1" t="str">
        <f t="shared" si="57"/>
        <v>-text 440,131 2.5 90 267.067</v>
      </c>
    </row>
    <row r="373" spans="1:20" x14ac:dyDescent="0.35">
      <c r="A373" s="1">
        <v>69460</v>
      </c>
      <c r="B373" s="7">
        <v>1149873.3</v>
      </c>
      <c r="D373" s="2">
        <v>276.78399999999999</v>
      </c>
      <c r="G373" s="2">
        <v>276.07100000000003</v>
      </c>
      <c r="J373" s="2">
        <v>266.964</v>
      </c>
      <c r="K373" s="15">
        <v>9.1059999999999999</v>
      </c>
      <c r="N373" s="7">
        <f t="shared" si="54"/>
        <v>460</v>
      </c>
      <c r="O373" s="1">
        <f t="shared" si="56"/>
        <v>131</v>
      </c>
      <c r="P373" s="1" t="str">
        <f t="shared" si="55"/>
        <v>460,131</v>
      </c>
      <c r="Q373" s="6" t="s">
        <v>10</v>
      </c>
      <c r="R373" s="1">
        <v>90</v>
      </c>
      <c r="S373" s="1">
        <v>2.5</v>
      </c>
      <c r="T373" s="1" t="str">
        <f t="shared" si="57"/>
        <v>-text 460,131 2.5 90 266.964</v>
      </c>
    </row>
    <row r="374" spans="1:20" x14ac:dyDescent="0.35">
      <c r="A374" s="1">
        <v>69480</v>
      </c>
      <c r="B374" s="7">
        <v>1149893.3</v>
      </c>
      <c r="D374" s="2">
        <v>276.72699999999998</v>
      </c>
      <c r="G374" s="2">
        <v>276.01400000000001</v>
      </c>
      <c r="J374" s="2">
        <v>267.27</v>
      </c>
      <c r="K374" s="15">
        <v>8.7449999999999992</v>
      </c>
      <c r="N374" s="7">
        <f t="shared" si="54"/>
        <v>480</v>
      </c>
      <c r="O374" s="1">
        <f t="shared" si="56"/>
        <v>131</v>
      </c>
      <c r="P374" s="1" t="str">
        <f t="shared" si="55"/>
        <v>480,131</v>
      </c>
      <c r="Q374" s="6" t="s">
        <v>10</v>
      </c>
      <c r="R374" s="1">
        <v>90</v>
      </c>
      <c r="S374" s="1">
        <v>2.5</v>
      </c>
      <c r="T374" s="1" t="str">
        <f t="shared" si="57"/>
        <v>-text 480,131 2.5 90 267.27</v>
      </c>
    </row>
    <row r="375" spans="1:20" x14ac:dyDescent="0.35">
      <c r="A375" s="1">
        <v>69500</v>
      </c>
      <c r="B375" s="7">
        <v>1149913.3</v>
      </c>
      <c r="D375" s="2">
        <v>276.67099999999999</v>
      </c>
      <c r="G375" s="2">
        <v>275.95800000000003</v>
      </c>
      <c r="J375" s="2">
        <v>267.476</v>
      </c>
      <c r="K375" s="15">
        <v>8.4819999999999993</v>
      </c>
      <c r="N375" s="7">
        <f t="shared" si="54"/>
        <v>500</v>
      </c>
      <c r="O375" s="1">
        <f t="shared" si="56"/>
        <v>131</v>
      </c>
      <c r="P375" s="1" t="str">
        <f t="shared" si="55"/>
        <v>500,131</v>
      </c>
      <c r="Q375" s="6" t="s">
        <v>10</v>
      </c>
      <c r="R375" s="1">
        <v>90</v>
      </c>
      <c r="S375" s="1">
        <v>2.5</v>
      </c>
      <c r="T375" s="1" t="str">
        <f t="shared" si="57"/>
        <v>-text 500,131 2.5 90 267.476</v>
      </c>
    </row>
    <row r="376" spans="1:20" s="10" customFormat="1" x14ac:dyDescent="0.35">
      <c r="B376" s="11"/>
      <c r="C376" s="9"/>
      <c r="D376" s="9"/>
      <c r="E376" s="9"/>
      <c r="F376" s="9"/>
      <c r="G376" s="9"/>
      <c r="H376" s="9"/>
      <c r="I376" s="9"/>
      <c r="J376" s="9"/>
      <c r="K376" s="16"/>
      <c r="L376" s="9"/>
      <c r="M376" s="9"/>
    </row>
    <row r="377" spans="1:20" x14ac:dyDescent="0.35">
      <c r="A377" s="1">
        <v>69500</v>
      </c>
      <c r="B377" s="7">
        <v>1149913.3</v>
      </c>
      <c r="D377" s="2">
        <v>276.67099999999999</v>
      </c>
      <c r="G377" s="2">
        <v>275.95800000000003</v>
      </c>
      <c r="J377" s="2">
        <v>267.476</v>
      </c>
      <c r="K377" s="15">
        <v>8.4819999999999993</v>
      </c>
      <c r="N377" s="7">
        <v>0</v>
      </c>
      <c r="O377" s="1">
        <f t="shared" si="56"/>
        <v>131</v>
      </c>
      <c r="P377" s="1" t="str">
        <f t="shared" ref="P377:P378" si="58">CONCATENATE(N377,",",O377)</f>
        <v>0,131</v>
      </c>
      <c r="Q377" s="6" t="s">
        <v>10</v>
      </c>
      <c r="R377" s="1">
        <v>90</v>
      </c>
      <c r="S377" s="1">
        <v>2.5</v>
      </c>
      <c r="T377" s="1" t="str">
        <f t="shared" si="57"/>
        <v>-text 0,131 2.5 90 267.476</v>
      </c>
    </row>
    <row r="378" spans="1:20" x14ac:dyDescent="0.35">
      <c r="A378" s="1">
        <v>69520</v>
      </c>
      <c r="B378" s="7">
        <v>1149933.3</v>
      </c>
      <c r="D378" s="2">
        <v>276.61500000000001</v>
      </c>
      <c r="G378" s="2">
        <v>275.90199999999999</v>
      </c>
      <c r="J378" s="2">
        <v>267.24900000000002</v>
      </c>
      <c r="K378" s="15">
        <v>8.6530000000000005</v>
      </c>
      <c r="N378" s="7">
        <f t="shared" ref="N378:N402" si="59">N377+(B378-B377)</f>
        <v>20</v>
      </c>
      <c r="O378" s="1">
        <f t="shared" si="56"/>
        <v>131</v>
      </c>
      <c r="P378" s="1" t="str">
        <f t="shared" si="58"/>
        <v>20,131</v>
      </c>
      <c r="Q378" s="6" t="s">
        <v>10</v>
      </c>
      <c r="R378" s="1">
        <v>90</v>
      </c>
      <c r="S378" s="1">
        <v>2.5</v>
      </c>
      <c r="T378" s="1" t="str">
        <f t="shared" si="57"/>
        <v>-text 20,131 2.5 90 267.249</v>
      </c>
    </row>
    <row r="379" spans="1:20" x14ac:dyDescent="0.35">
      <c r="A379" s="1">
        <v>69540</v>
      </c>
      <c r="B379" s="7">
        <v>1149953.3</v>
      </c>
      <c r="D379" s="2">
        <v>276.55799999999999</v>
      </c>
      <c r="G379" s="2">
        <v>275.84500000000003</v>
      </c>
      <c r="J379" s="2">
        <v>267.19799999999998</v>
      </c>
      <c r="K379" s="15">
        <v>8.6470000000000002</v>
      </c>
      <c r="N379" s="7">
        <f t="shared" si="59"/>
        <v>40</v>
      </c>
      <c r="O379" s="1">
        <f t="shared" si="56"/>
        <v>131</v>
      </c>
      <c r="P379" s="1" t="str">
        <f t="shared" ref="P379:P429" si="60">CONCATENATE(N379,",",O379)</f>
        <v>40,131</v>
      </c>
      <c r="Q379" s="6" t="s">
        <v>10</v>
      </c>
      <c r="R379" s="1">
        <v>90</v>
      </c>
      <c r="S379" s="1">
        <v>2.5</v>
      </c>
      <c r="T379" s="1" t="str">
        <f t="shared" si="57"/>
        <v>-text 40,131 2.5 90 267.198</v>
      </c>
    </row>
    <row r="380" spans="1:20" x14ac:dyDescent="0.35">
      <c r="A380" s="1">
        <v>69560</v>
      </c>
      <c r="B380" s="7">
        <v>1149973.3</v>
      </c>
      <c r="D380" s="2">
        <v>276.50200000000001</v>
      </c>
      <c r="G380" s="2">
        <v>275.78899999999999</v>
      </c>
      <c r="J380" s="2">
        <v>267.05500000000001</v>
      </c>
      <c r="K380" s="15">
        <v>8.734</v>
      </c>
      <c r="N380" s="7">
        <f t="shared" si="59"/>
        <v>60</v>
      </c>
      <c r="O380" s="1">
        <f t="shared" si="56"/>
        <v>131</v>
      </c>
      <c r="P380" s="1" t="str">
        <f t="shared" si="60"/>
        <v>60,131</v>
      </c>
      <c r="Q380" s="6" t="s">
        <v>10</v>
      </c>
      <c r="R380" s="1">
        <v>90</v>
      </c>
      <c r="S380" s="1">
        <v>2.5</v>
      </c>
      <c r="T380" s="1" t="str">
        <f t="shared" si="57"/>
        <v>-text 60,131 2.5 90 267.055</v>
      </c>
    </row>
    <row r="381" spans="1:20" x14ac:dyDescent="0.35">
      <c r="A381" s="1">
        <v>69580</v>
      </c>
      <c r="B381" s="7">
        <v>1149993.3</v>
      </c>
      <c r="D381" s="2">
        <v>276.44600000000003</v>
      </c>
      <c r="G381" s="2">
        <v>275.733</v>
      </c>
      <c r="J381" s="2">
        <v>266.80099999999999</v>
      </c>
      <c r="K381" s="15">
        <v>8.9309999999999992</v>
      </c>
      <c r="N381" s="7">
        <f t="shared" si="59"/>
        <v>80</v>
      </c>
      <c r="O381" s="1">
        <f t="shared" si="56"/>
        <v>131</v>
      </c>
      <c r="P381" s="1" t="str">
        <f t="shared" si="60"/>
        <v>80,131</v>
      </c>
      <c r="Q381" s="6" t="s">
        <v>10</v>
      </c>
      <c r="R381" s="1">
        <v>90</v>
      </c>
      <c r="S381" s="1">
        <v>2.5</v>
      </c>
      <c r="T381" s="1" t="str">
        <f t="shared" si="57"/>
        <v>-text 80,131 2.5 90 266.801</v>
      </c>
    </row>
    <row r="382" spans="1:20" x14ac:dyDescent="0.35">
      <c r="A382" s="1">
        <v>69600</v>
      </c>
      <c r="B382" s="7">
        <v>1150013.3</v>
      </c>
      <c r="D382" s="2">
        <v>276.38900000000001</v>
      </c>
      <c r="G382" s="2">
        <v>275.67599999999999</v>
      </c>
      <c r="J382" s="2">
        <v>266.59300000000002</v>
      </c>
      <c r="K382" s="15">
        <v>9.0830000000000002</v>
      </c>
      <c r="N382" s="7">
        <f t="shared" si="59"/>
        <v>100</v>
      </c>
      <c r="O382" s="1">
        <f t="shared" si="56"/>
        <v>131</v>
      </c>
      <c r="P382" s="1" t="str">
        <f t="shared" si="60"/>
        <v>100,131</v>
      </c>
      <c r="Q382" s="6" t="s">
        <v>10</v>
      </c>
      <c r="R382" s="1">
        <v>90</v>
      </c>
      <c r="S382" s="1">
        <v>2.5</v>
      </c>
      <c r="T382" s="1" t="str">
        <f t="shared" si="57"/>
        <v>-text 100,131 2.5 90 266.593</v>
      </c>
    </row>
    <row r="383" spans="1:20" x14ac:dyDescent="0.35">
      <c r="A383" s="1">
        <v>69620</v>
      </c>
      <c r="B383" s="7">
        <v>1150033.3</v>
      </c>
      <c r="D383" s="2">
        <v>276.33300000000003</v>
      </c>
      <c r="G383" s="2">
        <v>275.62</v>
      </c>
      <c r="J383" s="2">
        <v>266.798</v>
      </c>
      <c r="K383" s="15">
        <v>8.8219999999999992</v>
      </c>
      <c r="N383" s="7">
        <f t="shared" si="59"/>
        <v>120</v>
      </c>
      <c r="O383" s="1">
        <f t="shared" si="56"/>
        <v>131</v>
      </c>
      <c r="P383" s="1" t="str">
        <f t="shared" si="60"/>
        <v>120,131</v>
      </c>
      <c r="Q383" s="6" t="s">
        <v>10</v>
      </c>
      <c r="R383" s="1">
        <v>90</v>
      </c>
      <c r="S383" s="1">
        <v>2.5</v>
      </c>
      <c r="T383" s="1" t="str">
        <f t="shared" si="57"/>
        <v>-text 120,131 2.5 90 266.798</v>
      </c>
    </row>
    <row r="384" spans="1:20" x14ac:dyDescent="0.35">
      <c r="A384" s="1">
        <v>69640</v>
      </c>
      <c r="B384" s="7">
        <v>1150053.3</v>
      </c>
      <c r="D384" s="2">
        <v>276.27699999999999</v>
      </c>
      <c r="G384" s="2">
        <v>275.56400000000002</v>
      </c>
      <c r="J384" s="2">
        <v>266.94400000000002</v>
      </c>
      <c r="K384" s="15">
        <v>8.6189999999999998</v>
      </c>
      <c r="N384" s="7">
        <f t="shared" si="59"/>
        <v>140</v>
      </c>
      <c r="O384" s="1">
        <f t="shared" si="56"/>
        <v>131</v>
      </c>
      <c r="P384" s="1" t="str">
        <f t="shared" si="60"/>
        <v>140,131</v>
      </c>
      <c r="Q384" s="6" t="s">
        <v>10</v>
      </c>
      <c r="R384" s="1">
        <v>90</v>
      </c>
      <c r="S384" s="1">
        <v>2.5</v>
      </c>
      <c r="T384" s="1" t="str">
        <f t="shared" si="57"/>
        <v>-text 140,131 2.5 90 266.944</v>
      </c>
    </row>
    <row r="385" spans="1:20" x14ac:dyDescent="0.35">
      <c r="A385" s="1">
        <v>69660</v>
      </c>
      <c r="B385" s="7">
        <v>1150073.3</v>
      </c>
      <c r="D385" s="2">
        <v>276.22000000000003</v>
      </c>
      <c r="G385" s="2">
        <v>275.50700000000001</v>
      </c>
      <c r="J385" s="2">
        <v>267.15300000000002</v>
      </c>
      <c r="K385" s="15">
        <v>8.3539999999999992</v>
      </c>
      <c r="N385" s="7">
        <f t="shared" si="59"/>
        <v>160</v>
      </c>
      <c r="O385" s="1">
        <f t="shared" si="56"/>
        <v>131</v>
      </c>
      <c r="P385" s="1" t="str">
        <f t="shared" si="60"/>
        <v>160,131</v>
      </c>
      <c r="Q385" s="6" t="s">
        <v>10</v>
      </c>
      <c r="R385" s="1">
        <v>90</v>
      </c>
      <c r="S385" s="1">
        <v>2.5</v>
      </c>
      <c r="T385" s="1" t="str">
        <f t="shared" si="57"/>
        <v>-text 160,131 2.5 90 267.153</v>
      </c>
    </row>
    <row r="386" spans="1:20" x14ac:dyDescent="0.35">
      <c r="A386" s="1">
        <v>69680</v>
      </c>
      <c r="B386" s="7">
        <v>1150093.3</v>
      </c>
      <c r="D386" s="2">
        <v>276.16399999999999</v>
      </c>
      <c r="G386" s="2">
        <v>275.45100000000002</v>
      </c>
      <c r="J386" s="2">
        <v>267.17899999999997</v>
      </c>
      <c r="K386" s="15">
        <v>8.2710000000000008</v>
      </c>
      <c r="N386" s="7">
        <f t="shared" si="59"/>
        <v>180</v>
      </c>
      <c r="O386" s="1">
        <f t="shared" si="56"/>
        <v>131</v>
      </c>
      <c r="P386" s="1" t="str">
        <f t="shared" si="60"/>
        <v>180,131</v>
      </c>
      <c r="Q386" s="6" t="s">
        <v>10</v>
      </c>
      <c r="R386" s="1">
        <v>90</v>
      </c>
      <c r="S386" s="1">
        <v>2.5</v>
      </c>
      <c r="T386" s="1" t="str">
        <f t="shared" si="57"/>
        <v>-text 180,131 2.5 90 267.179</v>
      </c>
    </row>
    <row r="387" spans="1:20" x14ac:dyDescent="0.35">
      <c r="A387" s="1">
        <v>69700</v>
      </c>
      <c r="B387" s="7">
        <v>1150113.3</v>
      </c>
      <c r="D387" s="2">
        <v>276.108</v>
      </c>
      <c r="G387" s="2">
        <v>275.39499999999998</v>
      </c>
      <c r="J387" s="2">
        <v>267.87299999999999</v>
      </c>
      <c r="K387" s="15">
        <v>7.5220000000000002</v>
      </c>
      <c r="N387" s="7">
        <f t="shared" si="59"/>
        <v>200</v>
      </c>
      <c r="O387" s="1">
        <f t="shared" si="56"/>
        <v>131</v>
      </c>
      <c r="P387" s="1" t="str">
        <f t="shared" si="60"/>
        <v>200,131</v>
      </c>
      <c r="Q387" s="6" t="s">
        <v>10</v>
      </c>
      <c r="R387" s="1">
        <v>90</v>
      </c>
      <c r="S387" s="1">
        <v>2.5</v>
      </c>
      <c r="T387" s="1" t="str">
        <f t="shared" si="57"/>
        <v>-text 200,131 2.5 90 267.873</v>
      </c>
    </row>
    <row r="388" spans="1:20" x14ac:dyDescent="0.35">
      <c r="A388" s="1">
        <v>69720</v>
      </c>
      <c r="B388" s="7">
        <v>1150133.3</v>
      </c>
      <c r="D388" s="2">
        <v>276.05099999999999</v>
      </c>
      <c r="G388" s="2">
        <v>275.33800000000002</v>
      </c>
      <c r="J388" s="2">
        <v>267.52800000000002</v>
      </c>
      <c r="K388" s="15">
        <v>7.81</v>
      </c>
      <c r="N388" s="7">
        <f t="shared" si="59"/>
        <v>220</v>
      </c>
      <c r="O388" s="1">
        <f t="shared" si="56"/>
        <v>131</v>
      </c>
      <c r="P388" s="1" t="str">
        <f t="shared" si="60"/>
        <v>220,131</v>
      </c>
      <c r="Q388" s="6" t="s">
        <v>10</v>
      </c>
      <c r="R388" s="1">
        <v>90</v>
      </c>
      <c r="S388" s="1">
        <v>2.5</v>
      </c>
      <c r="T388" s="1" t="str">
        <f t="shared" si="57"/>
        <v>-text 220,131 2.5 90 267.528</v>
      </c>
    </row>
    <row r="389" spans="1:20" x14ac:dyDescent="0.35">
      <c r="A389" s="1">
        <v>69740</v>
      </c>
      <c r="B389" s="7">
        <v>1150153.3</v>
      </c>
      <c r="D389" s="2">
        <v>275.995</v>
      </c>
      <c r="G389" s="2">
        <v>275.28199999999998</v>
      </c>
      <c r="J389" s="2">
        <v>267.28800000000001</v>
      </c>
      <c r="K389" s="15">
        <v>7.9939999999999998</v>
      </c>
      <c r="N389" s="7">
        <f t="shared" si="59"/>
        <v>240</v>
      </c>
      <c r="O389" s="1">
        <f t="shared" si="56"/>
        <v>131</v>
      </c>
      <c r="P389" s="1" t="str">
        <f t="shared" si="60"/>
        <v>240,131</v>
      </c>
      <c r="Q389" s="6" t="s">
        <v>10</v>
      </c>
      <c r="R389" s="1">
        <v>90</v>
      </c>
      <c r="S389" s="1">
        <v>2.5</v>
      </c>
      <c r="T389" s="1" t="str">
        <f t="shared" si="57"/>
        <v>-text 240,131 2.5 90 267.288</v>
      </c>
    </row>
    <row r="390" spans="1:20" x14ac:dyDescent="0.35">
      <c r="A390" s="1">
        <v>69760</v>
      </c>
      <c r="B390" s="7">
        <v>1150173.3</v>
      </c>
      <c r="D390" s="2">
        <v>275.93799999999999</v>
      </c>
      <c r="G390" s="2">
        <v>275.22500000000002</v>
      </c>
      <c r="J390" s="2">
        <v>267.01299999999998</v>
      </c>
      <c r="K390" s="15">
        <v>8.2119999999999997</v>
      </c>
      <c r="N390" s="7">
        <f t="shared" si="59"/>
        <v>260</v>
      </c>
      <c r="O390" s="1">
        <f t="shared" si="56"/>
        <v>131</v>
      </c>
      <c r="P390" s="1" t="str">
        <f t="shared" si="60"/>
        <v>260,131</v>
      </c>
      <c r="Q390" s="6" t="s">
        <v>10</v>
      </c>
      <c r="R390" s="1">
        <v>90</v>
      </c>
      <c r="S390" s="1">
        <v>2.5</v>
      </c>
      <c r="T390" s="1" t="str">
        <f t="shared" si="57"/>
        <v>-text 260,131 2.5 90 267.013</v>
      </c>
    </row>
    <row r="391" spans="1:20" x14ac:dyDescent="0.35">
      <c r="A391" s="1">
        <v>69780</v>
      </c>
      <c r="B391" s="7">
        <v>1150193.3</v>
      </c>
      <c r="D391" s="2">
        <v>275.88200000000001</v>
      </c>
      <c r="G391" s="2">
        <v>275.16899999999998</v>
      </c>
      <c r="J391" s="2">
        <v>266.72899999999998</v>
      </c>
      <c r="K391" s="15">
        <v>8.44</v>
      </c>
      <c r="N391" s="7">
        <f t="shared" si="59"/>
        <v>280</v>
      </c>
      <c r="O391" s="1">
        <f t="shared" si="56"/>
        <v>131</v>
      </c>
      <c r="P391" s="1" t="str">
        <f t="shared" si="60"/>
        <v>280,131</v>
      </c>
      <c r="Q391" s="6" t="s">
        <v>10</v>
      </c>
      <c r="R391" s="1">
        <v>90</v>
      </c>
      <c r="S391" s="1">
        <v>2.5</v>
      </c>
      <c r="T391" s="1" t="str">
        <f t="shared" si="57"/>
        <v>-text 280,131 2.5 90 266.729</v>
      </c>
    </row>
    <row r="392" spans="1:20" x14ac:dyDescent="0.35">
      <c r="A392" s="1">
        <v>69800</v>
      </c>
      <c r="B392" s="7">
        <v>1150213.3</v>
      </c>
      <c r="D392" s="2">
        <v>275.82600000000002</v>
      </c>
      <c r="G392" s="2">
        <v>275.113</v>
      </c>
      <c r="J392" s="2">
        <v>267.13600000000002</v>
      </c>
      <c r="K392" s="15">
        <v>7.9770000000000003</v>
      </c>
      <c r="N392" s="7">
        <f t="shared" si="59"/>
        <v>300</v>
      </c>
      <c r="O392" s="1">
        <f t="shared" si="56"/>
        <v>131</v>
      </c>
      <c r="P392" s="1" t="str">
        <f t="shared" si="60"/>
        <v>300,131</v>
      </c>
      <c r="Q392" s="6" t="s">
        <v>10</v>
      </c>
      <c r="R392" s="1">
        <v>90</v>
      </c>
      <c r="S392" s="1">
        <v>2.5</v>
      </c>
      <c r="T392" s="1" t="str">
        <f t="shared" si="57"/>
        <v>-text 300,131 2.5 90 267.136</v>
      </c>
    </row>
    <row r="393" spans="1:20" x14ac:dyDescent="0.35">
      <c r="A393" s="1">
        <v>69820</v>
      </c>
      <c r="B393" s="7">
        <v>1150233.3</v>
      </c>
      <c r="D393" s="2">
        <v>275.76900000000001</v>
      </c>
      <c r="G393" s="2">
        <v>275.05599999999998</v>
      </c>
      <c r="J393" s="2">
        <v>266.94200000000001</v>
      </c>
      <c r="K393" s="15">
        <v>8.1150000000000002</v>
      </c>
      <c r="N393" s="7">
        <f t="shared" si="59"/>
        <v>320</v>
      </c>
      <c r="O393" s="1">
        <f t="shared" si="56"/>
        <v>131</v>
      </c>
      <c r="P393" s="1" t="str">
        <f t="shared" si="60"/>
        <v>320,131</v>
      </c>
      <c r="Q393" s="6" t="s">
        <v>10</v>
      </c>
      <c r="R393" s="1">
        <v>90</v>
      </c>
      <c r="S393" s="1">
        <v>2.5</v>
      </c>
      <c r="T393" s="1" t="str">
        <f t="shared" si="57"/>
        <v>-text 320,131 2.5 90 266.942</v>
      </c>
    </row>
    <row r="394" spans="1:20" x14ac:dyDescent="0.35">
      <c r="A394" s="1">
        <v>69840</v>
      </c>
      <c r="B394" s="7">
        <v>1150253.3</v>
      </c>
      <c r="D394" s="2">
        <v>275.71300000000002</v>
      </c>
      <c r="G394" s="2">
        <v>275</v>
      </c>
      <c r="J394" s="2">
        <v>266.238</v>
      </c>
      <c r="K394" s="15">
        <v>8.7620000000000005</v>
      </c>
      <c r="N394" s="7">
        <f t="shared" si="59"/>
        <v>340</v>
      </c>
      <c r="O394" s="1">
        <f t="shared" si="56"/>
        <v>131</v>
      </c>
      <c r="P394" s="1" t="str">
        <f t="shared" si="60"/>
        <v>340,131</v>
      </c>
      <c r="Q394" s="6" t="s">
        <v>10</v>
      </c>
      <c r="R394" s="1">
        <v>90</v>
      </c>
      <c r="S394" s="1">
        <v>2.5</v>
      </c>
      <c r="T394" s="1" t="str">
        <f t="shared" si="57"/>
        <v>-text 340,131 2.5 90 266.238</v>
      </c>
    </row>
    <row r="395" spans="1:20" x14ac:dyDescent="0.35">
      <c r="A395" s="1">
        <v>69860</v>
      </c>
      <c r="B395" s="7">
        <v>1150273.3</v>
      </c>
      <c r="D395" s="2">
        <v>275.65699999999998</v>
      </c>
      <c r="G395" s="2">
        <v>274.94400000000002</v>
      </c>
      <c r="J395" s="2">
        <v>266.44</v>
      </c>
      <c r="K395" s="15">
        <v>8.5039999999999996</v>
      </c>
      <c r="N395" s="7">
        <f t="shared" si="59"/>
        <v>360</v>
      </c>
      <c r="O395" s="1">
        <f t="shared" si="56"/>
        <v>131</v>
      </c>
      <c r="P395" s="1" t="str">
        <f t="shared" si="60"/>
        <v>360,131</v>
      </c>
      <c r="Q395" s="6" t="s">
        <v>10</v>
      </c>
      <c r="R395" s="1">
        <v>90</v>
      </c>
      <c r="S395" s="1">
        <v>2.5</v>
      </c>
      <c r="T395" s="1" t="str">
        <f t="shared" si="57"/>
        <v>-text 360,131 2.5 90 266.44</v>
      </c>
    </row>
    <row r="396" spans="1:20" x14ac:dyDescent="0.35">
      <c r="A396" s="1">
        <v>69880</v>
      </c>
      <c r="B396" s="7">
        <v>1150293.3</v>
      </c>
      <c r="D396" s="2">
        <v>275.60000000000002</v>
      </c>
      <c r="G396" s="2">
        <v>274.887</v>
      </c>
      <c r="J396" s="2">
        <v>266.476</v>
      </c>
      <c r="K396" s="15">
        <v>8.4109999999999996</v>
      </c>
      <c r="N396" s="7">
        <f t="shared" si="59"/>
        <v>380</v>
      </c>
      <c r="O396" s="1">
        <f t="shared" si="56"/>
        <v>131</v>
      </c>
      <c r="P396" s="1" t="str">
        <f t="shared" si="60"/>
        <v>380,131</v>
      </c>
      <c r="Q396" s="6" t="s">
        <v>10</v>
      </c>
      <c r="R396" s="1">
        <v>90</v>
      </c>
      <c r="S396" s="1">
        <v>2.5</v>
      </c>
      <c r="T396" s="1" t="str">
        <f t="shared" si="57"/>
        <v>-text 380,131 2.5 90 266.476</v>
      </c>
    </row>
    <row r="397" spans="1:20" x14ac:dyDescent="0.35">
      <c r="A397" s="1">
        <v>69900</v>
      </c>
      <c r="B397" s="7">
        <v>1150313.3</v>
      </c>
      <c r="D397" s="2">
        <v>275.54399999999998</v>
      </c>
      <c r="G397" s="2">
        <v>274.83100000000002</v>
      </c>
      <c r="J397" s="2">
        <v>267.12200000000001</v>
      </c>
      <c r="K397" s="15">
        <v>7.7089999999999996</v>
      </c>
      <c r="N397" s="7">
        <f t="shared" si="59"/>
        <v>400</v>
      </c>
      <c r="O397" s="1">
        <f t="shared" si="56"/>
        <v>131</v>
      </c>
      <c r="P397" s="1" t="str">
        <f t="shared" si="60"/>
        <v>400,131</v>
      </c>
      <c r="Q397" s="6" t="s">
        <v>10</v>
      </c>
      <c r="R397" s="1">
        <v>90</v>
      </c>
      <c r="S397" s="1">
        <v>2.5</v>
      </c>
      <c r="T397" s="1" t="str">
        <f t="shared" si="57"/>
        <v>-text 400,131 2.5 90 267.122</v>
      </c>
    </row>
    <row r="398" spans="1:20" x14ac:dyDescent="0.35">
      <c r="A398" s="1">
        <v>69920</v>
      </c>
      <c r="B398" s="7">
        <v>1150333.3</v>
      </c>
      <c r="D398" s="2">
        <v>275.488</v>
      </c>
      <c r="G398" s="2">
        <v>274.77499999999998</v>
      </c>
      <c r="J398" s="2">
        <v>267.577</v>
      </c>
      <c r="K398" s="15">
        <v>7.1970000000000001</v>
      </c>
      <c r="N398" s="7">
        <f t="shared" si="59"/>
        <v>420</v>
      </c>
      <c r="O398" s="1">
        <f t="shared" si="56"/>
        <v>131</v>
      </c>
      <c r="P398" s="1" t="str">
        <f t="shared" si="60"/>
        <v>420,131</v>
      </c>
      <c r="Q398" s="6" t="s">
        <v>10</v>
      </c>
      <c r="R398" s="1">
        <v>90</v>
      </c>
      <c r="S398" s="1">
        <v>2.5</v>
      </c>
      <c r="T398" s="1" t="str">
        <f t="shared" si="57"/>
        <v>-text 420,131 2.5 90 267.577</v>
      </c>
    </row>
    <row r="399" spans="1:20" x14ac:dyDescent="0.35">
      <c r="A399" s="1">
        <v>69940</v>
      </c>
      <c r="B399" s="7">
        <v>1150353.3</v>
      </c>
      <c r="D399" s="2">
        <v>275.43099999999998</v>
      </c>
      <c r="G399" s="2">
        <v>274.71800000000002</v>
      </c>
      <c r="J399" s="2">
        <v>267.61700000000002</v>
      </c>
      <c r="K399" s="15">
        <v>7.101</v>
      </c>
      <c r="N399" s="7">
        <f t="shared" si="59"/>
        <v>440</v>
      </c>
      <c r="O399" s="1">
        <f t="shared" si="56"/>
        <v>131</v>
      </c>
      <c r="P399" s="1" t="str">
        <f t="shared" si="60"/>
        <v>440,131</v>
      </c>
      <c r="Q399" s="6" t="s">
        <v>10</v>
      </c>
      <c r="R399" s="1">
        <v>90</v>
      </c>
      <c r="S399" s="1">
        <v>2.5</v>
      </c>
      <c r="T399" s="1" t="str">
        <f t="shared" si="57"/>
        <v>-text 440,131 2.5 90 267.617</v>
      </c>
    </row>
    <row r="400" spans="1:20" x14ac:dyDescent="0.35">
      <c r="A400" s="1">
        <v>69960</v>
      </c>
      <c r="B400" s="7">
        <v>1150373.3</v>
      </c>
      <c r="D400" s="2">
        <v>275.375</v>
      </c>
      <c r="G400" s="2">
        <v>274.66199999999998</v>
      </c>
      <c r="J400" s="2">
        <v>267.64600000000002</v>
      </c>
      <c r="K400" s="15">
        <v>7.016</v>
      </c>
      <c r="N400" s="7">
        <f t="shared" si="59"/>
        <v>460</v>
      </c>
      <c r="O400" s="1">
        <f t="shared" si="56"/>
        <v>131</v>
      </c>
      <c r="P400" s="1" t="str">
        <f t="shared" si="60"/>
        <v>460,131</v>
      </c>
      <c r="Q400" s="6" t="s">
        <v>10</v>
      </c>
      <c r="R400" s="1">
        <v>90</v>
      </c>
      <c r="S400" s="1">
        <v>2.5</v>
      </c>
      <c r="T400" s="1" t="str">
        <f t="shared" si="57"/>
        <v>-text 460,131 2.5 90 267.646</v>
      </c>
    </row>
    <row r="401" spans="1:20" x14ac:dyDescent="0.35">
      <c r="A401" s="1">
        <v>69980</v>
      </c>
      <c r="B401" s="7">
        <v>1150393.3</v>
      </c>
      <c r="D401" s="2">
        <v>275.31900000000002</v>
      </c>
      <c r="G401" s="2">
        <v>274.60599999999999</v>
      </c>
      <c r="J401" s="2">
        <v>267.65100000000001</v>
      </c>
      <c r="K401" s="15">
        <v>6.9539999999999997</v>
      </c>
      <c r="N401" s="7">
        <f t="shared" si="59"/>
        <v>480</v>
      </c>
      <c r="O401" s="1">
        <f t="shared" si="56"/>
        <v>131</v>
      </c>
      <c r="P401" s="1" t="str">
        <f t="shared" si="60"/>
        <v>480,131</v>
      </c>
      <c r="Q401" s="6" t="s">
        <v>10</v>
      </c>
      <c r="R401" s="1">
        <v>90</v>
      </c>
      <c r="S401" s="1">
        <v>2.5</v>
      </c>
      <c r="T401" s="1" t="str">
        <f t="shared" si="57"/>
        <v>-text 480,131 2.5 90 267.651</v>
      </c>
    </row>
    <row r="402" spans="1:20" x14ac:dyDescent="0.35">
      <c r="A402" s="1">
        <v>70000</v>
      </c>
      <c r="B402" s="7">
        <v>1150413.3</v>
      </c>
      <c r="D402" s="2">
        <v>275.262</v>
      </c>
      <c r="G402" s="2">
        <v>274.54899999999998</v>
      </c>
      <c r="J402" s="2">
        <v>267.60500000000002</v>
      </c>
      <c r="K402" s="15">
        <v>6.944</v>
      </c>
      <c r="N402" s="7">
        <f t="shared" si="59"/>
        <v>500</v>
      </c>
      <c r="O402" s="1">
        <f t="shared" si="56"/>
        <v>131</v>
      </c>
      <c r="P402" s="1" t="str">
        <f t="shared" si="60"/>
        <v>500,131</v>
      </c>
      <c r="Q402" s="6" t="s">
        <v>10</v>
      </c>
      <c r="R402" s="1">
        <v>90</v>
      </c>
      <c r="S402" s="1">
        <v>2.5</v>
      </c>
      <c r="T402" s="1" t="str">
        <f t="shared" si="57"/>
        <v>-text 500,131 2.5 90 267.605</v>
      </c>
    </row>
    <row r="403" spans="1:20" s="10" customFormat="1" x14ac:dyDescent="0.35">
      <c r="B403" s="11"/>
      <c r="C403" s="9"/>
      <c r="D403" s="9"/>
      <c r="E403" s="9"/>
      <c r="F403" s="9"/>
      <c r="G403" s="9"/>
      <c r="H403" s="9"/>
      <c r="I403" s="9"/>
      <c r="J403" s="9"/>
      <c r="K403" s="16"/>
      <c r="L403" s="9"/>
      <c r="M403" s="9"/>
      <c r="N403" s="11"/>
      <c r="Q403" s="12"/>
    </row>
    <row r="404" spans="1:20" x14ac:dyDescent="0.35">
      <c r="A404" s="1">
        <v>70000</v>
      </c>
      <c r="B404" s="7">
        <v>1150413.3</v>
      </c>
      <c r="D404" s="2">
        <v>275.262</v>
      </c>
      <c r="G404" s="2">
        <v>274.54899999999998</v>
      </c>
      <c r="J404" s="2">
        <v>267.60500000000002</v>
      </c>
      <c r="K404" s="15">
        <v>6.944</v>
      </c>
      <c r="N404" s="7">
        <v>0</v>
      </c>
      <c r="O404" s="1">
        <f t="shared" si="56"/>
        <v>131</v>
      </c>
      <c r="P404" s="1" t="str">
        <f t="shared" si="60"/>
        <v>0,131</v>
      </c>
      <c r="Q404" s="6" t="s">
        <v>10</v>
      </c>
      <c r="R404" s="1">
        <v>90</v>
      </c>
      <c r="S404" s="1">
        <v>2.5</v>
      </c>
      <c r="T404" s="1" t="str">
        <f t="shared" si="57"/>
        <v>-text 0,131 2.5 90 267.605</v>
      </c>
    </row>
    <row r="405" spans="1:20" x14ac:dyDescent="0.35">
      <c r="A405" s="1">
        <v>70020</v>
      </c>
      <c r="B405" s="7">
        <v>1150433.3</v>
      </c>
      <c r="D405" s="2">
        <v>275.20600000000002</v>
      </c>
      <c r="G405" s="2">
        <v>274.49299999999999</v>
      </c>
      <c r="J405" s="2">
        <v>267.56</v>
      </c>
      <c r="K405" s="15">
        <v>6.9329999999999998</v>
      </c>
      <c r="N405" s="7">
        <f t="shared" ref="N405:N429" si="61">N404+(B405-B404)</f>
        <v>20</v>
      </c>
      <c r="O405" s="1">
        <f t="shared" si="56"/>
        <v>131</v>
      </c>
      <c r="P405" s="1" t="str">
        <f t="shared" si="60"/>
        <v>20,131</v>
      </c>
      <c r="Q405" s="6" t="s">
        <v>10</v>
      </c>
      <c r="R405" s="1">
        <v>90</v>
      </c>
      <c r="S405" s="1">
        <v>2.5</v>
      </c>
      <c r="T405" s="1" t="str">
        <f t="shared" si="57"/>
        <v>-text 20,131 2.5 90 267.56</v>
      </c>
    </row>
    <row r="406" spans="1:20" x14ac:dyDescent="0.35">
      <c r="A406" s="1">
        <v>70040</v>
      </c>
      <c r="B406" s="7">
        <v>1150453.3</v>
      </c>
      <c r="D406" s="2">
        <v>275.14999999999998</v>
      </c>
      <c r="G406" s="2">
        <v>274.43700000000001</v>
      </c>
      <c r="J406" s="2">
        <v>267.54500000000002</v>
      </c>
      <c r="K406" s="15">
        <v>6.891</v>
      </c>
      <c r="N406" s="7">
        <f t="shared" si="61"/>
        <v>40</v>
      </c>
      <c r="O406" s="1">
        <f t="shared" si="56"/>
        <v>131</v>
      </c>
      <c r="P406" s="1" t="str">
        <f t="shared" si="60"/>
        <v>40,131</v>
      </c>
      <c r="Q406" s="6" t="s">
        <v>10</v>
      </c>
      <c r="R406" s="1">
        <v>90</v>
      </c>
      <c r="S406" s="1">
        <v>2.5</v>
      </c>
      <c r="T406" s="1" t="str">
        <f t="shared" si="57"/>
        <v>-text 40,131 2.5 90 267.545</v>
      </c>
    </row>
    <row r="407" spans="1:20" x14ac:dyDescent="0.35">
      <c r="A407" s="1">
        <v>70060</v>
      </c>
      <c r="B407" s="7">
        <v>1150473.3</v>
      </c>
      <c r="D407" s="2">
        <v>275.09300000000002</v>
      </c>
      <c r="G407" s="2">
        <v>274.38</v>
      </c>
      <c r="J407" s="2">
        <v>267.52</v>
      </c>
      <c r="K407" s="15">
        <v>6.86</v>
      </c>
      <c r="N407" s="7">
        <f t="shared" si="61"/>
        <v>60</v>
      </c>
      <c r="O407" s="1">
        <f t="shared" si="56"/>
        <v>131</v>
      </c>
      <c r="P407" s="1" t="str">
        <f t="shared" si="60"/>
        <v>60,131</v>
      </c>
      <c r="Q407" s="6" t="s">
        <v>10</v>
      </c>
      <c r="R407" s="1">
        <v>90</v>
      </c>
      <c r="S407" s="1">
        <v>2.5</v>
      </c>
      <c r="T407" s="1" t="str">
        <f t="shared" si="57"/>
        <v>-text 60,131 2.5 90 267.52</v>
      </c>
    </row>
    <row r="408" spans="1:20" x14ac:dyDescent="0.35">
      <c r="A408" s="1">
        <v>70080</v>
      </c>
      <c r="B408" s="7">
        <v>1150493.3</v>
      </c>
      <c r="D408" s="2">
        <v>275.03699999999998</v>
      </c>
      <c r="G408" s="2">
        <v>274.32400000000001</v>
      </c>
      <c r="J408" s="2">
        <v>267.42</v>
      </c>
      <c r="K408" s="15">
        <v>6.9039999999999999</v>
      </c>
      <c r="N408" s="7">
        <f t="shared" si="61"/>
        <v>80</v>
      </c>
      <c r="O408" s="1">
        <f t="shared" si="56"/>
        <v>131</v>
      </c>
      <c r="P408" s="1" t="str">
        <f t="shared" si="60"/>
        <v>80,131</v>
      </c>
      <c r="Q408" s="6" t="s">
        <v>10</v>
      </c>
      <c r="R408" s="1">
        <v>90</v>
      </c>
      <c r="S408" s="1">
        <v>2.5</v>
      </c>
      <c r="T408" s="1" t="str">
        <f t="shared" si="57"/>
        <v>-text 80,131 2.5 90 267.42</v>
      </c>
    </row>
    <row r="409" spans="1:20" x14ac:dyDescent="0.35">
      <c r="A409" s="1">
        <v>70100</v>
      </c>
      <c r="B409" s="7">
        <v>1150513.3</v>
      </c>
      <c r="D409" s="2">
        <v>274.98099999999999</v>
      </c>
      <c r="G409" s="2">
        <v>274.26799999999997</v>
      </c>
      <c r="J409" s="2">
        <v>267.42399999999998</v>
      </c>
      <c r="K409" s="15">
        <v>6.843</v>
      </c>
      <c r="N409" s="7">
        <f t="shared" si="61"/>
        <v>100</v>
      </c>
      <c r="O409" s="1">
        <f t="shared" si="56"/>
        <v>131</v>
      </c>
      <c r="P409" s="1" t="str">
        <f t="shared" si="60"/>
        <v>100,131</v>
      </c>
      <c r="Q409" s="6" t="s">
        <v>10</v>
      </c>
      <c r="R409" s="1">
        <v>90</v>
      </c>
      <c r="S409" s="1">
        <v>2.5</v>
      </c>
      <c r="T409" s="1" t="str">
        <f t="shared" si="57"/>
        <v>-text 100,131 2.5 90 267.424</v>
      </c>
    </row>
    <row r="410" spans="1:20" x14ac:dyDescent="0.35">
      <c r="A410" s="1">
        <v>70120</v>
      </c>
      <c r="B410" s="7">
        <v>1150533.3</v>
      </c>
      <c r="D410" s="2">
        <v>274.92399999999998</v>
      </c>
      <c r="G410" s="2">
        <v>274.21100000000001</v>
      </c>
      <c r="J410" s="2">
        <v>267.47399999999999</v>
      </c>
      <c r="K410" s="15">
        <v>6.7370000000000001</v>
      </c>
      <c r="N410" s="7">
        <f t="shared" si="61"/>
        <v>120</v>
      </c>
      <c r="O410" s="1">
        <f t="shared" si="56"/>
        <v>131</v>
      </c>
      <c r="P410" s="1" t="str">
        <f t="shared" si="60"/>
        <v>120,131</v>
      </c>
      <c r="Q410" s="6" t="s">
        <v>10</v>
      </c>
      <c r="R410" s="1">
        <v>90</v>
      </c>
      <c r="S410" s="1">
        <v>2.5</v>
      </c>
      <c r="T410" s="1" t="str">
        <f t="shared" si="57"/>
        <v>-text 120,131 2.5 90 267.474</v>
      </c>
    </row>
    <row r="411" spans="1:20" x14ac:dyDescent="0.35">
      <c r="A411" s="1">
        <v>70140</v>
      </c>
      <c r="B411" s="7">
        <v>1150553.3</v>
      </c>
      <c r="D411" s="2">
        <v>274.86799999999999</v>
      </c>
      <c r="G411" s="2">
        <v>274.15499999999997</v>
      </c>
      <c r="J411" s="2">
        <v>266.95999999999998</v>
      </c>
      <c r="K411" s="15">
        <v>7.1950000000000003</v>
      </c>
      <c r="N411" s="7">
        <f t="shared" si="61"/>
        <v>140</v>
      </c>
      <c r="O411" s="1">
        <f t="shared" si="56"/>
        <v>131</v>
      </c>
      <c r="P411" s="1" t="str">
        <f t="shared" si="60"/>
        <v>140,131</v>
      </c>
      <c r="Q411" s="6" t="s">
        <v>10</v>
      </c>
      <c r="R411" s="1">
        <v>90</v>
      </c>
      <c r="S411" s="1">
        <v>2.5</v>
      </c>
      <c r="T411" s="1" t="str">
        <f t="shared" si="57"/>
        <v>-text 140,131 2.5 90 266.96</v>
      </c>
    </row>
    <row r="412" spans="1:20" x14ac:dyDescent="0.35">
      <c r="A412" s="1">
        <v>70160</v>
      </c>
      <c r="B412" s="7">
        <v>1150573.3</v>
      </c>
      <c r="D412" s="2">
        <v>274.81200000000001</v>
      </c>
      <c r="G412" s="2">
        <v>274.09899999999999</v>
      </c>
      <c r="J412" s="2">
        <v>267.52499999999998</v>
      </c>
      <c r="K412" s="15">
        <v>6.5739999999999998</v>
      </c>
      <c r="N412" s="7">
        <f t="shared" si="61"/>
        <v>160</v>
      </c>
      <c r="O412" s="1">
        <f t="shared" si="56"/>
        <v>131</v>
      </c>
      <c r="P412" s="1" t="str">
        <f t="shared" si="60"/>
        <v>160,131</v>
      </c>
      <c r="Q412" s="6" t="s">
        <v>10</v>
      </c>
      <c r="R412" s="1">
        <v>90</v>
      </c>
      <c r="S412" s="1">
        <v>2.5</v>
      </c>
      <c r="T412" s="1" t="str">
        <f t="shared" si="57"/>
        <v>-text 160,131 2.5 90 267.525</v>
      </c>
    </row>
    <row r="413" spans="1:20" x14ac:dyDescent="0.35">
      <c r="A413" s="1">
        <v>70180</v>
      </c>
      <c r="B413" s="7">
        <v>1150593.3</v>
      </c>
      <c r="D413" s="2">
        <v>274.755</v>
      </c>
      <c r="G413" s="2">
        <v>274.04199999999997</v>
      </c>
      <c r="J413" s="2">
        <v>267.58600000000001</v>
      </c>
      <c r="K413" s="15">
        <v>6.4560000000000004</v>
      </c>
      <c r="N413" s="7">
        <f t="shared" si="61"/>
        <v>180</v>
      </c>
      <c r="O413" s="1">
        <f t="shared" si="56"/>
        <v>131</v>
      </c>
      <c r="P413" s="1" t="str">
        <f t="shared" si="60"/>
        <v>180,131</v>
      </c>
      <c r="Q413" s="6" t="s">
        <v>10</v>
      </c>
      <c r="R413" s="1">
        <v>90</v>
      </c>
      <c r="S413" s="1">
        <v>2.5</v>
      </c>
      <c r="T413" s="1" t="str">
        <f t="shared" si="57"/>
        <v>-text 180,131 2.5 90 267.586</v>
      </c>
    </row>
    <row r="414" spans="1:20" x14ac:dyDescent="0.35">
      <c r="A414" s="1">
        <v>70200</v>
      </c>
      <c r="B414" s="7">
        <v>1150613.3</v>
      </c>
      <c r="D414" s="2">
        <v>274.69900000000001</v>
      </c>
      <c r="G414" s="2">
        <v>273.98599999999999</v>
      </c>
      <c r="J414" s="2">
        <v>267.66399999999999</v>
      </c>
      <c r="K414" s="15">
        <v>6.3220000000000001</v>
      </c>
      <c r="N414" s="7">
        <f t="shared" si="61"/>
        <v>200</v>
      </c>
      <c r="O414" s="1">
        <f t="shared" si="56"/>
        <v>131</v>
      </c>
      <c r="P414" s="1" t="str">
        <f t="shared" si="60"/>
        <v>200,131</v>
      </c>
      <c r="Q414" s="6" t="s">
        <v>10</v>
      </c>
      <c r="R414" s="1">
        <v>90</v>
      </c>
      <c r="S414" s="1">
        <v>2.5</v>
      </c>
      <c r="T414" s="1" t="str">
        <f t="shared" si="57"/>
        <v>-text 200,131 2.5 90 267.664</v>
      </c>
    </row>
    <row r="415" spans="1:20" x14ac:dyDescent="0.35">
      <c r="A415" s="1">
        <v>70220</v>
      </c>
      <c r="B415" s="7">
        <v>1150633.3</v>
      </c>
      <c r="D415" s="2">
        <v>274.64299999999997</v>
      </c>
      <c r="G415" s="2">
        <v>273.93</v>
      </c>
      <c r="J415" s="2">
        <v>267.59699999999998</v>
      </c>
      <c r="K415" s="15">
        <v>6.3330000000000002</v>
      </c>
      <c r="N415" s="7">
        <f t="shared" si="61"/>
        <v>220</v>
      </c>
      <c r="O415" s="1">
        <f t="shared" si="56"/>
        <v>131</v>
      </c>
      <c r="P415" s="1" t="str">
        <f t="shared" si="60"/>
        <v>220,131</v>
      </c>
      <c r="Q415" s="6" t="s">
        <v>10</v>
      </c>
      <c r="R415" s="1">
        <v>90</v>
      </c>
      <c r="S415" s="1">
        <v>2.5</v>
      </c>
      <c r="T415" s="1" t="str">
        <f t="shared" si="57"/>
        <v>-text 220,131 2.5 90 267.597</v>
      </c>
    </row>
    <row r="416" spans="1:20" x14ac:dyDescent="0.35">
      <c r="A416" s="1">
        <v>70240</v>
      </c>
      <c r="B416" s="7">
        <v>1150653.3</v>
      </c>
      <c r="D416" s="2">
        <v>274.58600000000001</v>
      </c>
      <c r="G416" s="2">
        <v>273.87299999999999</v>
      </c>
      <c r="J416" s="2">
        <v>267.524</v>
      </c>
      <c r="K416" s="15">
        <v>6.35</v>
      </c>
      <c r="N416" s="7">
        <f t="shared" si="61"/>
        <v>240</v>
      </c>
      <c r="O416" s="1">
        <f t="shared" si="56"/>
        <v>131</v>
      </c>
      <c r="P416" s="1" t="str">
        <f t="shared" si="60"/>
        <v>240,131</v>
      </c>
      <c r="Q416" s="6" t="s">
        <v>10</v>
      </c>
      <c r="R416" s="1">
        <v>90</v>
      </c>
      <c r="S416" s="1">
        <v>2.5</v>
      </c>
      <c r="T416" s="1" t="str">
        <f t="shared" si="57"/>
        <v>-text 240,131 2.5 90 267.524</v>
      </c>
    </row>
    <row r="417" spans="1:20" x14ac:dyDescent="0.35">
      <c r="A417" s="1">
        <v>70260</v>
      </c>
      <c r="B417" s="7">
        <v>1150673.3</v>
      </c>
      <c r="D417" s="2">
        <v>274.52999999999997</v>
      </c>
      <c r="G417" s="2">
        <v>273.81700000000001</v>
      </c>
      <c r="J417" s="2">
        <v>267.577</v>
      </c>
      <c r="K417" s="15">
        <v>6.24</v>
      </c>
      <c r="N417" s="7">
        <f t="shared" si="61"/>
        <v>260</v>
      </c>
      <c r="O417" s="1">
        <f t="shared" ref="O417:O480" si="62">19+16+16+16+16+16+16+16</f>
        <v>131</v>
      </c>
      <c r="P417" s="1" t="str">
        <f t="shared" si="60"/>
        <v>260,131</v>
      </c>
      <c r="Q417" s="6" t="s">
        <v>10</v>
      </c>
      <c r="R417" s="1">
        <v>90</v>
      </c>
      <c r="S417" s="1">
        <v>2.5</v>
      </c>
      <c r="T417" s="1" t="str">
        <f t="shared" ref="T417:T480" si="63">$Q417&amp;" "&amp;$P417&amp;" "&amp;$S417&amp;" "&amp;$R417&amp;" "&amp;$J417</f>
        <v>-text 260,131 2.5 90 267.577</v>
      </c>
    </row>
    <row r="418" spans="1:20" x14ac:dyDescent="0.35">
      <c r="A418" s="1">
        <v>70280</v>
      </c>
      <c r="B418" s="7">
        <v>1150693.3</v>
      </c>
      <c r="D418" s="2">
        <v>274.47399999999999</v>
      </c>
      <c r="G418" s="2">
        <v>273.76100000000002</v>
      </c>
      <c r="J418" s="2">
        <v>267.44200000000001</v>
      </c>
      <c r="K418" s="15">
        <v>6.3179999999999996</v>
      </c>
      <c r="N418" s="7">
        <f t="shared" si="61"/>
        <v>280</v>
      </c>
      <c r="O418" s="1">
        <f t="shared" si="62"/>
        <v>131</v>
      </c>
      <c r="P418" s="1" t="str">
        <f t="shared" si="60"/>
        <v>280,131</v>
      </c>
      <c r="Q418" s="6" t="s">
        <v>10</v>
      </c>
      <c r="R418" s="1">
        <v>90</v>
      </c>
      <c r="S418" s="1">
        <v>2.5</v>
      </c>
      <c r="T418" s="1" t="str">
        <f t="shared" si="63"/>
        <v>-text 280,131 2.5 90 267.442</v>
      </c>
    </row>
    <row r="419" spans="1:20" x14ac:dyDescent="0.35">
      <c r="A419" s="1">
        <v>70300</v>
      </c>
      <c r="B419" s="7">
        <v>1150713.3</v>
      </c>
      <c r="D419" s="2">
        <v>274.41699999999997</v>
      </c>
      <c r="G419" s="2">
        <v>273.70400000000001</v>
      </c>
      <c r="J419" s="2">
        <v>267.40899999999999</v>
      </c>
      <c r="K419" s="15">
        <v>6.2949999999999999</v>
      </c>
      <c r="N419" s="7">
        <f t="shared" si="61"/>
        <v>300</v>
      </c>
      <c r="O419" s="1">
        <f t="shared" si="62"/>
        <v>131</v>
      </c>
      <c r="P419" s="1" t="str">
        <f t="shared" si="60"/>
        <v>300,131</v>
      </c>
      <c r="Q419" s="6" t="s">
        <v>10</v>
      </c>
      <c r="R419" s="1">
        <v>90</v>
      </c>
      <c r="S419" s="1">
        <v>2.5</v>
      </c>
      <c r="T419" s="1" t="str">
        <f t="shared" si="63"/>
        <v>-text 300,131 2.5 90 267.409</v>
      </c>
    </row>
    <row r="420" spans="1:20" x14ac:dyDescent="0.35">
      <c r="A420" s="1">
        <v>70320</v>
      </c>
      <c r="B420" s="7">
        <v>1150733.3</v>
      </c>
      <c r="D420" s="2">
        <v>274.36099999999999</v>
      </c>
      <c r="G420" s="2">
        <v>273.64800000000002</v>
      </c>
      <c r="J420" s="2">
        <v>267.44499999999999</v>
      </c>
      <c r="K420" s="15">
        <v>6.2030000000000003</v>
      </c>
      <c r="N420" s="7">
        <f t="shared" si="61"/>
        <v>320</v>
      </c>
      <c r="O420" s="1">
        <f t="shared" si="62"/>
        <v>131</v>
      </c>
      <c r="P420" s="1" t="str">
        <f t="shared" si="60"/>
        <v>320,131</v>
      </c>
      <c r="Q420" s="6" t="s">
        <v>10</v>
      </c>
      <c r="R420" s="1">
        <v>90</v>
      </c>
      <c r="S420" s="1">
        <v>2.5</v>
      </c>
      <c r="T420" s="1" t="str">
        <f t="shared" si="63"/>
        <v>-text 320,131 2.5 90 267.445</v>
      </c>
    </row>
    <row r="421" spans="1:20" x14ac:dyDescent="0.35">
      <c r="A421" s="1">
        <v>70340</v>
      </c>
      <c r="B421" s="7">
        <v>1150753.3</v>
      </c>
      <c r="D421" s="2">
        <v>274.30500000000001</v>
      </c>
      <c r="G421" s="2">
        <v>273.59199999999998</v>
      </c>
      <c r="J421" s="2">
        <v>267.60599999999999</v>
      </c>
      <c r="K421" s="15">
        <v>5.9859999999999998</v>
      </c>
      <c r="N421" s="7">
        <f t="shared" si="61"/>
        <v>340</v>
      </c>
      <c r="O421" s="1">
        <f t="shared" si="62"/>
        <v>131</v>
      </c>
      <c r="P421" s="1" t="str">
        <f t="shared" si="60"/>
        <v>340,131</v>
      </c>
      <c r="Q421" s="6" t="s">
        <v>10</v>
      </c>
      <c r="R421" s="1">
        <v>90</v>
      </c>
      <c r="S421" s="1">
        <v>2.5</v>
      </c>
      <c r="T421" s="1" t="str">
        <f t="shared" si="63"/>
        <v>-text 340,131 2.5 90 267.606</v>
      </c>
    </row>
    <row r="422" spans="1:20" x14ac:dyDescent="0.35">
      <c r="A422" s="1">
        <v>70360</v>
      </c>
      <c r="B422" s="7">
        <v>1150773.3</v>
      </c>
      <c r="D422" s="2">
        <v>274.24799999999999</v>
      </c>
      <c r="G422" s="2">
        <v>273.53500000000003</v>
      </c>
      <c r="J422" s="2">
        <v>267.28899999999999</v>
      </c>
      <c r="K422" s="15">
        <v>6.2460000000000004</v>
      </c>
      <c r="N422" s="7">
        <f t="shared" si="61"/>
        <v>360</v>
      </c>
      <c r="O422" s="1">
        <f t="shared" si="62"/>
        <v>131</v>
      </c>
      <c r="P422" s="1" t="str">
        <f t="shared" si="60"/>
        <v>360,131</v>
      </c>
      <c r="Q422" s="6" t="s">
        <v>10</v>
      </c>
      <c r="R422" s="1">
        <v>90</v>
      </c>
      <c r="S422" s="1">
        <v>2.5</v>
      </c>
      <c r="T422" s="1" t="str">
        <f t="shared" si="63"/>
        <v>-text 360,131 2.5 90 267.289</v>
      </c>
    </row>
    <row r="423" spans="1:20" x14ac:dyDescent="0.35">
      <c r="A423" s="1">
        <v>70380</v>
      </c>
      <c r="B423" s="7">
        <v>1150793.3</v>
      </c>
      <c r="D423" s="2">
        <v>274.19200000000001</v>
      </c>
      <c r="G423" s="2">
        <v>273.47899999999998</v>
      </c>
      <c r="J423" s="2">
        <v>267.25900000000001</v>
      </c>
      <c r="K423" s="15">
        <v>6.22</v>
      </c>
      <c r="N423" s="7">
        <f t="shared" si="61"/>
        <v>380</v>
      </c>
      <c r="O423" s="1">
        <f t="shared" si="62"/>
        <v>131</v>
      </c>
      <c r="P423" s="1" t="str">
        <f t="shared" si="60"/>
        <v>380,131</v>
      </c>
      <c r="Q423" s="6" t="s">
        <v>10</v>
      </c>
      <c r="R423" s="1">
        <v>90</v>
      </c>
      <c r="S423" s="1">
        <v>2.5</v>
      </c>
      <c r="T423" s="1" t="str">
        <f t="shared" si="63"/>
        <v>-text 380,131 2.5 90 267.259</v>
      </c>
    </row>
    <row r="424" spans="1:20" x14ac:dyDescent="0.35">
      <c r="A424" s="1">
        <v>70400</v>
      </c>
      <c r="B424" s="7">
        <v>1150813.3</v>
      </c>
      <c r="D424" s="2">
        <v>274.13499999999999</v>
      </c>
      <c r="G424" s="2">
        <v>273.42200000000003</v>
      </c>
      <c r="J424" s="2">
        <v>267.27100000000002</v>
      </c>
      <c r="K424" s="15">
        <v>6.1520000000000001</v>
      </c>
      <c r="N424" s="7">
        <f t="shared" si="61"/>
        <v>400</v>
      </c>
      <c r="O424" s="1">
        <f t="shared" si="62"/>
        <v>131</v>
      </c>
      <c r="P424" s="1" t="str">
        <f t="shared" si="60"/>
        <v>400,131</v>
      </c>
      <c r="Q424" s="6" t="s">
        <v>10</v>
      </c>
      <c r="R424" s="1">
        <v>90</v>
      </c>
      <c r="S424" s="1">
        <v>2.5</v>
      </c>
      <c r="T424" s="1" t="str">
        <f t="shared" si="63"/>
        <v>-text 400,131 2.5 90 267.271</v>
      </c>
    </row>
    <row r="425" spans="1:20" x14ac:dyDescent="0.35">
      <c r="A425" s="1">
        <v>70420</v>
      </c>
      <c r="B425" s="7">
        <v>1150833.3</v>
      </c>
      <c r="D425" s="2">
        <v>274.07900000000001</v>
      </c>
      <c r="G425" s="2">
        <v>273.36599999999999</v>
      </c>
      <c r="J425" s="2">
        <v>267.26</v>
      </c>
      <c r="K425" s="15">
        <v>6.1059999999999999</v>
      </c>
      <c r="N425" s="7">
        <f t="shared" si="61"/>
        <v>420</v>
      </c>
      <c r="O425" s="1">
        <f t="shared" si="62"/>
        <v>131</v>
      </c>
      <c r="P425" s="1" t="str">
        <f t="shared" si="60"/>
        <v>420,131</v>
      </c>
      <c r="Q425" s="6" t="s">
        <v>10</v>
      </c>
      <c r="R425" s="1">
        <v>90</v>
      </c>
      <c r="S425" s="1">
        <v>2.5</v>
      </c>
      <c r="T425" s="1" t="str">
        <f t="shared" si="63"/>
        <v>-text 420,131 2.5 90 267.26</v>
      </c>
    </row>
    <row r="426" spans="1:20" x14ac:dyDescent="0.35">
      <c r="A426" s="1">
        <v>70440</v>
      </c>
      <c r="B426" s="7">
        <v>1150853.3</v>
      </c>
      <c r="D426" s="2">
        <v>274.02300000000002</v>
      </c>
      <c r="G426" s="2">
        <v>273.31</v>
      </c>
      <c r="J426" s="2">
        <v>267.154</v>
      </c>
      <c r="K426" s="15">
        <v>6.1559999999999997</v>
      </c>
      <c r="N426" s="7">
        <f t="shared" si="61"/>
        <v>440</v>
      </c>
      <c r="O426" s="1">
        <f t="shared" si="62"/>
        <v>131</v>
      </c>
      <c r="P426" s="1" t="str">
        <f t="shared" si="60"/>
        <v>440,131</v>
      </c>
      <c r="Q426" s="6" t="s">
        <v>10</v>
      </c>
      <c r="R426" s="1">
        <v>90</v>
      </c>
      <c r="S426" s="1">
        <v>2.5</v>
      </c>
      <c r="T426" s="1" t="str">
        <f t="shared" si="63"/>
        <v>-text 440,131 2.5 90 267.154</v>
      </c>
    </row>
    <row r="427" spans="1:20" x14ac:dyDescent="0.35">
      <c r="A427" s="1">
        <v>70460</v>
      </c>
      <c r="B427" s="7">
        <v>1150873.3</v>
      </c>
      <c r="D427" s="2">
        <v>273.96600000000001</v>
      </c>
      <c r="G427" s="2">
        <v>273.25299999999999</v>
      </c>
      <c r="J427" s="2">
        <v>267.12400000000002</v>
      </c>
      <c r="K427" s="15">
        <v>6.1289999999999996</v>
      </c>
      <c r="N427" s="7">
        <f t="shared" si="61"/>
        <v>460</v>
      </c>
      <c r="O427" s="1">
        <f t="shared" si="62"/>
        <v>131</v>
      </c>
      <c r="P427" s="1" t="str">
        <f t="shared" si="60"/>
        <v>460,131</v>
      </c>
      <c r="Q427" s="6" t="s">
        <v>10</v>
      </c>
      <c r="R427" s="1">
        <v>90</v>
      </c>
      <c r="S427" s="1">
        <v>2.5</v>
      </c>
      <c r="T427" s="1" t="str">
        <f t="shared" si="63"/>
        <v>-text 460,131 2.5 90 267.124</v>
      </c>
    </row>
    <row r="428" spans="1:20" x14ac:dyDescent="0.35">
      <c r="A428" s="1">
        <v>70480</v>
      </c>
      <c r="B428" s="7">
        <v>1150893.3</v>
      </c>
      <c r="D428" s="2">
        <v>273.91000000000003</v>
      </c>
      <c r="G428" s="2">
        <v>273.197</v>
      </c>
      <c r="J428" s="2">
        <v>267.12099999999998</v>
      </c>
      <c r="K428" s="15">
        <v>6.0759999999999996</v>
      </c>
      <c r="N428" s="7">
        <f t="shared" si="61"/>
        <v>480</v>
      </c>
      <c r="O428" s="1">
        <f t="shared" si="62"/>
        <v>131</v>
      </c>
      <c r="P428" s="1" t="str">
        <f t="shared" si="60"/>
        <v>480,131</v>
      </c>
      <c r="Q428" s="6" t="s">
        <v>10</v>
      </c>
      <c r="R428" s="1">
        <v>90</v>
      </c>
      <c r="S428" s="1">
        <v>2.5</v>
      </c>
      <c r="T428" s="1" t="str">
        <f t="shared" si="63"/>
        <v>-text 480,131 2.5 90 267.121</v>
      </c>
    </row>
    <row r="429" spans="1:20" x14ac:dyDescent="0.35">
      <c r="A429" s="1">
        <v>70500</v>
      </c>
      <c r="B429" s="7">
        <v>1150913.3</v>
      </c>
      <c r="D429" s="2">
        <v>273.85399999999998</v>
      </c>
      <c r="G429" s="2">
        <v>273.14100000000002</v>
      </c>
      <c r="J429" s="2">
        <v>267.16699999999997</v>
      </c>
      <c r="K429" s="15">
        <v>5.9740000000000002</v>
      </c>
      <c r="N429" s="7">
        <f t="shared" si="61"/>
        <v>500</v>
      </c>
      <c r="O429" s="1">
        <f t="shared" si="62"/>
        <v>131</v>
      </c>
      <c r="P429" s="1" t="str">
        <f t="shared" si="60"/>
        <v>500,131</v>
      </c>
      <c r="Q429" s="6" t="s">
        <v>10</v>
      </c>
      <c r="R429" s="1">
        <v>90</v>
      </c>
      <c r="S429" s="1">
        <v>2.5</v>
      </c>
      <c r="T429" s="1" t="str">
        <f t="shared" si="63"/>
        <v>-text 500,131 2.5 90 267.167</v>
      </c>
    </row>
    <row r="430" spans="1:20" s="10" customFormat="1" x14ac:dyDescent="0.35">
      <c r="B430" s="11"/>
      <c r="C430" s="9"/>
      <c r="D430" s="9"/>
      <c r="E430" s="9"/>
      <c r="F430" s="9"/>
      <c r="G430" s="9"/>
      <c r="H430" s="9"/>
      <c r="I430" s="9"/>
      <c r="J430" s="9"/>
      <c r="K430" s="16"/>
      <c r="L430" s="9"/>
      <c r="M430" s="9"/>
    </row>
    <row r="431" spans="1:20" x14ac:dyDescent="0.35">
      <c r="A431" s="1">
        <v>70500</v>
      </c>
      <c r="B431" s="7">
        <v>1150913.3</v>
      </c>
      <c r="D431" s="2">
        <v>273.85399999999998</v>
      </c>
      <c r="G431" s="2">
        <v>273.14100000000002</v>
      </c>
      <c r="J431" s="2">
        <v>267.16699999999997</v>
      </c>
      <c r="K431" s="15">
        <v>5.9740000000000002</v>
      </c>
      <c r="N431" s="7">
        <v>0</v>
      </c>
      <c r="O431" s="1">
        <f t="shared" si="62"/>
        <v>131</v>
      </c>
      <c r="P431" s="1" t="str">
        <f t="shared" ref="P431:P432" si="64">CONCATENATE(N431,",",O431)</f>
        <v>0,131</v>
      </c>
      <c r="Q431" s="6" t="s">
        <v>10</v>
      </c>
      <c r="R431" s="1">
        <v>90</v>
      </c>
      <c r="S431" s="1">
        <v>2.5</v>
      </c>
      <c r="T431" s="1" t="str">
        <f t="shared" si="63"/>
        <v>-text 0,131 2.5 90 267.167</v>
      </c>
    </row>
    <row r="432" spans="1:20" x14ac:dyDescent="0.35">
      <c r="A432" s="1">
        <v>70520</v>
      </c>
      <c r="B432" s="7">
        <v>1150933.3</v>
      </c>
      <c r="D432" s="2">
        <v>273.79700000000003</v>
      </c>
      <c r="G432" s="2">
        <v>273.084</v>
      </c>
      <c r="J432" s="2">
        <v>266.81700000000001</v>
      </c>
      <c r="K432" s="15">
        <v>6.2679999999999998</v>
      </c>
      <c r="N432" s="7">
        <f t="shared" ref="N432:N456" si="65">N431+(B432-B431)</f>
        <v>20</v>
      </c>
      <c r="O432" s="1">
        <f t="shared" si="62"/>
        <v>131</v>
      </c>
      <c r="P432" s="1" t="str">
        <f t="shared" si="64"/>
        <v>20,131</v>
      </c>
      <c r="Q432" s="6" t="s">
        <v>10</v>
      </c>
      <c r="R432" s="1">
        <v>90</v>
      </c>
      <c r="S432" s="1">
        <v>2.5</v>
      </c>
      <c r="T432" s="1" t="str">
        <f t="shared" si="63"/>
        <v>-text 20,131 2.5 90 266.817</v>
      </c>
    </row>
    <row r="433" spans="1:20" x14ac:dyDescent="0.35">
      <c r="A433" s="1">
        <v>70540</v>
      </c>
      <c r="B433" s="7">
        <v>1150953.3</v>
      </c>
      <c r="D433" s="2">
        <v>273.74099999999999</v>
      </c>
      <c r="G433" s="2">
        <v>273.02800000000002</v>
      </c>
      <c r="J433" s="2">
        <v>266.815</v>
      </c>
      <c r="K433" s="15">
        <v>6.2130000000000001</v>
      </c>
      <c r="N433" s="7">
        <f t="shared" si="65"/>
        <v>40</v>
      </c>
      <c r="O433" s="1">
        <f t="shared" si="62"/>
        <v>131</v>
      </c>
      <c r="P433" s="1" t="str">
        <f t="shared" ref="P433:P456" si="66">CONCATENATE(N433,",",O433)</f>
        <v>40,131</v>
      </c>
      <c r="Q433" s="6" t="s">
        <v>10</v>
      </c>
      <c r="R433" s="1">
        <v>90</v>
      </c>
      <c r="S433" s="1">
        <v>2.5</v>
      </c>
      <c r="T433" s="1" t="str">
        <f t="shared" si="63"/>
        <v>-text 40,131 2.5 90 266.815</v>
      </c>
    </row>
    <row r="434" spans="1:20" x14ac:dyDescent="0.35">
      <c r="A434" s="1">
        <v>70560</v>
      </c>
      <c r="B434" s="7">
        <v>1150973.3</v>
      </c>
      <c r="D434" s="2">
        <v>273.685</v>
      </c>
      <c r="G434" s="2">
        <v>272.97199999999998</v>
      </c>
      <c r="J434" s="2">
        <v>266.91000000000003</v>
      </c>
      <c r="K434" s="15">
        <v>6.0620000000000003</v>
      </c>
      <c r="N434" s="7">
        <f t="shared" si="65"/>
        <v>60</v>
      </c>
      <c r="O434" s="1">
        <f t="shared" si="62"/>
        <v>131</v>
      </c>
      <c r="P434" s="1" t="str">
        <f t="shared" si="66"/>
        <v>60,131</v>
      </c>
      <c r="Q434" s="6" t="s">
        <v>10</v>
      </c>
      <c r="R434" s="1">
        <v>90</v>
      </c>
      <c r="S434" s="1">
        <v>2.5</v>
      </c>
      <c r="T434" s="1" t="str">
        <f t="shared" si="63"/>
        <v>-text 60,131 2.5 90 266.91</v>
      </c>
    </row>
    <row r="435" spans="1:20" x14ac:dyDescent="0.35">
      <c r="A435" s="1">
        <v>70580</v>
      </c>
      <c r="B435" s="7">
        <v>1150993.3</v>
      </c>
      <c r="D435" s="2">
        <v>273.62799999999999</v>
      </c>
      <c r="G435" s="2">
        <v>272.91500000000002</v>
      </c>
      <c r="J435" s="2">
        <v>266.90800000000002</v>
      </c>
      <c r="K435" s="15">
        <v>6.008</v>
      </c>
      <c r="N435" s="7">
        <f t="shared" si="65"/>
        <v>80</v>
      </c>
      <c r="O435" s="1">
        <f t="shared" si="62"/>
        <v>131</v>
      </c>
      <c r="P435" s="1" t="str">
        <f t="shared" si="66"/>
        <v>80,131</v>
      </c>
      <c r="Q435" s="6" t="s">
        <v>10</v>
      </c>
      <c r="R435" s="1">
        <v>90</v>
      </c>
      <c r="S435" s="1">
        <v>2.5</v>
      </c>
      <c r="T435" s="1" t="str">
        <f t="shared" si="63"/>
        <v>-text 80,131 2.5 90 266.908</v>
      </c>
    </row>
    <row r="436" spans="1:20" x14ac:dyDescent="0.35">
      <c r="A436" s="1">
        <v>70600</v>
      </c>
      <c r="B436" s="7">
        <v>1151013.3</v>
      </c>
      <c r="D436" s="2">
        <v>273.572</v>
      </c>
      <c r="G436" s="2">
        <v>272.85899999999998</v>
      </c>
      <c r="J436" s="2">
        <v>266.92500000000001</v>
      </c>
      <c r="K436" s="15">
        <v>5.9340000000000002</v>
      </c>
      <c r="N436" s="7">
        <f t="shared" si="65"/>
        <v>100</v>
      </c>
      <c r="O436" s="1">
        <f t="shared" si="62"/>
        <v>131</v>
      </c>
      <c r="P436" s="1" t="str">
        <f t="shared" si="66"/>
        <v>100,131</v>
      </c>
      <c r="Q436" s="6" t="s">
        <v>10</v>
      </c>
      <c r="R436" s="1">
        <v>90</v>
      </c>
      <c r="S436" s="1">
        <v>2.5</v>
      </c>
      <c r="T436" s="1" t="str">
        <f t="shared" si="63"/>
        <v>-text 100,131 2.5 90 266.925</v>
      </c>
    </row>
    <row r="437" spans="1:20" x14ac:dyDescent="0.35">
      <c r="A437" s="1">
        <v>70620</v>
      </c>
      <c r="B437" s="7">
        <v>1151033.3</v>
      </c>
      <c r="D437" s="2">
        <v>273.51600000000002</v>
      </c>
      <c r="G437" s="2">
        <v>272.803</v>
      </c>
      <c r="J437" s="2">
        <v>266.97800000000001</v>
      </c>
      <c r="K437" s="15">
        <v>5.8250000000000002</v>
      </c>
      <c r="N437" s="7">
        <f t="shared" si="65"/>
        <v>120</v>
      </c>
      <c r="O437" s="1">
        <f t="shared" si="62"/>
        <v>131</v>
      </c>
      <c r="P437" s="1" t="str">
        <f t="shared" si="66"/>
        <v>120,131</v>
      </c>
      <c r="Q437" s="6" t="s">
        <v>10</v>
      </c>
      <c r="R437" s="1">
        <v>90</v>
      </c>
      <c r="S437" s="1">
        <v>2.5</v>
      </c>
      <c r="T437" s="1" t="str">
        <f t="shared" si="63"/>
        <v>-text 120,131 2.5 90 266.978</v>
      </c>
    </row>
    <row r="438" spans="1:20" x14ac:dyDescent="0.35">
      <c r="A438" s="1">
        <v>70640</v>
      </c>
      <c r="B438" s="7">
        <v>1151053.3</v>
      </c>
      <c r="D438" s="2">
        <v>273.459</v>
      </c>
      <c r="G438" s="2">
        <v>272.74599999999998</v>
      </c>
      <c r="J438" s="2">
        <v>266.92599999999999</v>
      </c>
      <c r="K438" s="15">
        <v>5.8209999999999997</v>
      </c>
      <c r="N438" s="7">
        <f t="shared" si="65"/>
        <v>140</v>
      </c>
      <c r="O438" s="1">
        <f t="shared" si="62"/>
        <v>131</v>
      </c>
      <c r="P438" s="1" t="str">
        <f t="shared" si="66"/>
        <v>140,131</v>
      </c>
      <c r="Q438" s="6" t="s">
        <v>10</v>
      </c>
      <c r="R438" s="1">
        <v>90</v>
      </c>
      <c r="S438" s="1">
        <v>2.5</v>
      </c>
      <c r="T438" s="1" t="str">
        <f t="shared" si="63"/>
        <v>-text 140,131 2.5 90 266.926</v>
      </c>
    </row>
    <row r="439" spans="1:20" x14ac:dyDescent="0.35">
      <c r="A439" s="1">
        <v>70660</v>
      </c>
      <c r="B439" s="7">
        <v>1151073.3</v>
      </c>
      <c r="D439" s="2">
        <v>273.40300000000002</v>
      </c>
      <c r="G439" s="2">
        <v>272.69</v>
      </c>
      <c r="J439" s="2">
        <v>266.86900000000003</v>
      </c>
      <c r="K439" s="15">
        <v>5.8209999999999997</v>
      </c>
      <c r="N439" s="7">
        <f t="shared" si="65"/>
        <v>160</v>
      </c>
      <c r="O439" s="1">
        <f t="shared" si="62"/>
        <v>131</v>
      </c>
      <c r="P439" s="1" t="str">
        <f t="shared" si="66"/>
        <v>160,131</v>
      </c>
      <c r="Q439" s="6" t="s">
        <v>10</v>
      </c>
      <c r="R439" s="1">
        <v>90</v>
      </c>
      <c r="S439" s="1">
        <v>2.5</v>
      </c>
      <c r="T439" s="1" t="str">
        <f t="shared" si="63"/>
        <v>-text 160,131 2.5 90 266.869</v>
      </c>
    </row>
    <row r="440" spans="1:20" x14ac:dyDescent="0.35">
      <c r="A440" s="1">
        <v>70680</v>
      </c>
      <c r="B440" s="7">
        <v>1151093.3</v>
      </c>
      <c r="D440" s="2">
        <v>273.34699999999998</v>
      </c>
      <c r="G440" s="2">
        <v>272.63400000000001</v>
      </c>
      <c r="J440" s="2">
        <v>266.93400000000003</v>
      </c>
      <c r="K440" s="15">
        <v>5.7</v>
      </c>
      <c r="N440" s="7">
        <f t="shared" si="65"/>
        <v>180</v>
      </c>
      <c r="O440" s="1">
        <f t="shared" si="62"/>
        <v>131</v>
      </c>
      <c r="P440" s="1" t="str">
        <f t="shared" si="66"/>
        <v>180,131</v>
      </c>
      <c r="Q440" s="6" t="s">
        <v>10</v>
      </c>
      <c r="R440" s="1">
        <v>90</v>
      </c>
      <c r="S440" s="1">
        <v>2.5</v>
      </c>
      <c r="T440" s="1" t="str">
        <f t="shared" si="63"/>
        <v>-text 180,131 2.5 90 266.934</v>
      </c>
    </row>
    <row r="441" spans="1:20" x14ac:dyDescent="0.35">
      <c r="A441" s="1">
        <v>70700</v>
      </c>
      <c r="B441" s="7">
        <v>1151113.3</v>
      </c>
      <c r="D441" s="2">
        <v>273.29000000000002</v>
      </c>
      <c r="G441" s="2">
        <v>272.577</v>
      </c>
      <c r="J441" s="2">
        <v>266.94499999999999</v>
      </c>
      <c r="K441" s="15">
        <v>5.6319999999999997</v>
      </c>
      <c r="N441" s="7">
        <f t="shared" si="65"/>
        <v>200</v>
      </c>
      <c r="O441" s="1">
        <f t="shared" si="62"/>
        <v>131</v>
      </c>
      <c r="P441" s="1" t="str">
        <f t="shared" si="66"/>
        <v>200,131</v>
      </c>
      <c r="Q441" s="6" t="s">
        <v>10</v>
      </c>
      <c r="R441" s="1">
        <v>90</v>
      </c>
      <c r="S441" s="1">
        <v>2.5</v>
      </c>
      <c r="T441" s="1" t="str">
        <f t="shared" si="63"/>
        <v>-text 200,131 2.5 90 266.945</v>
      </c>
    </row>
    <row r="442" spans="1:20" x14ac:dyDescent="0.35">
      <c r="A442" s="1">
        <v>70720</v>
      </c>
      <c r="B442" s="7">
        <v>1151133.3</v>
      </c>
      <c r="D442" s="2">
        <v>273.23399999999998</v>
      </c>
      <c r="G442" s="2">
        <v>272.52100000000002</v>
      </c>
      <c r="J442" s="2">
        <v>266.86799999999999</v>
      </c>
      <c r="K442" s="15">
        <v>5.6529999999999996</v>
      </c>
      <c r="N442" s="7">
        <f t="shared" si="65"/>
        <v>220</v>
      </c>
      <c r="O442" s="1">
        <f t="shared" si="62"/>
        <v>131</v>
      </c>
      <c r="P442" s="1" t="str">
        <f t="shared" si="66"/>
        <v>220,131</v>
      </c>
      <c r="Q442" s="6" t="s">
        <v>10</v>
      </c>
      <c r="R442" s="1">
        <v>90</v>
      </c>
      <c r="S442" s="1">
        <v>2.5</v>
      </c>
      <c r="T442" s="1" t="str">
        <f t="shared" si="63"/>
        <v>-text 220,131 2.5 90 266.868</v>
      </c>
    </row>
    <row r="443" spans="1:20" x14ac:dyDescent="0.35">
      <c r="A443" s="1">
        <v>70740</v>
      </c>
      <c r="B443" s="7">
        <v>1151153.3</v>
      </c>
      <c r="D443" s="2">
        <v>273.17399999999998</v>
      </c>
      <c r="G443" s="2">
        <v>272.46100000000001</v>
      </c>
      <c r="J443" s="2">
        <v>266.90699999999998</v>
      </c>
      <c r="K443" s="15">
        <v>5.5540000000000003</v>
      </c>
      <c r="N443" s="7">
        <f t="shared" si="65"/>
        <v>240</v>
      </c>
      <c r="O443" s="1">
        <f t="shared" si="62"/>
        <v>131</v>
      </c>
      <c r="P443" s="1" t="str">
        <f t="shared" si="66"/>
        <v>240,131</v>
      </c>
      <c r="Q443" s="6" t="s">
        <v>10</v>
      </c>
      <c r="R443" s="1">
        <v>90</v>
      </c>
      <c r="S443" s="1">
        <v>2.5</v>
      </c>
      <c r="T443" s="1" t="str">
        <f t="shared" si="63"/>
        <v>-text 240,131 2.5 90 266.907</v>
      </c>
    </row>
    <row r="444" spans="1:20" x14ac:dyDescent="0.35">
      <c r="A444" s="1">
        <v>70760</v>
      </c>
      <c r="B444" s="7">
        <v>1151173.3</v>
      </c>
      <c r="D444" s="2">
        <v>273.09399999999999</v>
      </c>
      <c r="G444" s="2">
        <v>272.38099999999997</v>
      </c>
      <c r="J444" s="2">
        <v>266.97699999999998</v>
      </c>
      <c r="K444" s="15">
        <v>5.4039999999999999</v>
      </c>
      <c r="N444" s="7">
        <f t="shared" si="65"/>
        <v>260</v>
      </c>
      <c r="O444" s="1">
        <f t="shared" si="62"/>
        <v>131</v>
      </c>
      <c r="P444" s="1" t="str">
        <f t="shared" si="66"/>
        <v>260,131</v>
      </c>
      <c r="Q444" s="6" t="s">
        <v>10</v>
      </c>
      <c r="R444" s="1">
        <v>90</v>
      </c>
      <c r="S444" s="1">
        <v>2.5</v>
      </c>
      <c r="T444" s="1" t="str">
        <f t="shared" si="63"/>
        <v>-text 260,131 2.5 90 266.977</v>
      </c>
    </row>
    <row r="445" spans="1:20" x14ac:dyDescent="0.35">
      <c r="A445" s="1">
        <v>70780</v>
      </c>
      <c r="B445" s="7">
        <v>1151193.3</v>
      </c>
      <c r="D445" s="2">
        <v>273.01400000000001</v>
      </c>
      <c r="G445" s="2">
        <v>272.30099999999999</v>
      </c>
      <c r="J445" s="2">
        <v>267.18200000000002</v>
      </c>
      <c r="K445" s="15">
        <v>5.1189999999999998</v>
      </c>
      <c r="N445" s="7">
        <f t="shared" si="65"/>
        <v>280</v>
      </c>
      <c r="O445" s="1">
        <f t="shared" si="62"/>
        <v>131</v>
      </c>
      <c r="P445" s="1" t="str">
        <f t="shared" si="66"/>
        <v>280,131</v>
      </c>
      <c r="Q445" s="6" t="s">
        <v>10</v>
      </c>
      <c r="R445" s="1">
        <v>90</v>
      </c>
      <c r="S445" s="1">
        <v>2.5</v>
      </c>
      <c r="T445" s="1" t="str">
        <f t="shared" si="63"/>
        <v>-text 280,131 2.5 90 267.182</v>
      </c>
    </row>
    <row r="446" spans="1:20" x14ac:dyDescent="0.35">
      <c r="A446" s="1">
        <v>70800</v>
      </c>
      <c r="B446" s="7">
        <v>1151213.3</v>
      </c>
      <c r="D446" s="2">
        <v>272.93400000000003</v>
      </c>
      <c r="G446" s="2">
        <v>272.221</v>
      </c>
      <c r="J446" s="2">
        <v>267.25900000000001</v>
      </c>
      <c r="K446" s="15">
        <v>4.9619999999999997</v>
      </c>
      <c r="N446" s="7">
        <f t="shared" si="65"/>
        <v>300</v>
      </c>
      <c r="O446" s="1">
        <f t="shared" si="62"/>
        <v>131</v>
      </c>
      <c r="P446" s="1" t="str">
        <f t="shared" si="66"/>
        <v>300,131</v>
      </c>
      <c r="Q446" s="6" t="s">
        <v>10</v>
      </c>
      <c r="R446" s="1">
        <v>90</v>
      </c>
      <c r="S446" s="1">
        <v>2.5</v>
      </c>
      <c r="T446" s="1" t="str">
        <f t="shared" si="63"/>
        <v>-text 300,131 2.5 90 267.259</v>
      </c>
    </row>
    <row r="447" spans="1:20" x14ac:dyDescent="0.35">
      <c r="A447" s="1">
        <v>70820</v>
      </c>
      <c r="B447" s="7">
        <v>1151233.3</v>
      </c>
      <c r="D447" s="2">
        <v>272.85399999999998</v>
      </c>
      <c r="G447" s="2">
        <v>272.14100000000002</v>
      </c>
      <c r="J447" s="2">
        <v>267.45600000000002</v>
      </c>
      <c r="K447" s="15">
        <v>4.6849999999999996</v>
      </c>
      <c r="N447" s="7">
        <f t="shared" si="65"/>
        <v>320</v>
      </c>
      <c r="O447" s="1">
        <f t="shared" si="62"/>
        <v>131</v>
      </c>
      <c r="P447" s="1" t="str">
        <f t="shared" si="66"/>
        <v>320,131</v>
      </c>
      <c r="Q447" s="6" t="s">
        <v>10</v>
      </c>
      <c r="R447" s="1">
        <v>90</v>
      </c>
      <c r="S447" s="1">
        <v>2.5</v>
      </c>
      <c r="T447" s="1" t="str">
        <f t="shared" si="63"/>
        <v>-text 320,131 2.5 90 267.456</v>
      </c>
    </row>
    <row r="448" spans="1:20" x14ac:dyDescent="0.35">
      <c r="A448" s="1">
        <v>70840</v>
      </c>
      <c r="B448" s="7">
        <v>1151253.3</v>
      </c>
      <c r="D448" s="2">
        <v>272.774</v>
      </c>
      <c r="G448" s="2">
        <v>272.06099999999998</v>
      </c>
      <c r="J448" s="2">
        <v>267.05399999999997</v>
      </c>
      <c r="K448" s="15">
        <v>5.0069999999999997</v>
      </c>
      <c r="N448" s="7">
        <f t="shared" si="65"/>
        <v>340</v>
      </c>
      <c r="O448" s="1">
        <f t="shared" si="62"/>
        <v>131</v>
      </c>
      <c r="P448" s="1" t="str">
        <f t="shared" si="66"/>
        <v>340,131</v>
      </c>
      <c r="Q448" s="6" t="s">
        <v>10</v>
      </c>
      <c r="R448" s="1">
        <v>90</v>
      </c>
      <c r="S448" s="1">
        <v>2.5</v>
      </c>
      <c r="T448" s="1" t="str">
        <f t="shared" si="63"/>
        <v>-text 340,131 2.5 90 267.054</v>
      </c>
    </row>
    <row r="449" spans="1:20" x14ac:dyDescent="0.35">
      <c r="A449" s="1">
        <v>70860</v>
      </c>
      <c r="B449" s="7">
        <v>1151273.3</v>
      </c>
      <c r="D449" s="2">
        <v>272.69400000000002</v>
      </c>
      <c r="G449" s="2">
        <v>271.98099999999999</v>
      </c>
      <c r="J449" s="2">
        <v>267.49400000000003</v>
      </c>
      <c r="K449" s="15">
        <v>4.4870000000000001</v>
      </c>
      <c r="N449" s="7">
        <f t="shared" si="65"/>
        <v>360</v>
      </c>
      <c r="O449" s="1">
        <f t="shared" si="62"/>
        <v>131</v>
      </c>
      <c r="P449" s="1" t="str">
        <f t="shared" si="66"/>
        <v>360,131</v>
      </c>
      <c r="Q449" s="6" t="s">
        <v>10</v>
      </c>
      <c r="R449" s="1">
        <v>90</v>
      </c>
      <c r="S449" s="1">
        <v>2.5</v>
      </c>
      <c r="T449" s="1" t="str">
        <f t="shared" si="63"/>
        <v>-text 360,131 2.5 90 267.494</v>
      </c>
    </row>
    <row r="450" spans="1:20" x14ac:dyDescent="0.35">
      <c r="A450" s="1">
        <v>70880</v>
      </c>
      <c r="B450" s="7">
        <v>1151293.3</v>
      </c>
      <c r="D450" s="2">
        <v>272.61399999999998</v>
      </c>
      <c r="G450" s="2">
        <v>271.90100000000001</v>
      </c>
      <c r="J450" s="2">
        <v>267.12299999999999</v>
      </c>
      <c r="K450" s="15">
        <v>4.7779999999999996</v>
      </c>
      <c r="N450" s="7">
        <f t="shared" si="65"/>
        <v>380</v>
      </c>
      <c r="O450" s="1">
        <f t="shared" si="62"/>
        <v>131</v>
      </c>
      <c r="P450" s="1" t="str">
        <f t="shared" si="66"/>
        <v>380,131</v>
      </c>
      <c r="Q450" s="6" t="s">
        <v>10</v>
      </c>
      <c r="R450" s="1">
        <v>90</v>
      </c>
      <c r="S450" s="1">
        <v>2.5</v>
      </c>
      <c r="T450" s="1" t="str">
        <f t="shared" si="63"/>
        <v>-text 380,131 2.5 90 267.123</v>
      </c>
    </row>
    <row r="451" spans="1:20" x14ac:dyDescent="0.35">
      <c r="A451" s="1">
        <v>70900</v>
      </c>
      <c r="B451" s="7">
        <v>1151313.3</v>
      </c>
      <c r="D451" s="2">
        <v>272.53399999999999</v>
      </c>
      <c r="G451" s="2">
        <v>271.82100000000003</v>
      </c>
      <c r="J451" s="2">
        <v>266.68799999999999</v>
      </c>
      <c r="K451" s="15">
        <v>5.133</v>
      </c>
      <c r="N451" s="7">
        <f t="shared" si="65"/>
        <v>400</v>
      </c>
      <c r="O451" s="1">
        <f t="shared" si="62"/>
        <v>131</v>
      </c>
      <c r="P451" s="1" t="str">
        <f t="shared" si="66"/>
        <v>400,131</v>
      </c>
      <c r="Q451" s="6" t="s">
        <v>10</v>
      </c>
      <c r="R451" s="1">
        <v>90</v>
      </c>
      <c r="S451" s="1">
        <v>2.5</v>
      </c>
      <c r="T451" s="1" t="str">
        <f t="shared" si="63"/>
        <v>-text 400,131 2.5 90 266.688</v>
      </c>
    </row>
    <row r="452" spans="1:20" x14ac:dyDescent="0.35">
      <c r="A452" s="1">
        <v>70920</v>
      </c>
      <c r="B452" s="7">
        <v>1151333.3</v>
      </c>
      <c r="D452" s="2">
        <v>272.45400000000001</v>
      </c>
      <c r="G452" s="2">
        <v>271.74099999999999</v>
      </c>
      <c r="J452" s="2">
        <v>266.45499999999998</v>
      </c>
      <c r="K452" s="15">
        <v>5.2859999999999996</v>
      </c>
      <c r="N452" s="7">
        <f t="shared" si="65"/>
        <v>420</v>
      </c>
      <c r="O452" s="1">
        <f t="shared" si="62"/>
        <v>131</v>
      </c>
      <c r="P452" s="1" t="str">
        <f t="shared" si="66"/>
        <v>420,131</v>
      </c>
      <c r="Q452" s="6" t="s">
        <v>10</v>
      </c>
      <c r="R452" s="1">
        <v>90</v>
      </c>
      <c r="S452" s="1">
        <v>2.5</v>
      </c>
      <c r="T452" s="1" t="str">
        <f t="shared" si="63"/>
        <v>-text 420,131 2.5 90 266.455</v>
      </c>
    </row>
    <row r="453" spans="1:20" x14ac:dyDescent="0.35">
      <c r="A453" s="1">
        <v>70940</v>
      </c>
      <c r="B453" s="7">
        <v>1151353.3</v>
      </c>
      <c r="D453" s="2">
        <v>272.37400000000002</v>
      </c>
      <c r="G453" s="2">
        <v>271.661</v>
      </c>
      <c r="J453" s="2">
        <v>267.34100000000001</v>
      </c>
      <c r="K453" s="15">
        <v>4.32</v>
      </c>
      <c r="N453" s="7">
        <f t="shared" si="65"/>
        <v>440</v>
      </c>
      <c r="O453" s="1">
        <f t="shared" si="62"/>
        <v>131</v>
      </c>
      <c r="P453" s="1" t="str">
        <f t="shared" si="66"/>
        <v>440,131</v>
      </c>
      <c r="Q453" s="6" t="s">
        <v>10</v>
      </c>
      <c r="R453" s="1">
        <v>90</v>
      </c>
      <c r="S453" s="1">
        <v>2.5</v>
      </c>
      <c r="T453" s="1" t="str">
        <f t="shared" si="63"/>
        <v>-text 440,131 2.5 90 267.341</v>
      </c>
    </row>
    <row r="454" spans="1:20" x14ac:dyDescent="0.35">
      <c r="A454" s="1">
        <v>70960</v>
      </c>
      <c r="B454" s="7">
        <v>1151373.3</v>
      </c>
      <c r="D454" s="2">
        <v>272.29399999999998</v>
      </c>
      <c r="G454" s="2">
        <v>271.58100000000002</v>
      </c>
      <c r="J454" s="2">
        <v>267.07799999999997</v>
      </c>
      <c r="K454" s="15">
        <v>4.5030000000000001</v>
      </c>
      <c r="N454" s="7">
        <f t="shared" si="65"/>
        <v>460</v>
      </c>
      <c r="O454" s="1">
        <f t="shared" si="62"/>
        <v>131</v>
      </c>
      <c r="P454" s="1" t="str">
        <f t="shared" si="66"/>
        <v>460,131</v>
      </c>
      <c r="Q454" s="6" t="s">
        <v>10</v>
      </c>
      <c r="R454" s="1">
        <v>90</v>
      </c>
      <c r="S454" s="1">
        <v>2.5</v>
      </c>
      <c r="T454" s="1" t="str">
        <f t="shared" si="63"/>
        <v>-text 460,131 2.5 90 267.078</v>
      </c>
    </row>
    <row r="455" spans="1:20" x14ac:dyDescent="0.35">
      <c r="A455" s="1">
        <v>70980</v>
      </c>
      <c r="B455" s="7">
        <v>1151393.3</v>
      </c>
      <c r="D455" s="2">
        <v>272.214</v>
      </c>
      <c r="G455" s="2">
        <v>271.50099999999998</v>
      </c>
      <c r="J455" s="2">
        <v>264.209</v>
      </c>
      <c r="K455" s="15">
        <v>7.2919999999999998</v>
      </c>
      <c r="N455" s="7">
        <f t="shared" si="65"/>
        <v>480</v>
      </c>
      <c r="O455" s="1">
        <f t="shared" si="62"/>
        <v>131</v>
      </c>
      <c r="P455" s="1" t="str">
        <f t="shared" si="66"/>
        <v>480,131</v>
      </c>
      <c r="Q455" s="6" t="s">
        <v>10</v>
      </c>
      <c r="R455" s="1">
        <v>90</v>
      </c>
      <c r="S455" s="1">
        <v>2.5</v>
      </c>
      <c r="T455" s="1" t="str">
        <f t="shared" si="63"/>
        <v>-text 480,131 2.5 90 264.209</v>
      </c>
    </row>
    <row r="456" spans="1:20" x14ac:dyDescent="0.35">
      <c r="A456" s="1">
        <v>71000</v>
      </c>
      <c r="B456" s="7">
        <v>1151413.3</v>
      </c>
      <c r="D456" s="2">
        <v>272.13400000000001</v>
      </c>
      <c r="G456" s="2">
        <v>271.42099999999999</v>
      </c>
      <c r="J456" s="2">
        <v>266.99700000000001</v>
      </c>
      <c r="K456" s="15">
        <v>4.4240000000000004</v>
      </c>
      <c r="N456" s="7">
        <f t="shared" si="65"/>
        <v>500</v>
      </c>
      <c r="O456" s="1">
        <f t="shared" si="62"/>
        <v>131</v>
      </c>
      <c r="P456" s="1" t="str">
        <f t="shared" si="66"/>
        <v>500,131</v>
      </c>
      <c r="Q456" s="6" t="s">
        <v>10</v>
      </c>
      <c r="R456" s="1">
        <v>90</v>
      </c>
      <c r="S456" s="1">
        <v>2.5</v>
      </c>
      <c r="T456" s="1" t="str">
        <f t="shared" si="63"/>
        <v>-text 500,131 2.5 90 266.997</v>
      </c>
    </row>
    <row r="457" spans="1:20" s="10" customFormat="1" x14ac:dyDescent="0.35">
      <c r="B457" s="11"/>
      <c r="C457" s="9"/>
      <c r="D457" s="9"/>
      <c r="E457" s="9"/>
      <c r="F457" s="9"/>
      <c r="G457" s="9"/>
      <c r="H457" s="9"/>
      <c r="I457" s="9"/>
      <c r="J457" s="9"/>
      <c r="K457" s="16"/>
      <c r="L457" s="9"/>
      <c r="M457" s="9"/>
    </row>
    <row r="458" spans="1:20" x14ac:dyDescent="0.35">
      <c r="A458" s="1">
        <v>71000</v>
      </c>
      <c r="B458" s="7">
        <v>1151413.3</v>
      </c>
      <c r="D458" s="2">
        <v>272.13400000000001</v>
      </c>
      <c r="G458" s="2">
        <v>271.42099999999999</v>
      </c>
      <c r="J458" s="2">
        <v>266.99700000000001</v>
      </c>
      <c r="K458" s="15">
        <v>4.4240000000000004</v>
      </c>
      <c r="N458" s="7">
        <v>0</v>
      </c>
      <c r="O458" s="1">
        <f t="shared" si="62"/>
        <v>131</v>
      </c>
      <c r="P458" s="1" t="str">
        <f t="shared" ref="P458:P459" si="67">CONCATENATE(N458,",",O458)</f>
        <v>0,131</v>
      </c>
      <c r="Q458" s="6" t="s">
        <v>10</v>
      </c>
      <c r="R458" s="1">
        <v>90</v>
      </c>
      <c r="S458" s="1">
        <v>2.5</v>
      </c>
      <c r="T458" s="1" t="str">
        <f t="shared" si="63"/>
        <v>-text 0,131 2.5 90 266.997</v>
      </c>
    </row>
    <row r="459" spans="1:20" x14ac:dyDescent="0.35">
      <c r="A459" s="1">
        <v>71020</v>
      </c>
      <c r="B459" s="7">
        <v>1151433.3</v>
      </c>
      <c r="D459" s="2">
        <v>272.05399999999997</v>
      </c>
      <c r="G459" s="2">
        <v>271.34100000000001</v>
      </c>
      <c r="J459" s="2">
        <v>267.05599999999998</v>
      </c>
      <c r="K459" s="15">
        <v>4.2850000000000001</v>
      </c>
      <c r="N459" s="7">
        <f t="shared" ref="N459:N483" si="68">N458+(B459-B458)</f>
        <v>20</v>
      </c>
      <c r="O459" s="1">
        <f t="shared" si="62"/>
        <v>131</v>
      </c>
      <c r="P459" s="1" t="str">
        <f t="shared" si="67"/>
        <v>20,131</v>
      </c>
      <c r="Q459" s="6" t="s">
        <v>10</v>
      </c>
      <c r="R459" s="1">
        <v>90</v>
      </c>
      <c r="S459" s="1">
        <v>2.5</v>
      </c>
      <c r="T459" s="1" t="str">
        <f t="shared" si="63"/>
        <v>-text 20,131 2.5 90 267.056</v>
      </c>
    </row>
    <row r="460" spans="1:20" x14ac:dyDescent="0.35">
      <c r="A460" s="1">
        <v>71040</v>
      </c>
      <c r="B460" s="7">
        <v>1151453.3</v>
      </c>
      <c r="D460" s="2">
        <v>271.97399999999999</v>
      </c>
      <c r="G460" s="2">
        <v>271.26100000000002</v>
      </c>
      <c r="J460" s="2">
        <v>267.05200000000002</v>
      </c>
      <c r="K460" s="15">
        <v>4.2089999999999996</v>
      </c>
      <c r="N460" s="7">
        <f t="shared" si="68"/>
        <v>40</v>
      </c>
      <c r="O460" s="1">
        <f t="shared" si="62"/>
        <v>131</v>
      </c>
      <c r="P460" s="1" t="str">
        <f t="shared" ref="P460:P483" si="69">CONCATENATE(N460,",",O460)</f>
        <v>40,131</v>
      </c>
      <c r="Q460" s="6" t="s">
        <v>10</v>
      </c>
      <c r="R460" s="1">
        <v>90</v>
      </c>
      <c r="S460" s="1">
        <v>2.5</v>
      </c>
      <c r="T460" s="1" t="str">
        <f t="shared" si="63"/>
        <v>-text 40,131 2.5 90 267.052</v>
      </c>
    </row>
    <row r="461" spans="1:20" x14ac:dyDescent="0.35">
      <c r="A461" s="1">
        <v>71060</v>
      </c>
      <c r="B461" s="7">
        <v>1151473.3</v>
      </c>
      <c r="D461" s="2">
        <v>271.89400000000001</v>
      </c>
      <c r="G461" s="2">
        <v>271.18099999999998</v>
      </c>
      <c r="J461" s="2">
        <v>267.036</v>
      </c>
      <c r="K461" s="15">
        <v>4.1449999999999996</v>
      </c>
      <c r="N461" s="7">
        <f t="shared" si="68"/>
        <v>60</v>
      </c>
      <c r="O461" s="1">
        <f t="shared" si="62"/>
        <v>131</v>
      </c>
      <c r="P461" s="1" t="str">
        <f t="shared" si="69"/>
        <v>60,131</v>
      </c>
      <c r="Q461" s="6" t="s">
        <v>10</v>
      </c>
      <c r="R461" s="1">
        <v>90</v>
      </c>
      <c r="S461" s="1">
        <v>2.5</v>
      </c>
      <c r="T461" s="1" t="str">
        <f t="shared" si="63"/>
        <v>-text 60,131 2.5 90 267.036</v>
      </c>
    </row>
    <row r="462" spans="1:20" x14ac:dyDescent="0.35">
      <c r="A462" s="1">
        <v>71080</v>
      </c>
      <c r="B462" s="7">
        <v>1151493.3</v>
      </c>
      <c r="D462" s="2">
        <v>271.81400000000002</v>
      </c>
      <c r="G462" s="2">
        <v>271.101</v>
      </c>
      <c r="J462" s="2">
        <v>267.00599999999997</v>
      </c>
      <c r="K462" s="15">
        <v>4.0949999999999998</v>
      </c>
      <c r="N462" s="7">
        <f t="shared" si="68"/>
        <v>80</v>
      </c>
      <c r="O462" s="1">
        <f t="shared" si="62"/>
        <v>131</v>
      </c>
      <c r="P462" s="1" t="str">
        <f t="shared" si="69"/>
        <v>80,131</v>
      </c>
      <c r="Q462" s="6" t="s">
        <v>10</v>
      </c>
      <c r="R462" s="1">
        <v>90</v>
      </c>
      <c r="S462" s="1">
        <v>2.5</v>
      </c>
      <c r="T462" s="1" t="str">
        <f t="shared" si="63"/>
        <v>-text 80,131 2.5 90 267.006</v>
      </c>
    </row>
    <row r="463" spans="1:20" x14ac:dyDescent="0.35">
      <c r="A463" s="1">
        <v>71100</v>
      </c>
      <c r="B463" s="7">
        <v>1151513.3</v>
      </c>
      <c r="D463" s="2">
        <v>271.73399999999998</v>
      </c>
      <c r="G463" s="2">
        <v>271.02100000000002</v>
      </c>
      <c r="J463" s="2">
        <v>267.42700000000002</v>
      </c>
      <c r="K463" s="15">
        <v>3.5939999999999999</v>
      </c>
      <c r="N463" s="7">
        <f t="shared" si="68"/>
        <v>100</v>
      </c>
      <c r="O463" s="1">
        <f t="shared" si="62"/>
        <v>131</v>
      </c>
      <c r="P463" s="1" t="str">
        <f t="shared" si="69"/>
        <v>100,131</v>
      </c>
      <c r="Q463" s="6" t="s">
        <v>10</v>
      </c>
      <c r="R463" s="1">
        <v>90</v>
      </c>
      <c r="S463" s="1">
        <v>2.5</v>
      </c>
      <c r="T463" s="1" t="str">
        <f t="shared" si="63"/>
        <v>-text 100,131 2.5 90 267.427</v>
      </c>
    </row>
    <row r="464" spans="1:20" x14ac:dyDescent="0.35">
      <c r="A464" s="1">
        <v>71120</v>
      </c>
      <c r="B464" s="7">
        <v>1151533.3</v>
      </c>
      <c r="D464" s="2">
        <v>271.654</v>
      </c>
      <c r="G464" s="2">
        <v>270.94099999999997</v>
      </c>
      <c r="J464" s="2">
        <v>267.43</v>
      </c>
      <c r="K464" s="15">
        <v>3.5110000000000001</v>
      </c>
      <c r="N464" s="7">
        <f t="shared" si="68"/>
        <v>120</v>
      </c>
      <c r="O464" s="1">
        <f t="shared" si="62"/>
        <v>131</v>
      </c>
      <c r="P464" s="1" t="str">
        <f t="shared" si="69"/>
        <v>120,131</v>
      </c>
      <c r="Q464" s="6" t="s">
        <v>10</v>
      </c>
      <c r="R464" s="1">
        <v>90</v>
      </c>
      <c r="S464" s="1">
        <v>2.5</v>
      </c>
      <c r="T464" s="1" t="str">
        <f t="shared" si="63"/>
        <v>-text 120,131 2.5 90 267.43</v>
      </c>
    </row>
    <row r="465" spans="1:20" x14ac:dyDescent="0.35">
      <c r="A465" s="1">
        <v>71140</v>
      </c>
      <c r="B465" s="7">
        <v>1151553.3</v>
      </c>
      <c r="D465" s="2">
        <v>271.57400000000001</v>
      </c>
      <c r="G465" s="2">
        <v>270.86099999999999</v>
      </c>
      <c r="J465" s="2">
        <v>267.31</v>
      </c>
      <c r="K465" s="15">
        <v>3.5510000000000002</v>
      </c>
      <c r="N465" s="7">
        <f t="shared" si="68"/>
        <v>140</v>
      </c>
      <c r="O465" s="1">
        <f t="shared" si="62"/>
        <v>131</v>
      </c>
      <c r="P465" s="1" t="str">
        <f t="shared" si="69"/>
        <v>140,131</v>
      </c>
      <c r="Q465" s="6" t="s">
        <v>10</v>
      </c>
      <c r="R465" s="1">
        <v>90</v>
      </c>
      <c r="S465" s="1">
        <v>2.5</v>
      </c>
      <c r="T465" s="1" t="str">
        <f t="shared" si="63"/>
        <v>-text 140,131 2.5 90 267.31</v>
      </c>
    </row>
    <row r="466" spans="1:20" x14ac:dyDescent="0.35">
      <c r="A466" s="1">
        <v>71160</v>
      </c>
      <c r="B466" s="7">
        <v>1151573.3</v>
      </c>
      <c r="D466" s="2">
        <v>271.49400000000003</v>
      </c>
      <c r="G466" s="2">
        <v>270.78100000000001</v>
      </c>
      <c r="J466" s="2">
        <v>267.59399999999999</v>
      </c>
      <c r="K466" s="15">
        <v>3.1869999999999998</v>
      </c>
      <c r="N466" s="7">
        <f t="shared" si="68"/>
        <v>160</v>
      </c>
      <c r="O466" s="1">
        <f t="shared" si="62"/>
        <v>131</v>
      </c>
      <c r="P466" s="1" t="str">
        <f t="shared" si="69"/>
        <v>160,131</v>
      </c>
      <c r="Q466" s="6" t="s">
        <v>10</v>
      </c>
      <c r="R466" s="1">
        <v>90</v>
      </c>
      <c r="S466" s="1">
        <v>2.5</v>
      </c>
      <c r="T466" s="1" t="str">
        <f t="shared" si="63"/>
        <v>-text 160,131 2.5 90 267.594</v>
      </c>
    </row>
    <row r="467" spans="1:20" x14ac:dyDescent="0.35">
      <c r="A467" s="1">
        <v>71180</v>
      </c>
      <c r="B467" s="7">
        <v>1151593.3</v>
      </c>
      <c r="D467" s="2">
        <v>271.41399999999999</v>
      </c>
      <c r="G467" s="2">
        <v>270.70100000000002</v>
      </c>
      <c r="J467" s="2">
        <v>267.78100000000001</v>
      </c>
      <c r="K467" s="15">
        <v>2.92</v>
      </c>
      <c r="N467" s="7">
        <f t="shared" si="68"/>
        <v>180</v>
      </c>
      <c r="O467" s="1">
        <f t="shared" si="62"/>
        <v>131</v>
      </c>
      <c r="P467" s="1" t="str">
        <f t="shared" si="69"/>
        <v>180,131</v>
      </c>
      <c r="Q467" s="6" t="s">
        <v>10</v>
      </c>
      <c r="R467" s="1">
        <v>90</v>
      </c>
      <c r="S467" s="1">
        <v>2.5</v>
      </c>
      <c r="T467" s="1" t="str">
        <f t="shared" si="63"/>
        <v>-text 180,131 2.5 90 267.781</v>
      </c>
    </row>
    <row r="468" spans="1:20" x14ac:dyDescent="0.35">
      <c r="A468" s="1">
        <v>71200</v>
      </c>
      <c r="B468" s="7">
        <v>1151613.3</v>
      </c>
      <c r="D468" s="2">
        <v>271.334</v>
      </c>
      <c r="G468" s="2">
        <v>270.62099999999998</v>
      </c>
      <c r="J468" s="2">
        <v>267.71899999999999</v>
      </c>
      <c r="K468" s="15">
        <v>2.9020000000000001</v>
      </c>
      <c r="N468" s="7">
        <f t="shared" si="68"/>
        <v>200</v>
      </c>
      <c r="O468" s="1">
        <f t="shared" si="62"/>
        <v>131</v>
      </c>
      <c r="P468" s="1" t="str">
        <f t="shared" si="69"/>
        <v>200,131</v>
      </c>
      <c r="Q468" s="6" t="s">
        <v>10</v>
      </c>
      <c r="R468" s="1">
        <v>90</v>
      </c>
      <c r="S468" s="1">
        <v>2.5</v>
      </c>
      <c r="T468" s="1" t="str">
        <f t="shared" si="63"/>
        <v>-text 200,131 2.5 90 267.719</v>
      </c>
    </row>
    <row r="469" spans="1:20" x14ac:dyDescent="0.35">
      <c r="A469" s="1">
        <v>71220</v>
      </c>
      <c r="B469" s="7">
        <v>1151633.3</v>
      </c>
      <c r="D469" s="2">
        <v>271.25400000000002</v>
      </c>
      <c r="G469" s="2">
        <v>270.541</v>
      </c>
      <c r="J469" s="2">
        <v>267.76</v>
      </c>
      <c r="K469" s="15">
        <v>2.7810000000000001</v>
      </c>
      <c r="N469" s="7">
        <f t="shared" si="68"/>
        <v>220</v>
      </c>
      <c r="O469" s="1">
        <f t="shared" si="62"/>
        <v>131</v>
      </c>
      <c r="P469" s="1" t="str">
        <f t="shared" si="69"/>
        <v>220,131</v>
      </c>
      <c r="Q469" s="6" t="s">
        <v>10</v>
      </c>
      <c r="R469" s="1">
        <v>90</v>
      </c>
      <c r="S469" s="1">
        <v>2.5</v>
      </c>
      <c r="T469" s="1" t="str">
        <f t="shared" si="63"/>
        <v>-text 220,131 2.5 90 267.76</v>
      </c>
    </row>
    <row r="470" spans="1:20" x14ac:dyDescent="0.35">
      <c r="A470" s="1">
        <v>71240</v>
      </c>
      <c r="B470" s="7">
        <v>1151653.3</v>
      </c>
      <c r="D470" s="2">
        <v>271.17399999999998</v>
      </c>
      <c r="G470" s="2">
        <v>270.46100000000001</v>
      </c>
      <c r="J470" s="2">
        <v>267.88099999999997</v>
      </c>
      <c r="K470" s="15">
        <v>2.58</v>
      </c>
      <c r="N470" s="7">
        <f t="shared" si="68"/>
        <v>240</v>
      </c>
      <c r="O470" s="1">
        <f t="shared" si="62"/>
        <v>131</v>
      </c>
      <c r="P470" s="1" t="str">
        <f t="shared" si="69"/>
        <v>240,131</v>
      </c>
      <c r="Q470" s="6" t="s">
        <v>10</v>
      </c>
      <c r="R470" s="1">
        <v>90</v>
      </c>
      <c r="S470" s="1">
        <v>2.5</v>
      </c>
      <c r="T470" s="1" t="str">
        <f t="shared" si="63"/>
        <v>-text 240,131 2.5 90 267.881</v>
      </c>
    </row>
    <row r="471" spans="1:20" x14ac:dyDescent="0.35">
      <c r="A471" s="1">
        <v>71260</v>
      </c>
      <c r="B471" s="7">
        <v>1151673.3</v>
      </c>
      <c r="D471" s="2">
        <v>271.09399999999999</v>
      </c>
      <c r="G471" s="2">
        <v>270.38099999999997</v>
      </c>
      <c r="J471" s="2">
        <v>267.59199999999998</v>
      </c>
      <c r="K471" s="15">
        <v>2.7890000000000001</v>
      </c>
      <c r="N471" s="7">
        <f t="shared" si="68"/>
        <v>260</v>
      </c>
      <c r="O471" s="1">
        <f t="shared" si="62"/>
        <v>131</v>
      </c>
      <c r="P471" s="1" t="str">
        <f t="shared" si="69"/>
        <v>260,131</v>
      </c>
      <c r="Q471" s="6" t="s">
        <v>10</v>
      </c>
      <c r="R471" s="1">
        <v>90</v>
      </c>
      <c r="S471" s="1">
        <v>2.5</v>
      </c>
      <c r="T471" s="1" t="str">
        <f t="shared" si="63"/>
        <v>-text 260,131 2.5 90 267.592</v>
      </c>
    </row>
    <row r="472" spans="1:20" x14ac:dyDescent="0.35">
      <c r="A472" s="1">
        <v>71280</v>
      </c>
      <c r="B472" s="7">
        <v>1151693.3</v>
      </c>
      <c r="D472" s="2">
        <v>271.01400000000001</v>
      </c>
      <c r="G472" s="2">
        <v>270.30099999999999</v>
      </c>
      <c r="J472" s="2">
        <v>267.74700000000001</v>
      </c>
      <c r="K472" s="15">
        <v>2.5539999999999998</v>
      </c>
      <c r="N472" s="7">
        <f t="shared" si="68"/>
        <v>280</v>
      </c>
      <c r="O472" s="1">
        <f t="shared" si="62"/>
        <v>131</v>
      </c>
      <c r="P472" s="1" t="str">
        <f t="shared" si="69"/>
        <v>280,131</v>
      </c>
      <c r="Q472" s="6" t="s">
        <v>10</v>
      </c>
      <c r="R472" s="1">
        <v>90</v>
      </c>
      <c r="S472" s="1">
        <v>2.5</v>
      </c>
      <c r="T472" s="1" t="str">
        <f t="shared" si="63"/>
        <v>-text 280,131 2.5 90 267.747</v>
      </c>
    </row>
    <row r="473" spans="1:20" x14ac:dyDescent="0.35">
      <c r="A473" s="1">
        <v>71300</v>
      </c>
      <c r="B473" s="7">
        <v>1151713.3</v>
      </c>
      <c r="D473" s="2">
        <v>270.93400000000003</v>
      </c>
      <c r="G473" s="2">
        <v>270.221</v>
      </c>
      <c r="J473" s="2">
        <v>267.74700000000001</v>
      </c>
      <c r="K473" s="15">
        <v>2.4740000000000002</v>
      </c>
      <c r="N473" s="7">
        <f t="shared" si="68"/>
        <v>300</v>
      </c>
      <c r="O473" s="1">
        <f t="shared" si="62"/>
        <v>131</v>
      </c>
      <c r="P473" s="1" t="str">
        <f t="shared" si="69"/>
        <v>300,131</v>
      </c>
      <c r="Q473" s="6" t="s">
        <v>10</v>
      </c>
      <c r="R473" s="1">
        <v>90</v>
      </c>
      <c r="S473" s="1">
        <v>2.5</v>
      </c>
      <c r="T473" s="1" t="str">
        <f t="shared" si="63"/>
        <v>-text 300,131 2.5 90 267.747</v>
      </c>
    </row>
    <row r="474" spans="1:20" x14ac:dyDescent="0.35">
      <c r="A474" s="1">
        <v>71320</v>
      </c>
      <c r="B474" s="7">
        <v>1151733.3</v>
      </c>
      <c r="D474" s="2">
        <v>270.85399999999998</v>
      </c>
      <c r="G474" s="2">
        <v>270.14100000000002</v>
      </c>
      <c r="J474" s="2">
        <v>267.72500000000002</v>
      </c>
      <c r="K474" s="15">
        <v>2.4159999999999999</v>
      </c>
      <c r="N474" s="7">
        <f t="shared" si="68"/>
        <v>320</v>
      </c>
      <c r="O474" s="1">
        <f t="shared" si="62"/>
        <v>131</v>
      </c>
      <c r="P474" s="1" t="str">
        <f t="shared" si="69"/>
        <v>320,131</v>
      </c>
      <c r="Q474" s="6" t="s">
        <v>10</v>
      </c>
      <c r="R474" s="1">
        <v>90</v>
      </c>
      <c r="S474" s="1">
        <v>2.5</v>
      </c>
      <c r="T474" s="1" t="str">
        <f t="shared" si="63"/>
        <v>-text 320,131 2.5 90 267.725</v>
      </c>
    </row>
    <row r="475" spans="1:20" x14ac:dyDescent="0.35">
      <c r="A475" s="1">
        <v>71340</v>
      </c>
      <c r="B475" s="7">
        <v>1151753.3</v>
      </c>
      <c r="D475" s="2">
        <v>270.774</v>
      </c>
      <c r="G475" s="2">
        <v>270.06099999999998</v>
      </c>
      <c r="J475" s="2">
        <v>267.46499999999997</v>
      </c>
      <c r="K475" s="15">
        <v>2.5960000000000001</v>
      </c>
      <c r="N475" s="7">
        <f t="shared" si="68"/>
        <v>340</v>
      </c>
      <c r="O475" s="1">
        <f t="shared" si="62"/>
        <v>131</v>
      </c>
      <c r="P475" s="1" t="str">
        <f t="shared" si="69"/>
        <v>340,131</v>
      </c>
      <c r="Q475" s="6" t="s">
        <v>10</v>
      </c>
      <c r="R475" s="1">
        <v>90</v>
      </c>
      <c r="S475" s="1">
        <v>2.5</v>
      </c>
      <c r="T475" s="1" t="str">
        <f t="shared" si="63"/>
        <v>-text 340,131 2.5 90 267.465</v>
      </c>
    </row>
    <row r="476" spans="1:20" x14ac:dyDescent="0.35">
      <c r="A476" s="1">
        <v>71360</v>
      </c>
      <c r="B476" s="7">
        <v>1151773.3</v>
      </c>
      <c r="D476" s="2">
        <v>270.69400000000002</v>
      </c>
      <c r="G476" s="2">
        <v>269.98099999999999</v>
      </c>
      <c r="J476" s="2">
        <v>268.464</v>
      </c>
      <c r="K476" s="15">
        <v>1.5169999999999999</v>
      </c>
      <c r="N476" s="7">
        <f t="shared" si="68"/>
        <v>360</v>
      </c>
      <c r="O476" s="1">
        <f t="shared" si="62"/>
        <v>131</v>
      </c>
      <c r="P476" s="1" t="str">
        <f t="shared" si="69"/>
        <v>360,131</v>
      </c>
      <c r="Q476" s="6" t="s">
        <v>10</v>
      </c>
      <c r="R476" s="1">
        <v>90</v>
      </c>
      <c r="S476" s="1">
        <v>2.5</v>
      </c>
      <c r="T476" s="1" t="str">
        <f t="shared" si="63"/>
        <v>-text 360,131 2.5 90 268.464</v>
      </c>
    </row>
    <row r="477" spans="1:20" x14ac:dyDescent="0.35">
      <c r="A477" s="1">
        <v>71380</v>
      </c>
      <c r="B477" s="7">
        <v>1151793.3</v>
      </c>
      <c r="D477" s="2">
        <v>270.61399999999998</v>
      </c>
      <c r="G477" s="2">
        <v>269.90100000000001</v>
      </c>
      <c r="J477" s="2">
        <v>268.34800000000001</v>
      </c>
      <c r="K477" s="15">
        <v>1.5529999999999999</v>
      </c>
      <c r="N477" s="7">
        <f t="shared" si="68"/>
        <v>380</v>
      </c>
      <c r="O477" s="1">
        <f t="shared" si="62"/>
        <v>131</v>
      </c>
      <c r="P477" s="1" t="str">
        <f t="shared" si="69"/>
        <v>380,131</v>
      </c>
      <c r="Q477" s="6" t="s">
        <v>10</v>
      </c>
      <c r="R477" s="1">
        <v>90</v>
      </c>
      <c r="S477" s="1">
        <v>2.5</v>
      </c>
      <c r="T477" s="1" t="str">
        <f t="shared" si="63"/>
        <v>-text 380,131 2.5 90 268.348</v>
      </c>
    </row>
    <row r="478" spans="1:20" x14ac:dyDescent="0.35">
      <c r="A478" s="1">
        <v>71400</v>
      </c>
      <c r="B478" s="7">
        <v>1151813.3</v>
      </c>
      <c r="D478" s="2">
        <v>270.53399999999999</v>
      </c>
      <c r="G478" s="2">
        <v>269.82100000000003</v>
      </c>
      <c r="J478" s="2">
        <v>268.34100000000001</v>
      </c>
      <c r="K478" s="15">
        <v>1.48</v>
      </c>
      <c r="N478" s="7">
        <f t="shared" si="68"/>
        <v>400</v>
      </c>
      <c r="O478" s="1">
        <f t="shared" si="62"/>
        <v>131</v>
      </c>
      <c r="P478" s="1" t="str">
        <f t="shared" si="69"/>
        <v>400,131</v>
      </c>
      <c r="Q478" s="6" t="s">
        <v>10</v>
      </c>
      <c r="R478" s="1">
        <v>90</v>
      </c>
      <c r="S478" s="1">
        <v>2.5</v>
      </c>
      <c r="T478" s="1" t="str">
        <f t="shared" si="63"/>
        <v>-text 400,131 2.5 90 268.341</v>
      </c>
    </row>
    <row r="479" spans="1:20" x14ac:dyDescent="0.35">
      <c r="A479" s="1">
        <v>71420</v>
      </c>
      <c r="B479" s="7">
        <v>1151833.3</v>
      </c>
      <c r="D479" s="2">
        <v>270.45400000000001</v>
      </c>
      <c r="G479" s="2">
        <v>269.74099999999999</v>
      </c>
      <c r="J479" s="2">
        <v>268.47399999999999</v>
      </c>
      <c r="K479" s="15">
        <v>1.2669999999999999</v>
      </c>
      <c r="N479" s="7">
        <f t="shared" si="68"/>
        <v>420</v>
      </c>
      <c r="O479" s="1">
        <f t="shared" si="62"/>
        <v>131</v>
      </c>
      <c r="P479" s="1" t="str">
        <f t="shared" si="69"/>
        <v>420,131</v>
      </c>
      <c r="Q479" s="6" t="s">
        <v>10</v>
      </c>
      <c r="R479" s="1">
        <v>90</v>
      </c>
      <c r="S479" s="1">
        <v>2.5</v>
      </c>
      <c r="T479" s="1" t="str">
        <f t="shared" si="63"/>
        <v>-text 420,131 2.5 90 268.474</v>
      </c>
    </row>
    <row r="480" spans="1:20" x14ac:dyDescent="0.35">
      <c r="A480" s="1">
        <v>71440</v>
      </c>
      <c r="B480" s="7">
        <v>1151853.3</v>
      </c>
      <c r="D480" s="2">
        <v>270.37400000000002</v>
      </c>
      <c r="G480" s="2">
        <v>269.661</v>
      </c>
      <c r="J480" s="2">
        <v>268.54899999999998</v>
      </c>
      <c r="K480" s="15">
        <v>1.1120000000000001</v>
      </c>
      <c r="N480" s="7">
        <f t="shared" si="68"/>
        <v>440</v>
      </c>
      <c r="O480" s="1">
        <f t="shared" si="62"/>
        <v>131</v>
      </c>
      <c r="P480" s="1" t="str">
        <f t="shared" si="69"/>
        <v>440,131</v>
      </c>
      <c r="Q480" s="6" t="s">
        <v>10</v>
      </c>
      <c r="R480" s="1">
        <v>90</v>
      </c>
      <c r="S480" s="1">
        <v>2.5</v>
      </c>
      <c r="T480" s="1" t="str">
        <f t="shared" si="63"/>
        <v>-text 440,131 2.5 90 268.549</v>
      </c>
    </row>
    <row r="481" spans="1:20" x14ac:dyDescent="0.35">
      <c r="A481" s="1">
        <v>71460</v>
      </c>
      <c r="B481" s="7">
        <v>1151873.3</v>
      </c>
      <c r="D481" s="2">
        <v>270.29399999999998</v>
      </c>
      <c r="G481" s="2">
        <v>269.58100000000002</v>
      </c>
      <c r="J481" s="2">
        <v>268.61200000000002</v>
      </c>
      <c r="K481" s="15">
        <v>0.96899999999999997</v>
      </c>
      <c r="N481" s="7">
        <f t="shared" si="68"/>
        <v>460</v>
      </c>
      <c r="O481" s="1">
        <f t="shared" ref="O481:O483" si="70">19+16+16+16+16+16+16+16</f>
        <v>131</v>
      </c>
      <c r="P481" s="1" t="str">
        <f t="shared" si="69"/>
        <v>460,131</v>
      </c>
      <c r="Q481" s="6" t="s">
        <v>10</v>
      </c>
      <c r="R481" s="1">
        <v>90</v>
      </c>
      <c r="S481" s="1">
        <v>2.5</v>
      </c>
      <c r="T481" s="1" t="str">
        <f t="shared" ref="T481:T483" si="71">$Q481&amp;" "&amp;$P481&amp;" "&amp;$S481&amp;" "&amp;$R481&amp;" "&amp;$J481</f>
        <v>-text 460,131 2.5 90 268.612</v>
      </c>
    </row>
    <row r="482" spans="1:20" x14ac:dyDescent="0.35">
      <c r="A482" s="1">
        <v>71480</v>
      </c>
      <c r="B482" s="7">
        <v>1151893.3</v>
      </c>
      <c r="D482" s="2">
        <v>270.214</v>
      </c>
      <c r="G482" s="2">
        <v>269.50099999999998</v>
      </c>
      <c r="J482" s="2">
        <v>268.548</v>
      </c>
      <c r="K482" s="15">
        <v>0.95299999999999996</v>
      </c>
      <c r="N482" s="7">
        <f t="shared" si="68"/>
        <v>480</v>
      </c>
      <c r="O482" s="1">
        <f t="shared" si="70"/>
        <v>131</v>
      </c>
      <c r="P482" s="1" t="str">
        <f t="shared" si="69"/>
        <v>480,131</v>
      </c>
      <c r="Q482" s="6" t="s">
        <v>10</v>
      </c>
      <c r="R482" s="1">
        <v>90</v>
      </c>
      <c r="S482" s="1">
        <v>2.5</v>
      </c>
      <c r="T482" s="1" t="str">
        <f t="shared" si="71"/>
        <v>-text 480,131 2.5 90 268.548</v>
      </c>
    </row>
    <row r="483" spans="1:20" x14ac:dyDescent="0.35">
      <c r="A483" s="1">
        <v>71500</v>
      </c>
      <c r="B483" s="7">
        <v>1151913</v>
      </c>
      <c r="D483" s="2">
        <v>270.13499999999999</v>
      </c>
      <c r="G483" s="2">
        <v>269.42200000000003</v>
      </c>
      <c r="J483" s="2">
        <v>268.72500000000002</v>
      </c>
      <c r="K483" s="15">
        <v>0.69699999999999995</v>
      </c>
      <c r="N483" s="7">
        <f t="shared" si="68"/>
        <v>499.69999999995343</v>
      </c>
      <c r="O483" s="1">
        <f t="shared" si="70"/>
        <v>131</v>
      </c>
      <c r="P483" s="1" t="str">
        <f t="shared" si="69"/>
        <v>499.699999999953,131</v>
      </c>
      <c r="Q483" s="6" t="s">
        <v>10</v>
      </c>
      <c r="R483" s="1">
        <v>90</v>
      </c>
      <c r="S483" s="1">
        <v>2.5</v>
      </c>
      <c r="T483" s="1" t="str">
        <f t="shared" si="71"/>
        <v>-text 499.699999999953,131 2.5 90 268.725</v>
      </c>
    </row>
    <row r="484" spans="1:20" s="10" customFormat="1" x14ac:dyDescent="0.35">
      <c r="B484" s="11"/>
      <c r="C484" s="9"/>
      <c r="D484" s="9"/>
      <c r="E484" s="9"/>
      <c r="F484" s="9"/>
      <c r="G484" s="9"/>
      <c r="H484" s="9"/>
      <c r="I484" s="9"/>
      <c r="J484" s="9"/>
      <c r="K484" s="16"/>
      <c r="L484" s="9"/>
      <c r="M484" s="9"/>
    </row>
    <row r="485" spans="1:20" x14ac:dyDescent="0.35">
      <c r="A485" s="1">
        <v>262502.694655</v>
      </c>
      <c r="B485" s="7">
        <v>1151913</v>
      </c>
      <c r="C485" s="2">
        <v>268.67500000000001</v>
      </c>
      <c r="D485" s="2">
        <v>270.13499999999999</v>
      </c>
      <c r="E485" s="2">
        <v>1.4610000000000001</v>
      </c>
      <c r="F485" s="2">
        <v>268.00299999999999</v>
      </c>
      <c r="G485" s="2">
        <v>269.42200000000003</v>
      </c>
      <c r="H485" s="2">
        <v>1.42</v>
      </c>
      <c r="I485" s="2">
        <v>268.68599999999998</v>
      </c>
      <c r="J485" s="2">
        <v>268.72500000000002</v>
      </c>
      <c r="K485" s="15">
        <v>0.69699999999999995</v>
      </c>
      <c r="L485" s="2">
        <v>39.673999999999999</v>
      </c>
      <c r="N485" s="7">
        <v>0</v>
      </c>
      <c r="O485" s="1">
        <f t="shared" ref="O485:O510" si="72">19+16+16+16+16+16+16+16+16+16</f>
        <v>163</v>
      </c>
      <c r="P485" s="1" t="str">
        <f t="shared" ref="P485:P486" si="73">CONCATENATE(N485,",",O485)</f>
        <v>0,163</v>
      </c>
      <c r="Q485" s="6" t="s">
        <v>10</v>
      </c>
      <c r="R485" s="1">
        <v>90</v>
      </c>
      <c r="S485" s="1">
        <v>2.5</v>
      </c>
      <c r="T485" s="1" t="str">
        <f t="shared" ref="T485:T510" si="74">$Q485&amp;" "&amp;$P485&amp;" "&amp;$S485&amp;" "&amp;$R485&amp;" "&amp;$L485</f>
        <v>-text 0,163 2.5 90 39.674</v>
      </c>
    </row>
    <row r="486" spans="1:20" x14ac:dyDescent="0.35">
      <c r="A486" s="1">
        <v>262520</v>
      </c>
      <c r="B486" s="7">
        <v>1151933</v>
      </c>
      <c r="C486" s="2">
        <v>268.673</v>
      </c>
      <c r="D486" s="2">
        <v>270.05500000000001</v>
      </c>
      <c r="E486" s="2">
        <v>1.3819999999999999</v>
      </c>
      <c r="F486" s="2">
        <v>268.00099999999998</v>
      </c>
      <c r="G486" s="2">
        <v>269.34199999999998</v>
      </c>
      <c r="H486" s="2">
        <v>1.341</v>
      </c>
      <c r="I486" s="2">
        <v>268.29599999999999</v>
      </c>
      <c r="J486" s="2">
        <v>268.33</v>
      </c>
      <c r="K486" s="15">
        <v>1.012</v>
      </c>
      <c r="L486" s="2">
        <v>36.130000000000003</v>
      </c>
      <c r="N486" s="7">
        <f t="shared" ref="N486:N510" si="75">N485+(B486-B485)</f>
        <v>20</v>
      </c>
      <c r="O486" s="1">
        <f t="shared" si="72"/>
        <v>163</v>
      </c>
      <c r="P486" s="1" t="str">
        <f t="shared" si="73"/>
        <v>20,163</v>
      </c>
      <c r="Q486" s="6" t="s">
        <v>10</v>
      </c>
      <c r="R486" s="1">
        <v>90</v>
      </c>
      <c r="S486" s="1">
        <v>2.5</v>
      </c>
      <c r="T486" s="1" t="str">
        <f t="shared" si="74"/>
        <v>-text 20,163 2.5 90 36.13</v>
      </c>
    </row>
    <row r="487" spans="1:20" x14ac:dyDescent="0.35">
      <c r="A487" s="1">
        <v>262540</v>
      </c>
      <c r="B487" s="7">
        <v>1151953</v>
      </c>
      <c r="C487" s="2">
        <v>268.65899999999999</v>
      </c>
      <c r="D487" s="2">
        <v>269.97500000000002</v>
      </c>
      <c r="E487" s="2">
        <v>1.3169999999999999</v>
      </c>
      <c r="F487" s="2">
        <v>267.98700000000002</v>
      </c>
      <c r="G487" s="2">
        <v>269.262</v>
      </c>
      <c r="H487" s="2">
        <v>1.276</v>
      </c>
      <c r="I487" s="2">
        <v>267.34399999999999</v>
      </c>
      <c r="J487" s="2">
        <v>267.37799999999999</v>
      </c>
      <c r="K487" s="15">
        <v>1.8839999999999999</v>
      </c>
      <c r="L487" s="2">
        <v>32.418999999999997</v>
      </c>
      <c r="N487" s="7">
        <f t="shared" si="75"/>
        <v>40</v>
      </c>
      <c r="O487" s="1">
        <f t="shared" si="72"/>
        <v>163</v>
      </c>
      <c r="P487" s="1" t="str">
        <f t="shared" ref="P487:P510" si="76">CONCATENATE(N487,",",O487)</f>
        <v>40,163</v>
      </c>
      <c r="Q487" s="6" t="s">
        <v>10</v>
      </c>
      <c r="R487" s="1">
        <v>90</v>
      </c>
      <c r="S487" s="1">
        <v>2.5</v>
      </c>
      <c r="T487" s="1" t="str">
        <f t="shared" si="74"/>
        <v>-text 40,163 2.5 90 32.419</v>
      </c>
    </row>
    <row r="488" spans="1:20" x14ac:dyDescent="0.35">
      <c r="A488" s="1">
        <v>262560</v>
      </c>
      <c r="B488" s="7">
        <v>1151973</v>
      </c>
      <c r="C488" s="2">
        <v>268.709</v>
      </c>
      <c r="D488" s="2">
        <v>269.89499999999998</v>
      </c>
      <c r="E488" s="2">
        <v>1.1859999999999999</v>
      </c>
      <c r="F488" s="2">
        <v>268.03699999999998</v>
      </c>
      <c r="G488" s="2">
        <v>269.18200000000002</v>
      </c>
      <c r="H488" s="2">
        <v>1.145</v>
      </c>
      <c r="I488" s="2">
        <v>267.065</v>
      </c>
      <c r="J488" s="2">
        <v>267</v>
      </c>
      <c r="K488" s="15">
        <v>2.1819999999999999</v>
      </c>
      <c r="L488" s="2">
        <v>29.292999999999999</v>
      </c>
      <c r="N488" s="7">
        <f t="shared" si="75"/>
        <v>60</v>
      </c>
      <c r="O488" s="1">
        <f t="shared" si="72"/>
        <v>163</v>
      </c>
      <c r="P488" s="1" t="str">
        <f t="shared" si="76"/>
        <v>60,163</v>
      </c>
      <c r="Q488" s="6" t="s">
        <v>10</v>
      </c>
      <c r="R488" s="1">
        <v>90</v>
      </c>
      <c r="S488" s="1">
        <v>2.5</v>
      </c>
      <c r="T488" s="1" t="str">
        <f t="shared" si="74"/>
        <v>-text 60,163 2.5 90 29.293</v>
      </c>
    </row>
    <row r="489" spans="1:20" x14ac:dyDescent="0.35">
      <c r="A489" s="1">
        <v>262580</v>
      </c>
      <c r="B489" s="7">
        <v>1151993</v>
      </c>
      <c r="C489" s="2">
        <v>268.67500000000001</v>
      </c>
      <c r="D489" s="2">
        <v>269.815</v>
      </c>
      <c r="E489" s="2">
        <v>1.1399999999999999</v>
      </c>
      <c r="F489" s="2">
        <v>268.00299999999999</v>
      </c>
      <c r="G489" s="2">
        <v>269.10199999999998</v>
      </c>
      <c r="H489" s="2">
        <v>1.099</v>
      </c>
      <c r="I489" s="2">
        <v>268.42200000000003</v>
      </c>
      <c r="J489" s="2">
        <v>268.61200000000002</v>
      </c>
      <c r="K489" s="15">
        <v>0.49</v>
      </c>
      <c r="L489" s="2">
        <v>26.759</v>
      </c>
      <c r="N489" s="7">
        <f t="shared" si="75"/>
        <v>80</v>
      </c>
      <c r="O489" s="1">
        <f t="shared" si="72"/>
        <v>163</v>
      </c>
      <c r="P489" s="1" t="str">
        <f t="shared" si="76"/>
        <v>80,163</v>
      </c>
      <c r="Q489" s="6" t="s">
        <v>10</v>
      </c>
      <c r="R489" s="1">
        <v>90</v>
      </c>
      <c r="S489" s="1">
        <v>2.5</v>
      </c>
      <c r="T489" s="1" t="str">
        <f t="shared" si="74"/>
        <v>-text 80,163 2.5 90 26.759</v>
      </c>
    </row>
    <row r="490" spans="1:20" x14ac:dyDescent="0.35">
      <c r="A490" s="1">
        <v>262600</v>
      </c>
      <c r="B490" s="7">
        <v>1152013</v>
      </c>
      <c r="C490" s="2">
        <v>268.63499999999999</v>
      </c>
      <c r="D490" s="2">
        <v>269.73500000000001</v>
      </c>
      <c r="E490" s="2">
        <v>1.1000000000000001</v>
      </c>
      <c r="F490" s="2">
        <v>267.96300000000002</v>
      </c>
      <c r="G490" s="2">
        <v>269.02199999999999</v>
      </c>
      <c r="H490" s="2">
        <v>1.0589999999999999</v>
      </c>
      <c r="I490" s="2">
        <v>268.90899999999999</v>
      </c>
      <c r="J490" s="2">
        <v>268.91899999999998</v>
      </c>
      <c r="K490" s="15">
        <v>0.10299999999999999</v>
      </c>
      <c r="L490" s="2">
        <v>24.771000000000001</v>
      </c>
      <c r="N490" s="7">
        <f t="shared" si="75"/>
        <v>100</v>
      </c>
      <c r="O490" s="1">
        <f t="shared" si="72"/>
        <v>163</v>
      </c>
      <c r="P490" s="1" t="str">
        <f t="shared" si="76"/>
        <v>100,163</v>
      </c>
      <c r="Q490" s="6" t="s">
        <v>10</v>
      </c>
      <c r="R490" s="1">
        <v>90</v>
      </c>
      <c r="S490" s="1">
        <v>2.5</v>
      </c>
      <c r="T490" s="1" t="str">
        <f t="shared" si="74"/>
        <v>-text 100,163 2.5 90 24.771</v>
      </c>
    </row>
    <row r="491" spans="1:20" x14ac:dyDescent="0.35">
      <c r="A491" s="1">
        <v>262620</v>
      </c>
      <c r="B491" s="7">
        <v>1152033</v>
      </c>
      <c r="C491" s="2">
        <v>268.58600000000001</v>
      </c>
      <c r="D491" s="2">
        <v>269.65499999999997</v>
      </c>
      <c r="E491" s="2">
        <v>1.069</v>
      </c>
      <c r="F491" s="2">
        <v>267.91399999999999</v>
      </c>
      <c r="G491" s="2">
        <v>268.94200000000001</v>
      </c>
      <c r="H491" s="2">
        <v>1.028</v>
      </c>
      <c r="I491" s="2">
        <v>269.06599999999997</v>
      </c>
      <c r="J491" s="2">
        <v>269.077</v>
      </c>
      <c r="K491" s="15">
        <v>-0.13500000000000001</v>
      </c>
      <c r="L491" s="2">
        <v>23.283999999999999</v>
      </c>
      <c r="N491" s="7">
        <f t="shared" si="75"/>
        <v>120</v>
      </c>
      <c r="O491" s="1">
        <f t="shared" si="72"/>
        <v>163</v>
      </c>
      <c r="P491" s="1" t="str">
        <f t="shared" si="76"/>
        <v>120,163</v>
      </c>
      <c r="Q491" s="6" t="s">
        <v>10</v>
      </c>
      <c r="R491" s="1">
        <v>90</v>
      </c>
      <c r="S491" s="1">
        <v>2.5</v>
      </c>
      <c r="T491" s="1" t="str">
        <f t="shared" si="74"/>
        <v>-text 120,163 2.5 90 23.284</v>
      </c>
    </row>
    <row r="492" spans="1:20" x14ac:dyDescent="0.35">
      <c r="A492" s="1">
        <v>262640</v>
      </c>
      <c r="B492" s="7">
        <v>1152053</v>
      </c>
      <c r="C492" s="2">
        <v>268.60000000000002</v>
      </c>
      <c r="D492" s="2">
        <v>269.57499999999999</v>
      </c>
      <c r="E492" s="2">
        <v>0.97499999999999998</v>
      </c>
      <c r="F492" s="2">
        <v>267.928</v>
      </c>
      <c r="G492" s="2">
        <v>268.86200000000002</v>
      </c>
      <c r="H492" s="2">
        <v>0.93400000000000005</v>
      </c>
      <c r="I492" s="2">
        <v>269.096</v>
      </c>
      <c r="J492" s="2">
        <v>269.22000000000003</v>
      </c>
      <c r="K492" s="15">
        <v>-0.35799999999999998</v>
      </c>
      <c r="L492" s="2">
        <v>22.263000000000002</v>
      </c>
      <c r="N492" s="7">
        <f t="shared" si="75"/>
        <v>140</v>
      </c>
      <c r="O492" s="1">
        <f t="shared" si="72"/>
        <v>163</v>
      </c>
      <c r="P492" s="1" t="str">
        <f t="shared" si="76"/>
        <v>140,163</v>
      </c>
      <c r="Q492" s="6" t="s">
        <v>10</v>
      </c>
      <c r="R492" s="1">
        <v>90</v>
      </c>
      <c r="S492" s="1">
        <v>2.5</v>
      </c>
      <c r="T492" s="1" t="str">
        <f t="shared" si="74"/>
        <v>-text 140,163 2.5 90 22.263</v>
      </c>
    </row>
    <row r="493" spans="1:20" x14ac:dyDescent="0.35">
      <c r="A493" s="1">
        <v>262660</v>
      </c>
      <c r="B493" s="7">
        <v>1152073</v>
      </c>
      <c r="C493" s="2">
        <v>268.61</v>
      </c>
      <c r="D493" s="2">
        <v>269.495</v>
      </c>
      <c r="E493" s="2">
        <v>0.88500000000000001</v>
      </c>
      <c r="F493" s="2">
        <v>267.93799999999999</v>
      </c>
      <c r="G493" s="2">
        <v>268.78199999999998</v>
      </c>
      <c r="H493" s="2">
        <v>0.84399999999999997</v>
      </c>
      <c r="I493" s="2">
        <v>268.72000000000003</v>
      </c>
      <c r="J493" s="2">
        <v>268.88099999999997</v>
      </c>
      <c r="K493" s="15">
        <v>-9.8000000000000004E-2</v>
      </c>
      <c r="L493" s="2">
        <v>21.628</v>
      </c>
      <c r="N493" s="7">
        <f t="shared" si="75"/>
        <v>160</v>
      </c>
      <c r="O493" s="1">
        <f t="shared" si="72"/>
        <v>163</v>
      </c>
      <c r="P493" s="1" t="str">
        <f t="shared" si="76"/>
        <v>160,163</v>
      </c>
      <c r="Q493" s="6" t="s">
        <v>10</v>
      </c>
      <c r="R493" s="1">
        <v>90</v>
      </c>
      <c r="S493" s="1">
        <v>2.5</v>
      </c>
      <c r="T493" s="1" t="str">
        <f t="shared" si="74"/>
        <v>-text 160,163 2.5 90 21.628</v>
      </c>
    </row>
    <row r="494" spans="1:20" x14ac:dyDescent="0.35">
      <c r="A494" s="1">
        <v>262680</v>
      </c>
      <c r="B494" s="7">
        <v>1152093</v>
      </c>
      <c r="C494" s="2">
        <v>268.61500000000001</v>
      </c>
      <c r="D494" s="2">
        <v>269.41500000000002</v>
      </c>
      <c r="E494" s="2">
        <v>0.8</v>
      </c>
      <c r="F494" s="2">
        <v>267.94299999999998</v>
      </c>
      <c r="G494" s="2">
        <v>268.702</v>
      </c>
      <c r="H494" s="2">
        <v>0.75900000000000001</v>
      </c>
      <c r="I494" s="2">
        <v>268.30200000000002</v>
      </c>
      <c r="J494" s="2">
        <v>268.47800000000001</v>
      </c>
      <c r="K494" s="15">
        <v>0.224</v>
      </c>
      <c r="L494" s="2">
        <v>21.312000000000001</v>
      </c>
      <c r="N494" s="7">
        <f t="shared" si="75"/>
        <v>180</v>
      </c>
      <c r="O494" s="1">
        <f t="shared" si="72"/>
        <v>163</v>
      </c>
      <c r="P494" s="1" t="str">
        <f t="shared" si="76"/>
        <v>180,163</v>
      </c>
      <c r="Q494" s="6" t="s">
        <v>10</v>
      </c>
      <c r="R494" s="1">
        <v>90</v>
      </c>
      <c r="S494" s="1">
        <v>2.5</v>
      </c>
      <c r="T494" s="1" t="str">
        <f t="shared" si="74"/>
        <v>-text 180,163 2.5 90 21.312</v>
      </c>
    </row>
    <row r="495" spans="1:20" x14ac:dyDescent="0.35">
      <c r="A495" s="1">
        <v>262700</v>
      </c>
      <c r="B495" s="7">
        <v>1152113</v>
      </c>
      <c r="C495" s="2">
        <v>268.62900000000002</v>
      </c>
      <c r="D495" s="2">
        <v>269.33499999999998</v>
      </c>
      <c r="E495" s="2">
        <v>0.70599999999999996</v>
      </c>
      <c r="F495" s="2">
        <v>267.95699999999999</v>
      </c>
      <c r="G495" s="2">
        <v>268.62200000000001</v>
      </c>
      <c r="H495" s="2">
        <v>0.66500000000000004</v>
      </c>
      <c r="I495" s="2">
        <v>268.09899999999999</v>
      </c>
      <c r="J495" s="2">
        <v>268.11</v>
      </c>
      <c r="K495" s="15">
        <v>0.51200000000000001</v>
      </c>
      <c r="L495" s="2">
        <v>21.253</v>
      </c>
      <c r="N495" s="7">
        <f t="shared" si="75"/>
        <v>200</v>
      </c>
      <c r="O495" s="1">
        <f t="shared" si="72"/>
        <v>163</v>
      </c>
      <c r="P495" s="1" t="str">
        <f t="shared" si="76"/>
        <v>200,163</v>
      </c>
      <c r="Q495" s="6" t="s">
        <v>10</v>
      </c>
      <c r="R495" s="1">
        <v>90</v>
      </c>
      <c r="S495" s="1">
        <v>2.5</v>
      </c>
      <c r="T495" s="1" t="str">
        <f t="shared" si="74"/>
        <v>-text 200,163 2.5 90 21.253</v>
      </c>
    </row>
    <row r="496" spans="1:20" x14ac:dyDescent="0.35">
      <c r="A496" s="1">
        <v>262720</v>
      </c>
      <c r="B496" s="7">
        <v>1152133</v>
      </c>
      <c r="C496" s="2">
        <v>268.63099999999997</v>
      </c>
      <c r="D496" s="2">
        <v>269.255</v>
      </c>
      <c r="E496" s="2">
        <v>0.624</v>
      </c>
      <c r="F496" s="2">
        <v>267.959</v>
      </c>
      <c r="G496" s="2">
        <v>268.54199999999997</v>
      </c>
      <c r="H496" s="2">
        <v>0.58299999999999996</v>
      </c>
      <c r="I496" s="2">
        <v>268.18900000000002</v>
      </c>
      <c r="J496" s="2">
        <v>268.09500000000003</v>
      </c>
      <c r="K496" s="15">
        <v>0.44800000000000001</v>
      </c>
      <c r="L496" s="2">
        <v>21.34</v>
      </c>
      <c r="N496" s="7">
        <f t="shared" si="75"/>
        <v>220</v>
      </c>
      <c r="O496" s="1">
        <f t="shared" si="72"/>
        <v>163</v>
      </c>
      <c r="P496" s="1" t="str">
        <f t="shared" si="76"/>
        <v>220,163</v>
      </c>
      <c r="Q496" s="6" t="s">
        <v>10</v>
      </c>
      <c r="R496" s="1">
        <v>90</v>
      </c>
      <c r="S496" s="1">
        <v>2.5</v>
      </c>
      <c r="T496" s="1" t="str">
        <f t="shared" si="74"/>
        <v>-text 220,163 2.5 90 21.34</v>
      </c>
    </row>
    <row r="497" spans="1:24" x14ac:dyDescent="0.35">
      <c r="A497" s="1">
        <v>262740</v>
      </c>
      <c r="B497" s="7">
        <v>1152153</v>
      </c>
      <c r="C497" s="2">
        <v>268.61700000000002</v>
      </c>
      <c r="D497" s="2">
        <v>269.17500000000001</v>
      </c>
      <c r="E497" s="2">
        <v>0.55800000000000005</v>
      </c>
      <c r="F497" s="2">
        <v>267.94499999999999</v>
      </c>
      <c r="G497" s="2">
        <v>268.46199999999999</v>
      </c>
      <c r="H497" s="2">
        <v>0.51700000000000002</v>
      </c>
      <c r="I497" s="2">
        <v>268.435</v>
      </c>
      <c r="J497" s="2">
        <v>268.09800000000001</v>
      </c>
      <c r="K497" s="15">
        <v>0.36399999999999999</v>
      </c>
      <c r="L497" s="2">
        <v>21.413</v>
      </c>
      <c r="N497" s="7">
        <f t="shared" si="75"/>
        <v>240</v>
      </c>
      <c r="O497" s="1">
        <f t="shared" si="72"/>
        <v>163</v>
      </c>
      <c r="P497" s="1" t="str">
        <f t="shared" si="76"/>
        <v>240,163</v>
      </c>
      <c r="Q497" s="6" t="s">
        <v>10</v>
      </c>
      <c r="R497" s="1">
        <v>90</v>
      </c>
      <c r="S497" s="1">
        <v>2.5</v>
      </c>
      <c r="T497" s="1" t="str">
        <f t="shared" si="74"/>
        <v>-text 240,163 2.5 90 21.413</v>
      </c>
    </row>
    <row r="498" spans="1:24" x14ac:dyDescent="0.35">
      <c r="A498" s="1">
        <v>262760</v>
      </c>
      <c r="B498" s="7">
        <v>1152173</v>
      </c>
      <c r="C498" s="2">
        <v>268.61700000000002</v>
      </c>
      <c r="D498" s="2">
        <v>269.09500000000003</v>
      </c>
      <c r="E498" s="2">
        <v>0.47899999999999998</v>
      </c>
      <c r="F498" s="2">
        <v>267.94499999999999</v>
      </c>
      <c r="G498" s="2">
        <v>268.38200000000001</v>
      </c>
      <c r="H498" s="2">
        <v>0.438</v>
      </c>
      <c r="I498" s="2">
        <v>268.61500000000001</v>
      </c>
      <c r="J498" s="2">
        <v>268.065</v>
      </c>
      <c r="K498" s="15">
        <v>0.318</v>
      </c>
      <c r="L498" s="2">
        <v>21.475000000000001</v>
      </c>
      <c r="N498" s="7">
        <f t="shared" si="75"/>
        <v>260</v>
      </c>
      <c r="O498" s="1">
        <f t="shared" si="72"/>
        <v>163</v>
      </c>
      <c r="P498" s="1" t="str">
        <f t="shared" si="76"/>
        <v>260,163</v>
      </c>
      <c r="Q498" s="6" t="s">
        <v>10</v>
      </c>
      <c r="R498" s="1">
        <v>90</v>
      </c>
      <c r="S498" s="1">
        <v>2.5</v>
      </c>
      <c r="T498" s="1" t="str">
        <f t="shared" si="74"/>
        <v>-text 260,163 2.5 90 21.475</v>
      </c>
    </row>
    <row r="499" spans="1:24" x14ac:dyDescent="0.35">
      <c r="A499" s="1">
        <v>262780</v>
      </c>
      <c r="B499" s="7">
        <v>1152193</v>
      </c>
      <c r="C499" s="2">
        <v>268.61</v>
      </c>
      <c r="D499" s="2">
        <v>269.01499999999999</v>
      </c>
      <c r="E499" s="2">
        <v>0.40500000000000003</v>
      </c>
      <c r="F499" s="2">
        <v>267.93799999999999</v>
      </c>
      <c r="G499" s="2">
        <v>268.30200000000002</v>
      </c>
      <c r="H499" s="2">
        <v>0.36399999999999999</v>
      </c>
      <c r="I499" s="2">
        <v>268.625</v>
      </c>
      <c r="J499" s="2">
        <v>268.35199999999998</v>
      </c>
      <c r="K499" s="15">
        <v>-0.05</v>
      </c>
      <c r="L499" s="2">
        <v>21.553000000000001</v>
      </c>
      <c r="N499" s="7">
        <f t="shared" si="75"/>
        <v>280</v>
      </c>
      <c r="O499" s="1">
        <f t="shared" si="72"/>
        <v>163</v>
      </c>
      <c r="P499" s="1" t="str">
        <f t="shared" si="76"/>
        <v>280,163</v>
      </c>
      <c r="Q499" s="6" t="s">
        <v>10</v>
      </c>
      <c r="R499" s="1">
        <v>90</v>
      </c>
      <c r="S499" s="1">
        <v>2.5</v>
      </c>
      <c r="T499" s="1" t="str">
        <f t="shared" si="74"/>
        <v>-text 280,163 2.5 90 21.553</v>
      </c>
    </row>
    <row r="500" spans="1:24" x14ac:dyDescent="0.35">
      <c r="A500" s="1">
        <v>262800</v>
      </c>
      <c r="B500" s="7">
        <v>1152213</v>
      </c>
      <c r="C500" s="2">
        <v>268.59100000000001</v>
      </c>
      <c r="D500" s="2">
        <v>268.935</v>
      </c>
      <c r="E500" s="2">
        <v>0.34399999999999997</v>
      </c>
      <c r="F500" s="2">
        <v>267.91899999999998</v>
      </c>
      <c r="G500" s="2">
        <v>268.22199999999998</v>
      </c>
      <c r="H500" s="2">
        <v>0.30299999999999999</v>
      </c>
      <c r="I500" s="2">
        <v>269.06400000000002</v>
      </c>
      <c r="J500" s="2">
        <v>268.91699999999997</v>
      </c>
      <c r="K500" s="15">
        <v>-0.69499999999999995</v>
      </c>
      <c r="L500" s="2">
        <v>21.617000000000001</v>
      </c>
      <c r="N500" s="7">
        <f t="shared" si="75"/>
        <v>300</v>
      </c>
      <c r="O500" s="1">
        <f t="shared" si="72"/>
        <v>163</v>
      </c>
      <c r="P500" s="1" t="str">
        <f t="shared" si="76"/>
        <v>300,163</v>
      </c>
      <c r="Q500" s="6" t="s">
        <v>10</v>
      </c>
      <c r="R500" s="1">
        <v>90</v>
      </c>
      <c r="S500" s="1">
        <v>2.5</v>
      </c>
      <c r="T500" s="1" t="str">
        <f t="shared" si="74"/>
        <v>-text 300,163 2.5 90 21.617</v>
      </c>
    </row>
    <row r="501" spans="1:24" x14ac:dyDescent="0.35">
      <c r="A501" s="1">
        <v>262820</v>
      </c>
      <c r="B501" s="7">
        <v>1152233</v>
      </c>
      <c r="C501" s="2">
        <v>268.58300000000003</v>
      </c>
      <c r="D501" s="2">
        <v>268.85500000000002</v>
      </c>
      <c r="E501" s="2">
        <v>0.27200000000000002</v>
      </c>
      <c r="F501" s="2">
        <v>267.911</v>
      </c>
      <c r="G501" s="2">
        <v>268.142</v>
      </c>
      <c r="H501" s="2">
        <v>0.23100000000000001</v>
      </c>
      <c r="I501" s="2">
        <v>268.92</v>
      </c>
      <c r="J501" s="2">
        <v>268.68099999999998</v>
      </c>
      <c r="K501" s="15">
        <v>-0.53800000000000003</v>
      </c>
      <c r="L501" s="2">
        <v>21.698</v>
      </c>
      <c r="N501" s="7">
        <f t="shared" si="75"/>
        <v>320</v>
      </c>
      <c r="O501" s="1">
        <f t="shared" si="72"/>
        <v>163</v>
      </c>
      <c r="P501" s="1" t="str">
        <f t="shared" si="76"/>
        <v>320,163</v>
      </c>
      <c r="Q501" s="6" t="s">
        <v>10</v>
      </c>
      <c r="R501" s="1">
        <v>90</v>
      </c>
      <c r="S501" s="1">
        <v>2.5</v>
      </c>
      <c r="T501" s="1" t="str">
        <f t="shared" si="74"/>
        <v>-text 320,163 2.5 90 21.698</v>
      </c>
    </row>
    <row r="502" spans="1:24" x14ac:dyDescent="0.35">
      <c r="A502" s="1">
        <v>262840</v>
      </c>
      <c r="B502" s="7">
        <v>1152253</v>
      </c>
      <c r="C502" s="2">
        <v>268.57299999999998</v>
      </c>
      <c r="D502" s="2">
        <v>268.77499999999998</v>
      </c>
      <c r="E502" s="2">
        <v>0.20200000000000001</v>
      </c>
      <c r="F502" s="2">
        <v>267.90100000000001</v>
      </c>
      <c r="G502" s="2">
        <v>268.06200000000001</v>
      </c>
      <c r="H502" s="2">
        <v>0.161</v>
      </c>
      <c r="I502" s="2">
        <v>268.84800000000001</v>
      </c>
      <c r="J502" s="2">
        <v>268.82499999999999</v>
      </c>
      <c r="K502" s="15">
        <v>-0.76300000000000001</v>
      </c>
      <c r="L502" s="2">
        <v>21.777999999999999</v>
      </c>
      <c r="N502" s="7">
        <f t="shared" si="75"/>
        <v>340</v>
      </c>
      <c r="O502" s="1">
        <f t="shared" si="72"/>
        <v>163</v>
      </c>
      <c r="P502" s="1" t="str">
        <f t="shared" si="76"/>
        <v>340,163</v>
      </c>
      <c r="Q502" s="6" t="s">
        <v>10</v>
      </c>
      <c r="R502" s="1">
        <v>90</v>
      </c>
      <c r="S502" s="1">
        <v>2.5</v>
      </c>
      <c r="T502" s="1" t="str">
        <f t="shared" si="74"/>
        <v>-text 340,163 2.5 90 21.778</v>
      </c>
    </row>
    <row r="503" spans="1:24" x14ac:dyDescent="0.35">
      <c r="A503" s="1">
        <v>262860</v>
      </c>
      <c r="B503" s="7">
        <v>1152273</v>
      </c>
      <c r="C503" s="2">
        <v>268.60300000000001</v>
      </c>
      <c r="D503" s="2">
        <v>268.69499999999999</v>
      </c>
      <c r="E503" s="2">
        <v>9.1999999999999998E-2</v>
      </c>
      <c r="F503" s="2">
        <v>267.93099999999998</v>
      </c>
      <c r="G503" s="2">
        <v>267.98200000000003</v>
      </c>
      <c r="H503" s="2">
        <v>5.0999999999999997E-2</v>
      </c>
      <c r="I503" s="2">
        <v>269.03199999999998</v>
      </c>
      <c r="J503" s="2">
        <v>268.98399999999998</v>
      </c>
      <c r="K503" s="15">
        <v>-1.002</v>
      </c>
      <c r="L503" s="2">
        <v>21.85</v>
      </c>
      <c r="N503" s="7">
        <f t="shared" si="75"/>
        <v>360</v>
      </c>
      <c r="O503" s="1">
        <f t="shared" si="72"/>
        <v>163</v>
      </c>
      <c r="P503" s="1" t="str">
        <f t="shared" si="76"/>
        <v>360,163</v>
      </c>
      <c r="Q503" s="6" t="s">
        <v>10</v>
      </c>
      <c r="R503" s="1">
        <v>90</v>
      </c>
      <c r="S503" s="1">
        <v>2.5</v>
      </c>
      <c r="T503" s="1" t="str">
        <f t="shared" si="74"/>
        <v>-text 360,163 2.5 90 21.85</v>
      </c>
    </row>
    <row r="504" spans="1:24" x14ac:dyDescent="0.35">
      <c r="A504" s="1">
        <v>262880</v>
      </c>
      <c r="B504" s="7">
        <v>1152293</v>
      </c>
      <c r="C504" s="2">
        <v>268.642</v>
      </c>
      <c r="D504" s="2">
        <v>268.61500000000001</v>
      </c>
      <c r="E504" s="2">
        <v>-2.7E-2</v>
      </c>
      <c r="F504" s="2">
        <v>267.97000000000003</v>
      </c>
      <c r="G504" s="2">
        <v>267.90199999999999</v>
      </c>
      <c r="H504" s="2">
        <v>-6.8000000000000005E-2</v>
      </c>
      <c r="I504" s="2">
        <v>268.923</v>
      </c>
      <c r="J504" s="2">
        <v>268.68900000000002</v>
      </c>
      <c r="K504" s="15">
        <v>-0.78700000000000003</v>
      </c>
      <c r="L504" s="2">
        <v>21.908000000000001</v>
      </c>
      <c r="N504" s="7">
        <f t="shared" si="75"/>
        <v>380</v>
      </c>
      <c r="O504" s="1">
        <f t="shared" si="72"/>
        <v>163</v>
      </c>
      <c r="P504" s="1" t="str">
        <f t="shared" si="76"/>
        <v>380,163</v>
      </c>
      <c r="Q504" s="6" t="s">
        <v>10</v>
      </c>
      <c r="R504" s="1">
        <v>90</v>
      </c>
      <c r="S504" s="1">
        <v>2.5</v>
      </c>
      <c r="T504" s="1" t="str">
        <f t="shared" si="74"/>
        <v>-text 380,163 2.5 90 21.908</v>
      </c>
    </row>
    <row r="505" spans="1:24" x14ac:dyDescent="0.35">
      <c r="A505" s="1">
        <v>262900</v>
      </c>
      <c r="B505" s="7">
        <v>1152313</v>
      </c>
      <c r="C505" s="2">
        <v>268.66199999999998</v>
      </c>
      <c r="D505" s="2">
        <v>268.61200000000002</v>
      </c>
      <c r="E505" s="2">
        <v>-0.05</v>
      </c>
      <c r="F505" s="2">
        <v>267.99</v>
      </c>
      <c r="G505" s="2">
        <v>267.899</v>
      </c>
      <c r="H505" s="2">
        <v>-9.0999999999999998E-2</v>
      </c>
      <c r="I505" s="2">
        <v>268.13900000000001</v>
      </c>
      <c r="J505" s="2">
        <v>268.17</v>
      </c>
      <c r="K505" s="15">
        <v>-0.27100000000000002</v>
      </c>
      <c r="L505" s="2">
        <v>21.97</v>
      </c>
      <c r="N505" s="7">
        <f t="shared" si="75"/>
        <v>400</v>
      </c>
      <c r="O505" s="1">
        <f t="shared" si="72"/>
        <v>163</v>
      </c>
      <c r="P505" s="1" t="str">
        <f t="shared" si="76"/>
        <v>400,163</v>
      </c>
      <c r="Q505" s="6" t="s">
        <v>10</v>
      </c>
      <c r="R505" s="1">
        <v>90</v>
      </c>
      <c r="S505" s="1">
        <v>2.5</v>
      </c>
      <c r="T505" s="1" t="str">
        <f t="shared" si="74"/>
        <v>-text 400,163 2.5 90 21.97</v>
      </c>
    </row>
    <row r="506" spans="1:24" x14ac:dyDescent="0.35">
      <c r="A506" s="1">
        <v>262920</v>
      </c>
      <c r="B506" s="7">
        <v>1152333</v>
      </c>
      <c r="C506" s="2">
        <v>268.654</v>
      </c>
      <c r="D506" s="2">
        <v>268.64</v>
      </c>
      <c r="E506" s="2">
        <v>-1.4E-2</v>
      </c>
      <c r="F506" s="2">
        <v>267.98200000000003</v>
      </c>
      <c r="G506" s="2">
        <v>267.92700000000002</v>
      </c>
      <c r="H506" s="2">
        <v>-5.5E-2</v>
      </c>
      <c r="I506" s="2">
        <v>267.64100000000002</v>
      </c>
      <c r="J506" s="2">
        <v>267.911</v>
      </c>
      <c r="K506" s="15">
        <v>1.7000000000000001E-2</v>
      </c>
      <c r="L506" s="2">
        <v>22.082000000000001</v>
      </c>
      <c r="N506" s="7">
        <f t="shared" si="75"/>
        <v>420</v>
      </c>
      <c r="O506" s="1">
        <f t="shared" si="72"/>
        <v>163</v>
      </c>
      <c r="P506" s="1" t="str">
        <f t="shared" si="76"/>
        <v>420,163</v>
      </c>
      <c r="Q506" s="6" t="s">
        <v>10</v>
      </c>
      <c r="R506" s="1">
        <v>90</v>
      </c>
      <c r="S506" s="1">
        <v>2.5</v>
      </c>
      <c r="T506" s="1" t="str">
        <f t="shared" si="74"/>
        <v>-text 420,163 2.5 90 22.082</v>
      </c>
    </row>
    <row r="507" spans="1:24" x14ac:dyDescent="0.35">
      <c r="A507" s="1">
        <v>262940</v>
      </c>
      <c r="B507" s="7">
        <v>1152353</v>
      </c>
      <c r="C507" s="2">
        <v>268.69099999999997</v>
      </c>
      <c r="D507" s="2">
        <v>268.66800000000001</v>
      </c>
      <c r="E507" s="2">
        <v>-2.1999999999999999E-2</v>
      </c>
      <c r="F507" s="2">
        <v>268.01900000000001</v>
      </c>
      <c r="G507" s="2">
        <v>267.95499999999998</v>
      </c>
      <c r="H507" s="2">
        <v>-6.3E-2</v>
      </c>
      <c r="I507" s="2">
        <v>267.33499999999998</v>
      </c>
      <c r="J507" s="2">
        <v>267.81799999999998</v>
      </c>
      <c r="K507" s="15">
        <v>0.13800000000000001</v>
      </c>
      <c r="L507" s="2">
        <v>22.189</v>
      </c>
      <c r="N507" s="7">
        <f t="shared" si="75"/>
        <v>440</v>
      </c>
      <c r="O507" s="1">
        <f t="shared" si="72"/>
        <v>163</v>
      </c>
      <c r="P507" s="1" t="str">
        <f t="shared" si="76"/>
        <v>440,163</v>
      </c>
      <c r="Q507" s="6" t="s">
        <v>10</v>
      </c>
      <c r="R507" s="1">
        <v>90</v>
      </c>
      <c r="S507" s="1">
        <v>2.5</v>
      </c>
      <c r="T507" s="1" t="str">
        <f t="shared" si="74"/>
        <v>-text 440,163 2.5 90 22.189</v>
      </c>
    </row>
    <row r="508" spans="1:24" x14ac:dyDescent="0.35">
      <c r="A508" s="1">
        <v>262960</v>
      </c>
      <c r="B508" s="7">
        <v>1152373</v>
      </c>
      <c r="C508" s="2">
        <v>268.73399999999998</v>
      </c>
      <c r="D508" s="2">
        <v>268.697</v>
      </c>
      <c r="E508" s="2">
        <v>-3.6999999999999998E-2</v>
      </c>
      <c r="F508" s="2">
        <v>268.06200000000001</v>
      </c>
      <c r="G508" s="2">
        <v>267.98399999999998</v>
      </c>
      <c r="H508" s="2">
        <v>-7.8E-2</v>
      </c>
      <c r="I508" s="2">
        <v>266.85199999999998</v>
      </c>
      <c r="J508" s="2">
        <v>267.63400000000001</v>
      </c>
      <c r="K508" s="15">
        <v>0.35</v>
      </c>
      <c r="L508" s="2">
        <v>22.271000000000001</v>
      </c>
      <c r="N508" s="7">
        <f t="shared" si="75"/>
        <v>460</v>
      </c>
      <c r="O508" s="1">
        <f t="shared" si="72"/>
        <v>163</v>
      </c>
      <c r="P508" s="1" t="str">
        <f t="shared" si="76"/>
        <v>460,163</v>
      </c>
      <c r="Q508" s="6" t="s">
        <v>10</v>
      </c>
      <c r="R508" s="1">
        <v>90</v>
      </c>
      <c r="S508" s="1">
        <v>2.5</v>
      </c>
      <c r="T508" s="1" t="str">
        <f t="shared" si="74"/>
        <v>-text 460,163 2.5 90 22.271</v>
      </c>
    </row>
    <row r="509" spans="1:24" x14ac:dyDescent="0.35">
      <c r="A509" s="1">
        <v>262980</v>
      </c>
      <c r="B509" s="7">
        <v>1152393</v>
      </c>
      <c r="C509" s="2">
        <v>268.80200000000002</v>
      </c>
      <c r="D509" s="2">
        <v>268.72500000000002</v>
      </c>
      <c r="E509" s="2">
        <v>-7.6999999999999999E-2</v>
      </c>
      <c r="F509" s="2">
        <v>268.13</v>
      </c>
      <c r="G509" s="2">
        <v>268.012</v>
      </c>
      <c r="H509" s="2">
        <v>-0.11799999999999999</v>
      </c>
      <c r="I509" s="2">
        <v>266.74599999999998</v>
      </c>
      <c r="J509" s="2">
        <v>267.42500000000001</v>
      </c>
      <c r="K509" s="15">
        <v>0.58699999999999997</v>
      </c>
      <c r="L509" s="2">
        <v>22.398</v>
      </c>
      <c r="N509" s="7">
        <f t="shared" si="75"/>
        <v>480</v>
      </c>
      <c r="O509" s="1">
        <f t="shared" si="72"/>
        <v>163</v>
      </c>
      <c r="P509" s="1" t="str">
        <f t="shared" si="76"/>
        <v>480,163</v>
      </c>
      <c r="Q509" s="6" t="s">
        <v>10</v>
      </c>
      <c r="R509" s="1">
        <v>90</v>
      </c>
      <c r="S509" s="1">
        <v>2.5</v>
      </c>
      <c r="T509" s="1" t="str">
        <f t="shared" si="74"/>
        <v>-text 480,163 2.5 90 22.398</v>
      </c>
    </row>
    <row r="510" spans="1:24" x14ac:dyDescent="0.35">
      <c r="A510" s="1">
        <v>263000</v>
      </c>
      <c r="B510" s="7">
        <v>1152411.7</v>
      </c>
      <c r="C510" s="2">
        <v>268.86</v>
      </c>
      <c r="D510" s="2">
        <v>268.75099999999998</v>
      </c>
      <c r="E510" s="2">
        <v>-0.109</v>
      </c>
      <c r="F510" s="2">
        <v>268.18799999999999</v>
      </c>
      <c r="G510" s="2">
        <v>268.03800000000001</v>
      </c>
      <c r="H510" s="2">
        <v>-0.15</v>
      </c>
      <c r="I510" s="2">
        <v>266.971</v>
      </c>
      <c r="J510" s="2">
        <v>267.5</v>
      </c>
      <c r="K510" s="15">
        <v>0.53800000000000003</v>
      </c>
      <c r="L510" s="2">
        <v>22.611000000000001</v>
      </c>
      <c r="N510" s="7">
        <f t="shared" si="75"/>
        <v>498.69999999995343</v>
      </c>
      <c r="O510" s="1">
        <f t="shared" si="72"/>
        <v>163</v>
      </c>
      <c r="P510" s="1" t="str">
        <f t="shared" si="76"/>
        <v>498.699999999953,163</v>
      </c>
      <c r="Q510" s="6" t="s">
        <v>10</v>
      </c>
      <c r="R510" s="1">
        <v>90</v>
      </c>
      <c r="S510" s="1">
        <v>2.5</v>
      </c>
      <c r="T510" s="1" t="str">
        <f t="shared" si="74"/>
        <v>-text 498.699999999953,163 2.5 90 22.611</v>
      </c>
    </row>
    <row r="511" spans="1:24" s="23" customFormat="1" x14ac:dyDescent="0.35">
      <c r="B511" s="24"/>
      <c r="C511" s="25"/>
      <c r="D511" s="25"/>
      <c r="E511" s="25"/>
      <c r="F511" s="25"/>
      <c r="G511" s="25"/>
      <c r="H511" s="25"/>
      <c r="I511" s="25"/>
      <c r="J511" s="25"/>
      <c r="K511" s="26"/>
      <c r="L511" s="25"/>
      <c r="M511" s="25"/>
      <c r="N511" s="24"/>
      <c r="Q511" s="27"/>
      <c r="U511" s="24"/>
      <c r="V511" s="24"/>
      <c r="W511" s="24"/>
      <c r="X511" s="24"/>
    </row>
    <row r="512" spans="1:24" x14ac:dyDescent="0.35">
      <c r="A512" s="1">
        <v>263000</v>
      </c>
      <c r="B512" s="7">
        <v>1152411.7</v>
      </c>
      <c r="C512" s="2">
        <v>268.86</v>
      </c>
      <c r="D512" s="2">
        <v>268.75099999999998</v>
      </c>
      <c r="E512" s="2">
        <v>-0.109</v>
      </c>
      <c r="F512" s="2">
        <v>268.18799999999999</v>
      </c>
      <c r="G512" s="2">
        <v>268.03800000000001</v>
      </c>
      <c r="H512" s="2">
        <v>-0.15</v>
      </c>
      <c r="I512" s="2">
        <v>266.971</v>
      </c>
      <c r="J512" s="2">
        <v>267.5</v>
      </c>
      <c r="K512" s="15">
        <v>0.53800000000000003</v>
      </c>
      <c r="L512" s="2">
        <v>22.611000000000001</v>
      </c>
      <c r="N512" s="7">
        <v>0</v>
      </c>
      <c r="O512" s="1">
        <v>0</v>
      </c>
      <c r="P512" s="1" t="str">
        <f t="shared" ref="P512:P513" si="77">CONCATENATE(N512,",",O512)</f>
        <v>0,0</v>
      </c>
      <c r="Q512" s="6" t="s">
        <v>10</v>
      </c>
      <c r="R512" s="1">
        <v>90</v>
      </c>
      <c r="S512" s="1">
        <v>2.5</v>
      </c>
      <c r="T512" s="1" t="str">
        <f t="shared" ref="T512:T537" si="78">$Q512&amp;" "&amp;$P512&amp;" "&amp;$S512&amp;" "&amp;$R512&amp;" "&amp;$B512</f>
        <v>-text 0,0 2.5 90 1152411.7</v>
      </c>
      <c r="U512" s="7"/>
      <c r="V512" s="7"/>
      <c r="W512" s="7"/>
      <c r="X512" s="7"/>
    </row>
    <row r="513" spans="1:24" x14ac:dyDescent="0.35">
      <c r="A513" s="1">
        <v>263020</v>
      </c>
      <c r="B513" s="7">
        <v>1152431.7</v>
      </c>
      <c r="C513" s="2">
        <v>268.89100000000002</v>
      </c>
      <c r="D513" s="2">
        <v>268.77999999999997</v>
      </c>
      <c r="E513" s="2">
        <v>-0.111</v>
      </c>
      <c r="F513" s="2">
        <v>268.21899999999999</v>
      </c>
      <c r="G513" s="2">
        <v>268.06700000000001</v>
      </c>
      <c r="H513" s="2">
        <v>-0.152</v>
      </c>
      <c r="I513" s="2">
        <v>267.46600000000001</v>
      </c>
      <c r="J513" s="2">
        <v>267.72699999999998</v>
      </c>
      <c r="K513" s="15">
        <v>0.34</v>
      </c>
      <c r="L513" s="2">
        <v>22.856999999999999</v>
      </c>
      <c r="N513" s="7">
        <f t="shared" ref="N513:N537" si="79">N512+(B513-B512)</f>
        <v>20</v>
      </c>
      <c r="O513" s="1">
        <v>0</v>
      </c>
      <c r="P513" s="1" t="str">
        <f t="shared" si="77"/>
        <v>20,0</v>
      </c>
      <c r="Q513" s="6" t="s">
        <v>10</v>
      </c>
      <c r="R513" s="1">
        <v>90</v>
      </c>
      <c r="S513" s="1">
        <v>2.5</v>
      </c>
      <c r="T513" s="1" t="str">
        <f t="shared" si="78"/>
        <v>-text 20,0 2.5 90 1152431.7</v>
      </c>
      <c r="U513" s="7"/>
      <c r="V513" s="7"/>
      <c r="W513" s="7"/>
      <c r="X513" s="7"/>
    </row>
    <row r="514" spans="1:24" x14ac:dyDescent="0.35">
      <c r="A514" s="1">
        <v>263040</v>
      </c>
      <c r="B514" s="7">
        <v>1152452</v>
      </c>
      <c r="C514" s="2">
        <v>268.91800000000001</v>
      </c>
      <c r="D514" s="2">
        <v>268.80799999999999</v>
      </c>
      <c r="E514" s="2">
        <v>-0.109</v>
      </c>
      <c r="F514" s="2">
        <v>268.24599999999998</v>
      </c>
      <c r="G514" s="2">
        <v>268.09500000000003</v>
      </c>
      <c r="H514" s="2">
        <v>-0.15</v>
      </c>
      <c r="I514" s="2">
        <v>267.75799999999998</v>
      </c>
      <c r="J514" s="2">
        <v>268.024</v>
      </c>
      <c r="K514" s="15">
        <v>7.0999999999999994E-2</v>
      </c>
      <c r="L514" s="2">
        <v>23.312000000000001</v>
      </c>
      <c r="N514" s="7">
        <f t="shared" si="79"/>
        <v>40.300000000046566</v>
      </c>
      <c r="O514" s="1">
        <v>0</v>
      </c>
      <c r="P514" s="1" t="str">
        <f t="shared" ref="P514:P537" si="80">CONCATENATE(N514,",",O514)</f>
        <v>40.3000000000466,0</v>
      </c>
      <c r="Q514" s="6" t="s">
        <v>10</v>
      </c>
      <c r="R514" s="1">
        <v>90</v>
      </c>
      <c r="S514" s="1">
        <v>2.5</v>
      </c>
      <c r="T514" s="1" t="str">
        <f t="shared" si="78"/>
        <v>-text 40.3000000000466,0 2.5 90 1152452</v>
      </c>
      <c r="U514" s="7"/>
      <c r="V514" s="7"/>
      <c r="W514" s="7"/>
      <c r="X514" s="7"/>
    </row>
    <row r="515" spans="1:24" x14ac:dyDescent="0.35">
      <c r="A515" s="1">
        <v>263060</v>
      </c>
      <c r="B515" s="7">
        <v>1152472</v>
      </c>
      <c r="C515" s="2">
        <v>268.94400000000002</v>
      </c>
      <c r="D515" s="2">
        <v>268.83699999999999</v>
      </c>
      <c r="E515" s="2">
        <v>-0.108</v>
      </c>
      <c r="F515" s="2">
        <v>268.27199999999999</v>
      </c>
      <c r="G515" s="2">
        <v>268.12400000000002</v>
      </c>
      <c r="H515" s="2">
        <v>-0.14899999999999999</v>
      </c>
      <c r="I515" s="2">
        <v>268.09500000000003</v>
      </c>
      <c r="J515" s="2">
        <v>268.23500000000001</v>
      </c>
      <c r="K515" s="2">
        <v>-0.112</v>
      </c>
      <c r="L515" s="2">
        <v>23.802</v>
      </c>
      <c r="N515" s="7">
        <f t="shared" si="79"/>
        <v>60.300000000046566</v>
      </c>
      <c r="O515" s="1">
        <v>0</v>
      </c>
      <c r="P515" s="1" t="str">
        <f t="shared" si="80"/>
        <v>60.3000000000466,0</v>
      </c>
      <c r="Q515" s="6" t="s">
        <v>10</v>
      </c>
      <c r="R515" s="1">
        <v>90</v>
      </c>
      <c r="S515" s="1">
        <v>2.5</v>
      </c>
      <c r="T515" s="1" t="str">
        <f t="shared" si="78"/>
        <v>-text 60.3000000000466,0 2.5 90 1152472</v>
      </c>
      <c r="U515" s="7"/>
      <c r="V515" s="7"/>
      <c r="W515" s="7"/>
      <c r="X515" s="7"/>
    </row>
    <row r="516" spans="1:24" x14ac:dyDescent="0.35">
      <c r="A516" s="1">
        <v>263080</v>
      </c>
      <c r="B516" s="7">
        <v>1152492.3</v>
      </c>
      <c r="C516" s="2">
        <v>268.95600000000002</v>
      </c>
      <c r="D516" s="2">
        <v>268.86500000000001</v>
      </c>
      <c r="E516" s="2">
        <v>-9.0999999999999998E-2</v>
      </c>
      <c r="F516" s="2">
        <v>268.28399999999999</v>
      </c>
      <c r="G516" s="2">
        <v>268.15199999999999</v>
      </c>
      <c r="H516" s="2">
        <v>-0.13200000000000001</v>
      </c>
      <c r="I516" s="2">
        <v>268.38</v>
      </c>
      <c r="J516" s="2">
        <v>268.435</v>
      </c>
      <c r="K516" s="2">
        <v>-0.28299999999999997</v>
      </c>
      <c r="L516" s="2">
        <v>24.414999999999999</v>
      </c>
      <c r="N516" s="7">
        <f t="shared" si="79"/>
        <v>80.600000000093132</v>
      </c>
      <c r="O516" s="1">
        <v>0</v>
      </c>
      <c r="P516" s="1" t="str">
        <f t="shared" si="80"/>
        <v>80.6000000000931,0</v>
      </c>
      <c r="Q516" s="6" t="s">
        <v>10</v>
      </c>
      <c r="R516" s="1">
        <v>90</v>
      </c>
      <c r="S516" s="1">
        <v>2.5</v>
      </c>
      <c r="T516" s="1" t="str">
        <f t="shared" si="78"/>
        <v>-text 80.6000000000931,0 2.5 90 1152492.3</v>
      </c>
      <c r="U516" s="7"/>
      <c r="V516" s="7"/>
      <c r="W516" s="7"/>
      <c r="X516" s="7"/>
    </row>
    <row r="517" spans="1:24" x14ac:dyDescent="0.35">
      <c r="A517" s="1">
        <v>263100</v>
      </c>
      <c r="B517" s="7">
        <v>1152512.3999999999</v>
      </c>
      <c r="C517" s="2">
        <v>268.98399999999998</v>
      </c>
      <c r="D517" s="2">
        <v>268.89299999999997</v>
      </c>
      <c r="E517" s="2">
        <v>-9.0999999999999998E-2</v>
      </c>
      <c r="F517" s="2">
        <v>268.31200000000001</v>
      </c>
      <c r="G517" s="2">
        <v>268.18</v>
      </c>
      <c r="H517" s="2">
        <v>-0.13200000000000001</v>
      </c>
      <c r="I517" s="2">
        <v>268.47899999999998</v>
      </c>
      <c r="J517" s="2">
        <v>268.51100000000002</v>
      </c>
      <c r="K517" s="2">
        <v>-0.33</v>
      </c>
      <c r="L517" s="2">
        <v>25.137</v>
      </c>
      <c r="N517" s="7">
        <f t="shared" si="79"/>
        <v>100.69999999995343</v>
      </c>
      <c r="O517" s="1">
        <v>0</v>
      </c>
      <c r="P517" s="1" t="str">
        <f t="shared" si="80"/>
        <v>100.699999999953,0</v>
      </c>
      <c r="Q517" s="6" t="s">
        <v>10</v>
      </c>
      <c r="R517" s="1">
        <v>90</v>
      </c>
      <c r="S517" s="1">
        <v>2.5</v>
      </c>
      <c r="T517" s="1" t="str">
        <f t="shared" si="78"/>
        <v>-text 100.699999999953,0 2.5 90 1152512.4</v>
      </c>
      <c r="U517" s="7"/>
      <c r="V517" s="7"/>
      <c r="W517" s="7"/>
      <c r="X517" s="7"/>
    </row>
    <row r="518" spans="1:24" x14ac:dyDescent="0.35">
      <c r="A518" s="1">
        <v>263120</v>
      </c>
      <c r="B518" s="7">
        <v>1152532.6000000001</v>
      </c>
      <c r="C518" s="2">
        <v>268.97500000000002</v>
      </c>
      <c r="D518" s="2">
        <v>268.92200000000003</v>
      </c>
      <c r="E518" s="2">
        <v>-5.2999999999999999E-2</v>
      </c>
      <c r="F518" s="2">
        <v>268.303</v>
      </c>
      <c r="G518" s="2">
        <v>268.209</v>
      </c>
      <c r="H518" s="2">
        <v>-9.4E-2</v>
      </c>
      <c r="I518" s="2">
        <v>268.63099999999997</v>
      </c>
      <c r="J518" s="2">
        <v>268.65300000000002</v>
      </c>
      <c r="K518" s="2">
        <v>-0.44400000000000001</v>
      </c>
      <c r="L518" s="2">
        <v>25.984000000000002</v>
      </c>
      <c r="N518" s="7">
        <f t="shared" si="79"/>
        <v>120.9000000001397</v>
      </c>
      <c r="O518" s="1">
        <v>0</v>
      </c>
      <c r="P518" s="1" t="str">
        <f t="shared" si="80"/>
        <v>120.90000000014,0</v>
      </c>
      <c r="Q518" s="6" t="s">
        <v>10</v>
      </c>
      <c r="R518" s="1">
        <v>90</v>
      </c>
      <c r="S518" s="1">
        <v>2.5</v>
      </c>
      <c r="T518" s="1" t="str">
        <f t="shared" si="78"/>
        <v>-text 120.90000000014,0 2.5 90 1152532.6</v>
      </c>
      <c r="U518" s="7"/>
      <c r="V518" s="7"/>
      <c r="W518" s="7"/>
      <c r="X518" s="7"/>
    </row>
    <row r="519" spans="1:24" x14ac:dyDescent="0.35">
      <c r="A519" s="1">
        <v>263140</v>
      </c>
      <c r="B519" s="7">
        <v>1152552.6000000001</v>
      </c>
      <c r="C519" s="2">
        <v>268.96800000000002</v>
      </c>
      <c r="D519" s="2">
        <v>268.95</v>
      </c>
      <c r="E519" s="2">
        <v>-1.7999999999999999E-2</v>
      </c>
      <c r="F519" s="2">
        <v>268.29599999999999</v>
      </c>
      <c r="G519" s="2">
        <v>268.23700000000002</v>
      </c>
      <c r="H519" s="2">
        <v>-5.8999999999999997E-2</v>
      </c>
      <c r="I519" s="2">
        <v>268.77100000000002</v>
      </c>
      <c r="J519" s="2">
        <v>268.72300000000001</v>
      </c>
      <c r="K519" s="2">
        <v>-0.48599999999999999</v>
      </c>
      <c r="L519" s="2">
        <v>26.913</v>
      </c>
      <c r="N519" s="7">
        <f t="shared" si="79"/>
        <v>140.9000000001397</v>
      </c>
      <c r="O519" s="1">
        <v>0</v>
      </c>
      <c r="P519" s="1" t="str">
        <f t="shared" si="80"/>
        <v>140.90000000014,0</v>
      </c>
      <c r="Q519" s="6" t="s">
        <v>10</v>
      </c>
      <c r="R519" s="1">
        <v>90</v>
      </c>
      <c r="S519" s="1">
        <v>2.5</v>
      </c>
      <c r="T519" s="1" t="str">
        <f t="shared" si="78"/>
        <v>-text 140.90000000014,0 2.5 90 1152552.6</v>
      </c>
      <c r="U519" s="7"/>
      <c r="V519" s="7"/>
      <c r="W519" s="7"/>
      <c r="X519" s="7"/>
    </row>
    <row r="520" spans="1:24" x14ac:dyDescent="0.35">
      <c r="A520" s="1">
        <v>263160</v>
      </c>
      <c r="B520" s="7">
        <v>1152572.6000000001</v>
      </c>
      <c r="C520" s="2">
        <v>269.012</v>
      </c>
      <c r="D520" s="2">
        <v>268.97800000000001</v>
      </c>
      <c r="E520" s="2">
        <v>-3.3000000000000002E-2</v>
      </c>
      <c r="F520" s="2">
        <v>268.33999999999997</v>
      </c>
      <c r="G520" s="2">
        <v>268.26499999999999</v>
      </c>
      <c r="H520" s="2">
        <v>-7.3999999999999996E-2</v>
      </c>
      <c r="I520" s="2">
        <v>268.666</v>
      </c>
      <c r="J520" s="2">
        <v>268.62700000000001</v>
      </c>
      <c r="K520" s="2">
        <v>-0.36199999999999999</v>
      </c>
      <c r="L520" s="2">
        <v>27.798999999999999</v>
      </c>
      <c r="N520" s="7">
        <f t="shared" si="79"/>
        <v>160.9000000001397</v>
      </c>
      <c r="O520" s="1">
        <v>0</v>
      </c>
      <c r="P520" s="1" t="str">
        <f t="shared" si="80"/>
        <v>160.90000000014,0</v>
      </c>
      <c r="Q520" s="6" t="s">
        <v>10</v>
      </c>
      <c r="R520" s="1">
        <v>90</v>
      </c>
      <c r="S520" s="1">
        <v>2.5</v>
      </c>
      <c r="T520" s="1" t="str">
        <f t="shared" si="78"/>
        <v>-text 160.90000000014,0 2.5 90 1152572.6</v>
      </c>
      <c r="U520" s="7"/>
      <c r="V520" s="7"/>
      <c r="W520" s="7"/>
      <c r="X520" s="7"/>
    </row>
    <row r="521" spans="1:24" x14ac:dyDescent="0.35">
      <c r="A521" s="1">
        <v>263180</v>
      </c>
      <c r="B521" s="7">
        <v>1152593.3999999999</v>
      </c>
      <c r="C521" s="2">
        <v>268.93299999999999</v>
      </c>
      <c r="D521" s="2">
        <v>269.00799999999998</v>
      </c>
      <c r="E521" s="2">
        <v>7.4999999999999997E-2</v>
      </c>
      <c r="F521" s="2">
        <v>268.26100000000002</v>
      </c>
      <c r="G521" s="2">
        <v>268.29500000000002</v>
      </c>
      <c r="H521" s="2">
        <v>3.4000000000000002E-2</v>
      </c>
      <c r="I521" s="2">
        <v>268.745</v>
      </c>
      <c r="J521" s="2">
        <v>268.63900000000001</v>
      </c>
      <c r="K521" s="2">
        <v>-0.34399999999999997</v>
      </c>
      <c r="L521" s="2">
        <v>29.283999999999999</v>
      </c>
      <c r="N521" s="7">
        <f t="shared" si="79"/>
        <v>181.69999999995343</v>
      </c>
      <c r="O521" s="1">
        <v>0</v>
      </c>
      <c r="P521" s="1" t="str">
        <f t="shared" si="80"/>
        <v>181.699999999953,0</v>
      </c>
      <c r="Q521" s="6" t="s">
        <v>10</v>
      </c>
      <c r="R521" s="1">
        <v>90</v>
      </c>
      <c r="S521" s="1">
        <v>2.5</v>
      </c>
      <c r="T521" s="1" t="str">
        <f t="shared" si="78"/>
        <v>-text 181.699999999953,0 2.5 90 1152593.4</v>
      </c>
      <c r="U521" s="7"/>
      <c r="V521" s="7"/>
      <c r="W521" s="7"/>
      <c r="X521" s="7"/>
    </row>
    <row r="522" spans="1:24" x14ac:dyDescent="0.35">
      <c r="A522" s="1">
        <v>263200</v>
      </c>
      <c r="B522" s="7">
        <v>1152613.1000000001</v>
      </c>
      <c r="C522" s="2">
        <v>268.85000000000002</v>
      </c>
      <c r="D522" s="2">
        <v>269.036</v>
      </c>
      <c r="E522" s="2">
        <v>0.185</v>
      </c>
      <c r="F522" s="2">
        <v>268.178</v>
      </c>
      <c r="G522" s="2">
        <v>268.32299999999998</v>
      </c>
      <c r="H522" s="2">
        <v>0.14399999999999999</v>
      </c>
      <c r="I522" s="2">
        <v>269.11799999999999</v>
      </c>
      <c r="J522" s="2">
        <v>269.041</v>
      </c>
      <c r="K522" s="2">
        <v>-0.71799999999999997</v>
      </c>
      <c r="L522" s="2">
        <v>30.581</v>
      </c>
      <c r="N522" s="7">
        <f t="shared" si="79"/>
        <v>201.4000000001397</v>
      </c>
      <c r="O522" s="1">
        <v>0</v>
      </c>
      <c r="P522" s="1" t="str">
        <f t="shared" si="80"/>
        <v>201.40000000014,0</v>
      </c>
      <c r="Q522" s="6" t="s">
        <v>10</v>
      </c>
      <c r="R522" s="1">
        <v>90</v>
      </c>
      <c r="S522" s="1">
        <v>2.5</v>
      </c>
      <c r="T522" s="1" t="str">
        <f t="shared" si="78"/>
        <v>-text 201.40000000014,0 2.5 90 1152613.1</v>
      </c>
      <c r="U522" s="7"/>
      <c r="V522" s="7"/>
      <c r="W522" s="7"/>
      <c r="X522" s="7"/>
    </row>
    <row r="523" spans="1:24" x14ac:dyDescent="0.35">
      <c r="A523" s="1">
        <v>263220</v>
      </c>
      <c r="B523" s="7">
        <v>1152633.1000000001</v>
      </c>
      <c r="C523" s="2">
        <v>268.82600000000002</v>
      </c>
      <c r="D523" s="2">
        <v>269.06400000000002</v>
      </c>
      <c r="E523" s="2">
        <v>0.23799999999999999</v>
      </c>
      <c r="F523" s="2">
        <v>268.154</v>
      </c>
      <c r="G523" s="2">
        <v>268.351</v>
      </c>
      <c r="H523" s="2">
        <v>0.19700000000000001</v>
      </c>
      <c r="I523" s="2">
        <v>269.26799999999997</v>
      </c>
      <c r="J523" s="2">
        <v>269.16199999999998</v>
      </c>
      <c r="K523" s="2">
        <v>-0.81100000000000005</v>
      </c>
      <c r="L523" s="2">
        <v>31.896999999999998</v>
      </c>
      <c r="N523" s="7">
        <f t="shared" si="79"/>
        <v>221.4000000001397</v>
      </c>
      <c r="O523" s="1">
        <v>0</v>
      </c>
      <c r="P523" s="1" t="str">
        <f t="shared" si="80"/>
        <v>221.40000000014,0</v>
      </c>
      <c r="Q523" s="6" t="s">
        <v>10</v>
      </c>
      <c r="R523" s="1">
        <v>90</v>
      </c>
      <c r="S523" s="1">
        <v>2.5</v>
      </c>
      <c r="T523" s="1" t="str">
        <f t="shared" si="78"/>
        <v>-text 221.40000000014,0 2.5 90 1152633.1</v>
      </c>
      <c r="U523" s="7"/>
      <c r="V523" s="7"/>
      <c r="W523" s="7"/>
      <c r="X523" s="7"/>
    </row>
    <row r="524" spans="1:24" x14ac:dyDescent="0.35">
      <c r="A524" s="1">
        <v>263240</v>
      </c>
      <c r="B524" s="7">
        <v>1152653.1000000001</v>
      </c>
      <c r="C524" s="2">
        <v>268.84800000000001</v>
      </c>
      <c r="D524" s="2">
        <v>269.09199999999998</v>
      </c>
      <c r="E524" s="2">
        <v>0.24399999999999999</v>
      </c>
      <c r="F524" s="2">
        <v>268.17599999999999</v>
      </c>
      <c r="G524" s="2">
        <v>268.37900000000002</v>
      </c>
      <c r="H524" s="2">
        <v>0.20300000000000001</v>
      </c>
      <c r="I524" s="2">
        <v>268.98</v>
      </c>
      <c r="J524" s="2">
        <v>268.81599999999997</v>
      </c>
      <c r="K524" s="2">
        <v>-0.436</v>
      </c>
      <c r="L524" s="2">
        <v>33.188000000000002</v>
      </c>
      <c r="N524" s="7">
        <f t="shared" si="79"/>
        <v>241.4000000001397</v>
      </c>
      <c r="O524" s="1">
        <v>0</v>
      </c>
      <c r="P524" s="1" t="str">
        <f t="shared" si="80"/>
        <v>241.40000000014,0</v>
      </c>
      <c r="Q524" s="6" t="s">
        <v>10</v>
      </c>
      <c r="R524" s="1">
        <v>90</v>
      </c>
      <c r="S524" s="1">
        <v>2.5</v>
      </c>
      <c r="T524" s="1" t="str">
        <f t="shared" si="78"/>
        <v>-text 241.40000000014,0 2.5 90 1152653.1</v>
      </c>
      <c r="U524" s="7"/>
      <c r="V524" s="7"/>
      <c r="W524" s="7"/>
      <c r="X524" s="7"/>
    </row>
    <row r="525" spans="1:24" x14ac:dyDescent="0.35">
      <c r="A525" s="1">
        <v>263260</v>
      </c>
      <c r="B525" s="7">
        <v>1152673.1000000001</v>
      </c>
      <c r="C525" s="2">
        <v>268.84199999999998</v>
      </c>
      <c r="D525" s="2">
        <v>269.12</v>
      </c>
      <c r="E525" s="2">
        <v>0.27800000000000002</v>
      </c>
      <c r="F525" s="2">
        <v>268.17</v>
      </c>
      <c r="G525" s="2">
        <v>268.40699999999998</v>
      </c>
      <c r="H525" s="2">
        <v>0.23699999999999999</v>
      </c>
      <c r="I525" s="2">
        <v>268.80500000000001</v>
      </c>
      <c r="J525" s="2">
        <v>269.18799999999999</v>
      </c>
      <c r="K525" s="2">
        <v>-0.78</v>
      </c>
      <c r="L525" s="2">
        <v>34.46</v>
      </c>
      <c r="N525" s="7">
        <f t="shared" si="79"/>
        <v>261.4000000001397</v>
      </c>
      <c r="O525" s="1">
        <v>0</v>
      </c>
      <c r="P525" s="1" t="str">
        <f t="shared" si="80"/>
        <v>261.40000000014,0</v>
      </c>
      <c r="Q525" s="6" t="s">
        <v>10</v>
      </c>
      <c r="R525" s="1">
        <v>90</v>
      </c>
      <c r="S525" s="1">
        <v>2.5</v>
      </c>
      <c r="T525" s="1" t="str">
        <f t="shared" si="78"/>
        <v>-text 261.40000000014,0 2.5 90 1152673.1</v>
      </c>
      <c r="U525" s="7"/>
      <c r="V525" s="7"/>
      <c r="W525" s="7"/>
      <c r="X525" s="7"/>
    </row>
    <row r="526" spans="1:24" x14ac:dyDescent="0.35">
      <c r="A526" s="1">
        <v>263280</v>
      </c>
      <c r="B526" s="7">
        <v>1152692.8</v>
      </c>
      <c r="C526" s="2">
        <v>268.86799999999999</v>
      </c>
      <c r="D526" s="2">
        <v>269.14800000000002</v>
      </c>
      <c r="E526" s="2">
        <v>0.28000000000000003</v>
      </c>
      <c r="F526" s="2">
        <v>268.19600000000003</v>
      </c>
      <c r="G526" s="2">
        <v>268.435</v>
      </c>
      <c r="H526" s="2">
        <v>0.23899999999999999</v>
      </c>
      <c r="I526" s="2">
        <v>269.017</v>
      </c>
      <c r="J526" s="2">
        <v>268.94400000000002</v>
      </c>
      <c r="K526" s="2">
        <v>-0.50800000000000001</v>
      </c>
      <c r="L526" s="2">
        <v>35.567</v>
      </c>
      <c r="N526" s="7">
        <f t="shared" si="79"/>
        <v>281.10000000009313</v>
      </c>
      <c r="O526" s="1">
        <v>0</v>
      </c>
      <c r="P526" s="1" t="str">
        <f t="shared" si="80"/>
        <v>281.100000000093,0</v>
      </c>
      <c r="Q526" s="6" t="s">
        <v>10</v>
      </c>
      <c r="R526" s="1">
        <v>90</v>
      </c>
      <c r="S526" s="1">
        <v>2.5</v>
      </c>
      <c r="T526" s="1" t="str">
        <f t="shared" si="78"/>
        <v>-text 281.100000000093,0 2.5 90 1152692.8</v>
      </c>
      <c r="U526" s="7"/>
      <c r="V526" s="7"/>
      <c r="W526" s="7"/>
      <c r="X526" s="7"/>
    </row>
    <row r="527" spans="1:24" x14ac:dyDescent="0.35">
      <c r="A527" s="1">
        <v>263300</v>
      </c>
      <c r="B527" s="7">
        <v>1152712.7</v>
      </c>
      <c r="C527" s="2">
        <v>268.88600000000002</v>
      </c>
      <c r="D527" s="2">
        <v>269.17599999999999</v>
      </c>
      <c r="E527" s="2">
        <v>0.28999999999999998</v>
      </c>
      <c r="F527" s="2">
        <v>268.214</v>
      </c>
      <c r="G527" s="2">
        <v>268.46300000000002</v>
      </c>
      <c r="H527" s="2">
        <v>0.249</v>
      </c>
      <c r="I527" s="2">
        <v>268.85500000000002</v>
      </c>
      <c r="J527" s="2">
        <v>269.089</v>
      </c>
      <c r="K527" s="2">
        <v>-0.626</v>
      </c>
      <c r="L527" s="2">
        <v>36.609000000000002</v>
      </c>
      <c r="N527" s="7">
        <f t="shared" si="79"/>
        <v>301</v>
      </c>
      <c r="O527" s="1">
        <v>0</v>
      </c>
      <c r="P527" s="1" t="str">
        <f t="shared" si="80"/>
        <v>301,0</v>
      </c>
      <c r="Q527" s="6" t="s">
        <v>10</v>
      </c>
      <c r="R527" s="1">
        <v>90</v>
      </c>
      <c r="S527" s="1">
        <v>2.5</v>
      </c>
      <c r="T527" s="1" t="str">
        <f t="shared" si="78"/>
        <v>-text 301,0 2.5 90 1152712.7</v>
      </c>
      <c r="U527" s="7"/>
      <c r="V527" s="7"/>
      <c r="W527" s="7"/>
      <c r="X527" s="7"/>
    </row>
    <row r="528" spans="1:24" x14ac:dyDescent="0.35">
      <c r="A528" s="1">
        <v>263320</v>
      </c>
      <c r="B528" s="7">
        <v>1152734</v>
      </c>
      <c r="C528" s="2">
        <v>268.91500000000002</v>
      </c>
      <c r="D528" s="2">
        <v>269.20600000000002</v>
      </c>
      <c r="E528" s="2">
        <v>0.29099999999999998</v>
      </c>
      <c r="F528" s="2">
        <v>268.24299999999999</v>
      </c>
      <c r="G528" s="2">
        <v>268.49299999999999</v>
      </c>
      <c r="H528" s="2">
        <v>0.25</v>
      </c>
      <c r="I528" s="2">
        <v>268.87200000000001</v>
      </c>
      <c r="J528" s="2">
        <v>268.928</v>
      </c>
      <c r="K528" s="2">
        <v>-0.434</v>
      </c>
      <c r="L528" s="2">
        <v>38.021999999999998</v>
      </c>
      <c r="N528" s="7">
        <f t="shared" si="79"/>
        <v>322.30000000004657</v>
      </c>
      <c r="O528" s="1">
        <v>0</v>
      </c>
      <c r="P528" s="1" t="str">
        <f t="shared" si="80"/>
        <v>322.300000000047,0</v>
      </c>
      <c r="Q528" s="6" t="s">
        <v>10</v>
      </c>
      <c r="R528" s="1">
        <v>90</v>
      </c>
      <c r="S528" s="1">
        <v>2.5</v>
      </c>
      <c r="T528" s="1" t="str">
        <f t="shared" si="78"/>
        <v>-text 322.300000000047,0 2.5 90 1152734</v>
      </c>
      <c r="U528" s="7"/>
      <c r="V528" s="7"/>
      <c r="W528" s="7"/>
      <c r="X528" s="7"/>
    </row>
    <row r="529" spans="1:24" x14ac:dyDescent="0.35">
      <c r="A529" s="1">
        <v>263340</v>
      </c>
      <c r="B529" s="7">
        <v>1152751.3</v>
      </c>
      <c r="C529" s="2">
        <v>268.95999999999998</v>
      </c>
      <c r="D529" s="2">
        <v>269.23099999999999</v>
      </c>
      <c r="E529" s="2">
        <v>0.27100000000000002</v>
      </c>
      <c r="F529" s="2">
        <v>268.28800000000001</v>
      </c>
      <c r="G529" s="2">
        <v>268.51799999999997</v>
      </c>
      <c r="H529" s="2">
        <v>0.23</v>
      </c>
      <c r="I529" s="2">
        <v>268.99400000000003</v>
      </c>
      <c r="J529" s="2">
        <v>269.04599999999999</v>
      </c>
      <c r="K529" s="2">
        <v>-0.52800000000000002</v>
      </c>
      <c r="L529" s="2">
        <v>39.159999999999997</v>
      </c>
      <c r="N529" s="7">
        <f t="shared" si="79"/>
        <v>339.60000000009313</v>
      </c>
      <c r="O529" s="1">
        <v>0</v>
      </c>
      <c r="P529" s="1" t="str">
        <f t="shared" si="80"/>
        <v>339.600000000093,0</v>
      </c>
      <c r="Q529" s="6" t="s">
        <v>10</v>
      </c>
      <c r="R529" s="1">
        <v>90</v>
      </c>
      <c r="S529" s="1">
        <v>2.5</v>
      </c>
      <c r="T529" s="1" t="str">
        <f t="shared" si="78"/>
        <v>-text 339.600000000093,0 2.5 90 1152751.3</v>
      </c>
      <c r="U529" s="7"/>
      <c r="V529" s="7"/>
      <c r="W529" s="7"/>
      <c r="X529" s="7"/>
    </row>
    <row r="530" spans="1:24" x14ac:dyDescent="0.35">
      <c r="A530" s="1">
        <v>263360</v>
      </c>
      <c r="B530" s="7">
        <v>1152771</v>
      </c>
      <c r="C530" s="2">
        <v>268.96600000000001</v>
      </c>
      <c r="D530" s="2">
        <v>269.25900000000001</v>
      </c>
      <c r="E530" s="2">
        <v>0.29199999999999998</v>
      </c>
      <c r="F530" s="2">
        <v>268.29399999999998</v>
      </c>
      <c r="G530" s="2">
        <v>268.54599999999999</v>
      </c>
      <c r="H530" s="2">
        <v>0.251</v>
      </c>
      <c r="I530" s="2">
        <v>269.13799999999998</v>
      </c>
      <c r="J530" s="2">
        <v>269.19</v>
      </c>
      <c r="K530" s="2">
        <v>-0.64500000000000002</v>
      </c>
      <c r="L530" s="2">
        <v>39.371000000000002</v>
      </c>
      <c r="N530" s="7">
        <f t="shared" si="79"/>
        <v>359.30000000004657</v>
      </c>
      <c r="O530" s="1">
        <v>0</v>
      </c>
      <c r="P530" s="1" t="str">
        <f t="shared" si="80"/>
        <v>359.300000000047,0</v>
      </c>
      <c r="Q530" s="6" t="s">
        <v>10</v>
      </c>
      <c r="R530" s="1">
        <v>90</v>
      </c>
      <c r="S530" s="1">
        <v>2.5</v>
      </c>
      <c r="T530" s="1" t="str">
        <f t="shared" si="78"/>
        <v>-text 359.300000000047,0 2.5 90 1152771</v>
      </c>
      <c r="U530" s="7"/>
      <c r="V530" s="7"/>
      <c r="W530" s="7"/>
      <c r="X530" s="7"/>
    </row>
    <row r="531" spans="1:24" x14ac:dyDescent="0.35">
      <c r="A531" s="1">
        <v>263380</v>
      </c>
      <c r="B531" s="7">
        <v>1152791</v>
      </c>
      <c r="C531" s="2">
        <v>268.959</v>
      </c>
      <c r="D531" s="2">
        <v>269.28699999999998</v>
      </c>
      <c r="E531" s="2">
        <v>0.32800000000000001</v>
      </c>
      <c r="F531" s="2">
        <v>268.28699999999998</v>
      </c>
      <c r="G531" s="2">
        <v>268.57400000000001</v>
      </c>
      <c r="H531" s="2">
        <v>0.28699999999999998</v>
      </c>
      <c r="I531" s="2">
        <v>269.12900000000002</v>
      </c>
      <c r="J531" s="2">
        <v>269.10199999999998</v>
      </c>
      <c r="K531" s="2">
        <v>-0.52800000000000002</v>
      </c>
      <c r="L531" s="2">
        <v>39.482999999999997</v>
      </c>
      <c r="N531" s="7">
        <f t="shared" si="79"/>
        <v>379.30000000004657</v>
      </c>
      <c r="O531" s="1">
        <v>0</v>
      </c>
      <c r="P531" s="1" t="str">
        <f t="shared" si="80"/>
        <v>379.300000000047,0</v>
      </c>
      <c r="Q531" s="6" t="s">
        <v>10</v>
      </c>
      <c r="R531" s="1">
        <v>90</v>
      </c>
      <c r="S531" s="1">
        <v>2.5</v>
      </c>
      <c r="T531" s="1" t="str">
        <f t="shared" si="78"/>
        <v>-text 379.300000000047,0 2.5 90 1152791</v>
      </c>
      <c r="U531" s="7"/>
      <c r="V531" s="7"/>
      <c r="W531" s="7"/>
      <c r="X531" s="7"/>
    </row>
    <row r="532" spans="1:24" x14ac:dyDescent="0.35">
      <c r="A532" s="1">
        <v>263400</v>
      </c>
      <c r="B532" s="7">
        <v>1152812.6000000001</v>
      </c>
      <c r="C532" s="2">
        <v>268.94799999999998</v>
      </c>
      <c r="D532" s="2">
        <v>269.31700000000001</v>
      </c>
      <c r="E532" s="2">
        <v>0.37</v>
      </c>
      <c r="F532" s="2">
        <v>268.27600000000001</v>
      </c>
      <c r="G532" s="2">
        <v>268.60399999999998</v>
      </c>
      <c r="H532" s="2">
        <v>0.32900000000000001</v>
      </c>
      <c r="I532" s="2">
        <v>268.81400000000002</v>
      </c>
      <c r="J532" s="2">
        <v>268.839</v>
      </c>
      <c r="K532" s="2">
        <v>-0.23400000000000001</v>
      </c>
      <c r="L532" s="2">
        <v>40.176000000000002</v>
      </c>
      <c r="N532" s="7">
        <f t="shared" si="79"/>
        <v>400.9000000001397</v>
      </c>
      <c r="O532" s="1">
        <v>0</v>
      </c>
      <c r="P532" s="1" t="str">
        <f t="shared" si="80"/>
        <v>400.90000000014,0</v>
      </c>
      <c r="Q532" s="6" t="s">
        <v>10</v>
      </c>
      <c r="R532" s="1">
        <v>90</v>
      </c>
      <c r="S532" s="1">
        <v>2.5</v>
      </c>
      <c r="T532" s="1" t="str">
        <f t="shared" si="78"/>
        <v>-text 400.90000000014,0 2.5 90 1152812.6</v>
      </c>
      <c r="U532" s="7"/>
      <c r="V532" s="7"/>
      <c r="W532" s="7"/>
      <c r="X532" s="7"/>
    </row>
    <row r="533" spans="1:24" x14ac:dyDescent="0.35">
      <c r="A533" s="1">
        <v>263420</v>
      </c>
      <c r="B533" s="7">
        <v>1152831.8</v>
      </c>
      <c r="C533" s="2">
        <v>268.95499999999998</v>
      </c>
      <c r="D533" s="2">
        <v>269.34399999999999</v>
      </c>
      <c r="E533" s="2">
        <v>0.39</v>
      </c>
      <c r="F533" s="2">
        <v>268.28300000000002</v>
      </c>
      <c r="G533" s="2">
        <v>268.63099999999997</v>
      </c>
      <c r="H533" s="2">
        <v>0.34899999999999998</v>
      </c>
      <c r="I533" s="2">
        <v>268.77999999999997</v>
      </c>
      <c r="J533" s="2">
        <v>269.07600000000002</v>
      </c>
      <c r="K533" s="2">
        <v>-0.44400000000000001</v>
      </c>
      <c r="L533" s="2">
        <v>40.781999999999996</v>
      </c>
      <c r="N533" s="7">
        <f t="shared" si="79"/>
        <v>420.10000000009313</v>
      </c>
      <c r="O533" s="1">
        <v>0</v>
      </c>
      <c r="P533" s="1" t="str">
        <f t="shared" si="80"/>
        <v>420.100000000093,0</v>
      </c>
      <c r="Q533" s="6" t="s">
        <v>10</v>
      </c>
      <c r="R533" s="1">
        <v>90</v>
      </c>
      <c r="S533" s="1">
        <v>2.5</v>
      </c>
      <c r="T533" s="1" t="str">
        <f t="shared" si="78"/>
        <v>-text 420.100000000093,0 2.5 90 1152831.8</v>
      </c>
      <c r="U533" s="7"/>
      <c r="V533" s="7"/>
      <c r="W533" s="7"/>
      <c r="X533" s="7"/>
    </row>
    <row r="534" spans="1:24" x14ac:dyDescent="0.35">
      <c r="A534" s="1">
        <v>263440</v>
      </c>
      <c r="B534" s="7">
        <v>1152851.2</v>
      </c>
      <c r="C534" s="2">
        <v>268.96899999999999</v>
      </c>
      <c r="D534" s="2">
        <v>269.37200000000001</v>
      </c>
      <c r="E534" s="2">
        <v>0.40300000000000002</v>
      </c>
      <c r="F534" s="2">
        <v>268.29700000000003</v>
      </c>
      <c r="G534" s="2">
        <v>268.65899999999999</v>
      </c>
      <c r="H534" s="2">
        <v>0.36199999999999999</v>
      </c>
      <c r="I534" s="2">
        <v>268.77800000000002</v>
      </c>
      <c r="J534" s="2">
        <v>268.81299999999999</v>
      </c>
      <c r="K534" s="2">
        <v>-0.154</v>
      </c>
      <c r="L534" s="2">
        <v>41.082999999999998</v>
      </c>
      <c r="N534" s="7">
        <f t="shared" si="79"/>
        <v>439.5</v>
      </c>
      <c r="O534" s="1">
        <v>0</v>
      </c>
      <c r="P534" s="1" t="str">
        <f t="shared" si="80"/>
        <v>439.5,0</v>
      </c>
      <c r="Q534" s="6" t="s">
        <v>10</v>
      </c>
      <c r="R534" s="1">
        <v>90</v>
      </c>
      <c r="S534" s="1">
        <v>2.5</v>
      </c>
      <c r="T534" s="1" t="str">
        <f t="shared" si="78"/>
        <v>-text 439.5,0 2.5 90 1152851.2</v>
      </c>
      <c r="U534" s="7"/>
      <c r="V534" s="7"/>
      <c r="W534" s="7"/>
      <c r="X534" s="7"/>
    </row>
    <row r="535" spans="1:24" x14ac:dyDescent="0.35">
      <c r="A535" s="1">
        <v>263460</v>
      </c>
      <c r="B535" s="7">
        <v>1152871</v>
      </c>
      <c r="C535" s="2">
        <v>268.97500000000002</v>
      </c>
      <c r="D535" s="2">
        <v>269.39999999999998</v>
      </c>
      <c r="E535" s="2">
        <v>0.42499999999999999</v>
      </c>
      <c r="F535" s="2">
        <v>268.303</v>
      </c>
      <c r="G535" s="2">
        <v>268.68700000000001</v>
      </c>
      <c r="H535" s="2">
        <v>0.38400000000000001</v>
      </c>
      <c r="I535" s="2">
        <v>268.92500000000001</v>
      </c>
      <c r="J535" s="2">
        <v>268.58499999999998</v>
      </c>
      <c r="K535" s="15">
        <v>0.10199999999999999</v>
      </c>
      <c r="L535" s="2">
        <v>41.238</v>
      </c>
      <c r="N535" s="7">
        <f t="shared" si="79"/>
        <v>459.30000000004657</v>
      </c>
      <c r="O535" s="1">
        <v>0</v>
      </c>
      <c r="P535" s="1" t="str">
        <f t="shared" si="80"/>
        <v>459.300000000047,0</v>
      </c>
      <c r="Q535" s="6" t="s">
        <v>10</v>
      </c>
      <c r="R535" s="1">
        <v>90</v>
      </c>
      <c r="S535" s="1">
        <v>2.5</v>
      </c>
      <c r="T535" s="1" t="str">
        <f t="shared" si="78"/>
        <v>-text 459.300000000047,0 2.5 90 1152871</v>
      </c>
      <c r="U535" s="7"/>
      <c r="V535" s="7"/>
      <c r="W535" s="7"/>
      <c r="X535" s="7"/>
    </row>
    <row r="536" spans="1:24" x14ac:dyDescent="0.35">
      <c r="A536" s="1">
        <v>263480</v>
      </c>
      <c r="B536" s="7">
        <v>1152890.8999999999</v>
      </c>
      <c r="C536" s="2">
        <v>269.06400000000002</v>
      </c>
      <c r="D536" s="2">
        <v>269.428</v>
      </c>
      <c r="E536" s="2">
        <v>0.36399999999999999</v>
      </c>
      <c r="F536" s="2">
        <v>268.392</v>
      </c>
      <c r="G536" s="2">
        <v>268.71499999999997</v>
      </c>
      <c r="H536" s="2">
        <v>0.32300000000000001</v>
      </c>
      <c r="I536" s="2">
        <v>269.14</v>
      </c>
      <c r="J536" s="2">
        <v>269.15600000000001</v>
      </c>
      <c r="K536" s="2">
        <v>-0.441</v>
      </c>
      <c r="L536" s="2">
        <v>41.347000000000001</v>
      </c>
      <c r="N536" s="7">
        <f t="shared" si="79"/>
        <v>479.19999999995343</v>
      </c>
      <c r="O536" s="1">
        <v>0</v>
      </c>
      <c r="P536" s="1" t="str">
        <f t="shared" si="80"/>
        <v>479.199999999953,0</v>
      </c>
      <c r="Q536" s="6" t="s">
        <v>10</v>
      </c>
      <c r="R536" s="1">
        <v>90</v>
      </c>
      <c r="S536" s="1">
        <v>2.5</v>
      </c>
      <c r="T536" s="1" t="str">
        <f t="shared" si="78"/>
        <v>-text 479.199999999953,0 2.5 90 1152890.9</v>
      </c>
      <c r="U536" s="7"/>
      <c r="V536" s="7"/>
      <c r="W536" s="7"/>
      <c r="X536" s="7"/>
    </row>
    <row r="537" spans="1:24" x14ac:dyDescent="0.35">
      <c r="A537" s="1">
        <v>263500</v>
      </c>
      <c r="B537" s="7">
        <v>1152910.8</v>
      </c>
      <c r="C537" s="2">
        <v>269.08</v>
      </c>
      <c r="D537" s="2">
        <v>269.45600000000002</v>
      </c>
      <c r="E537" s="2">
        <v>0.376</v>
      </c>
      <c r="F537" s="2">
        <v>268.40800000000002</v>
      </c>
      <c r="G537" s="2">
        <v>268.74299999999999</v>
      </c>
      <c r="H537" s="2">
        <v>0.33500000000000002</v>
      </c>
      <c r="I537" s="2">
        <v>269.25</v>
      </c>
      <c r="J537" s="2">
        <v>268.976</v>
      </c>
      <c r="K537" s="2">
        <v>-0.23300000000000001</v>
      </c>
      <c r="L537" s="2">
        <v>41.439</v>
      </c>
      <c r="N537" s="7">
        <f t="shared" si="79"/>
        <v>499.10000000009313</v>
      </c>
      <c r="O537" s="1">
        <v>0</v>
      </c>
      <c r="P537" s="1" t="str">
        <f t="shared" si="80"/>
        <v>499.100000000093,0</v>
      </c>
      <c r="Q537" s="6" t="s">
        <v>10</v>
      </c>
      <c r="R537" s="1">
        <v>90</v>
      </c>
      <c r="S537" s="1">
        <v>2.5</v>
      </c>
      <c r="T537" s="1" t="str">
        <f t="shared" si="78"/>
        <v>-text 499.100000000093,0 2.5 90 1152910.8</v>
      </c>
      <c r="U537" s="7"/>
      <c r="V537" s="7"/>
      <c r="W537" s="7"/>
      <c r="X537" s="7"/>
    </row>
    <row r="538" spans="1:24" s="10" customFormat="1" x14ac:dyDescent="0.35">
      <c r="B538" s="11"/>
      <c r="C538" s="9"/>
      <c r="D538" s="9"/>
      <c r="E538" s="9"/>
      <c r="F538" s="9"/>
      <c r="G538" s="9"/>
      <c r="H538" s="9"/>
      <c r="I538" s="9"/>
      <c r="J538" s="9"/>
      <c r="K538" s="16"/>
      <c r="L538" s="9"/>
      <c r="M538" s="9"/>
      <c r="N538" s="11"/>
      <c r="Q538" s="12"/>
      <c r="U538" s="11"/>
      <c r="V538" s="11"/>
      <c r="W538" s="11"/>
      <c r="X538" s="11"/>
    </row>
    <row r="539" spans="1:24" x14ac:dyDescent="0.35">
      <c r="A539" s="1">
        <v>263500</v>
      </c>
      <c r="B539" s="7">
        <v>1152910.8</v>
      </c>
      <c r="C539" s="2">
        <v>269.08</v>
      </c>
      <c r="D539" s="2">
        <v>269.45600000000002</v>
      </c>
      <c r="E539" s="2">
        <v>0.376</v>
      </c>
      <c r="F539" s="2">
        <v>268.40800000000002</v>
      </c>
      <c r="G539" s="2">
        <v>268.74299999999999</v>
      </c>
      <c r="H539" s="2">
        <v>0.33500000000000002</v>
      </c>
      <c r="I539" s="2">
        <v>269.25</v>
      </c>
      <c r="J539" s="2">
        <v>268.976</v>
      </c>
      <c r="K539" s="2">
        <v>-0.23300000000000001</v>
      </c>
      <c r="L539" s="2">
        <v>41.439</v>
      </c>
      <c r="N539" s="7">
        <v>0</v>
      </c>
      <c r="O539" s="1">
        <v>0</v>
      </c>
      <c r="P539" s="1" t="str">
        <f t="shared" ref="P539:P553" si="81">CONCATENATE(N539,",",O539)</f>
        <v>0,0</v>
      </c>
      <c r="Q539" s="6" t="s">
        <v>10</v>
      </c>
      <c r="R539" s="1">
        <v>90</v>
      </c>
      <c r="S539" s="1">
        <v>2.5</v>
      </c>
      <c r="T539" s="1" t="str">
        <f t="shared" ref="T539:T564" si="82">$Q539&amp;" "&amp;$P539&amp;" "&amp;$S539&amp;" "&amp;$R539&amp;" "&amp;$B539</f>
        <v>-text 0,0 2.5 90 1152910.8</v>
      </c>
      <c r="U539" s="7"/>
      <c r="V539" s="7"/>
      <c r="W539" s="7"/>
      <c r="X539" s="7"/>
    </row>
    <row r="540" spans="1:24" x14ac:dyDescent="0.35">
      <c r="A540" s="1">
        <v>263520</v>
      </c>
      <c r="B540" s="7">
        <v>1152930.8</v>
      </c>
      <c r="C540" s="2">
        <v>269.07799999999997</v>
      </c>
      <c r="D540" s="2">
        <v>269.48399999999998</v>
      </c>
      <c r="E540" s="2">
        <v>0.40699999999999997</v>
      </c>
      <c r="F540" s="2">
        <v>268.40600000000001</v>
      </c>
      <c r="G540" s="2">
        <v>268.77100000000002</v>
      </c>
      <c r="H540" s="2">
        <v>0.36599999999999999</v>
      </c>
      <c r="I540" s="2">
        <v>269.21600000000001</v>
      </c>
      <c r="J540" s="2">
        <v>269.17700000000002</v>
      </c>
      <c r="K540" s="2">
        <v>-0.40500000000000003</v>
      </c>
      <c r="L540" s="2">
        <v>41.536000000000001</v>
      </c>
      <c r="N540" s="7">
        <f t="shared" ref="N540:N564" si="83">N539+(B540-B539)</f>
        <v>20</v>
      </c>
      <c r="O540" s="1">
        <v>0</v>
      </c>
      <c r="P540" s="1" t="str">
        <f t="shared" si="81"/>
        <v>20,0</v>
      </c>
      <c r="Q540" s="6" t="s">
        <v>10</v>
      </c>
      <c r="R540" s="1">
        <v>90</v>
      </c>
      <c r="S540" s="1">
        <v>2.5</v>
      </c>
      <c r="T540" s="1" t="str">
        <f t="shared" si="82"/>
        <v>-text 20,0 2.5 90 1152930.8</v>
      </c>
      <c r="U540" s="7"/>
      <c r="V540" s="7"/>
      <c r="W540" s="7"/>
      <c r="X540" s="7"/>
    </row>
    <row r="541" spans="1:24" x14ac:dyDescent="0.35">
      <c r="A541" s="1">
        <v>263540</v>
      </c>
      <c r="B541" s="7">
        <v>1152950.8999999999</v>
      </c>
      <c r="C541" s="2">
        <v>269.084</v>
      </c>
      <c r="D541" s="2">
        <v>269.51299999999998</v>
      </c>
      <c r="E541" s="2">
        <v>0.42899999999999999</v>
      </c>
      <c r="F541" s="2">
        <v>268.41199999999998</v>
      </c>
      <c r="G541" s="2">
        <v>268.8</v>
      </c>
      <c r="H541" s="2">
        <v>0.38800000000000001</v>
      </c>
      <c r="I541" s="2">
        <v>269.04199999999997</v>
      </c>
      <c r="J541" s="2">
        <v>268.96800000000002</v>
      </c>
      <c r="K541" s="2">
        <v>-0.16800000000000001</v>
      </c>
      <c r="L541" s="2">
        <v>41.581000000000003</v>
      </c>
      <c r="N541" s="7">
        <f t="shared" si="83"/>
        <v>40.099999999860302</v>
      </c>
      <c r="O541" s="1">
        <v>0</v>
      </c>
      <c r="P541" s="1" t="str">
        <f t="shared" si="81"/>
        <v>40.0999999998603,0</v>
      </c>
      <c r="Q541" s="6" t="s">
        <v>10</v>
      </c>
      <c r="R541" s="1">
        <v>90</v>
      </c>
      <c r="S541" s="1">
        <v>2.5</v>
      </c>
      <c r="T541" s="1" t="str">
        <f t="shared" si="82"/>
        <v>-text 40.0999999998603,0 2.5 90 1152950.9</v>
      </c>
      <c r="U541" s="7"/>
      <c r="V541" s="7"/>
      <c r="W541" s="7"/>
      <c r="X541" s="7"/>
    </row>
    <row r="542" spans="1:24" x14ac:dyDescent="0.35">
      <c r="A542" s="1">
        <v>263560</v>
      </c>
      <c r="B542" s="7">
        <v>1152970.8999999999</v>
      </c>
      <c r="C542" s="2">
        <v>269.08600000000001</v>
      </c>
      <c r="D542" s="2">
        <v>269.541</v>
      </c>
      <c r="E542" s="2">
        <v>0.45500000000000002</v>
      </c>
      <c r="F542" s="2">
        <v>268.41399999999999</v>
      </c>
      <c r="G542" s="2">
        <v>268.82799999999997</v>
      </c>
      <c r="H542" s="2">
        <v>0.41399999999999998</v>
      </c>
      <c r="I542" s="2">
        <v>268.99200000000002</v>
      </c>
      <c r="J542" s="2">
        <v>268.93</v>
      </c>
      <c r="K542" s="2">
        <v>-0.10199999999999999</v>
      </c>
      <c r="L542" s="2">
        <v>41.661000000000001</v>
      </c>
      <c r="N542" s="7">
        <f t="shared" si="83"/>
        <v>60.099999999860302</v>
      </c>
      <c r="O542" s="1">
        <v>0</v>
      </c>
      <c r="P542" s="1" t="str">
        <f t="shared" si="81"/>
        <v>60.0999999998603,0</v>
      </c>
      <c r="Q542" s="6" t="s">
        <v>10</v>
      </c>
      <c r="R542" s="1">
        <v>90</v>
      </c>
      <c r="S542" s="1">
        <v>2.5</v>
      </c>
      <c r="T542" s="1" t="str">
        <f t="shared" si="82"/>
        <v>-text 60.0999999998603,0 2.5 90 1152970.9</v>
      </c>
      <c r="U542" s="7"/>
      <c r="V542" s="7"/>
      <c r="W542" s="7"/>
      <c r="X542" s="7"/>
    </row>
    <row r="543" spans="1:24" x14ac:dyDescent="0.35">
      <c r="A543" s="1">
        <v>263580</v>
      </c>
      <c r="B543" s="7">
        <v>1152990.8999999999</v>
      </c>
      <c r="C543" s="2">
        <v>269.10000000000002</v>
      </c>
      <c r="D543" s="2">
        <v>269.56400000000002</v>
      </c>
      <c r="E543" s="2">
        <v>0.46400000000000002</v>
      </c>
      <c r="F543" s="2">
        <v>268.428</v>
      </c>
      <c r="G543" s="2">
        <v>268.851</v>
      </c>
      <c r="H543" s="2">
        <v>0.42299999999999999</v>
      </c>
      <c r="I543" s="2">
        <v>269.14299999999997</v>
      </c>
      <c r="J543" s="2">
        <v>269.09300000000002</v>
      </c>
      <c r="K543" s="2">
        <v>-0.24199999999999999</v>
      </c>
      <c r="L543" s="2">
        <v>41.734999999999999</v>
      </c>
      <c r="N543" s="7">
        <f t="shared" si="83"/>
        <v>80.099999999860302</v>
      </c>
      <c r="O543" s="1">
        <v>0</v>
      </c>
      <c r="P543" s="1" t="str">
        <f t="shared" si="81"/>
        <v>80.0999999998603,0</v>
      </c>
      <c r="Q543" s="6" t="s">
        <v>10</v>
      </c>
      <c r="R543" s="1">
        <v>90</v>
      </c>
      <c r="S543" s="1">
        <v>2.5</v>
      </c>
      <c r="T543" s="1" t="str">
        <f t="shared" si="82"/>
        <v>-text 80.0999999998603,0 2.5 90 1152990.9</v>
      </c>
      <c r="U543" s="7"/>
      <c r="V543" s="7"/>
      <c r="W543" s="7"/>
      <c r="X543" s="7"/>
    </row>
    <row r="544" spans="1:24" x14ac:dyDescent="0.35">
      <c r="A544" s="1">
        <v>263600</v>
      </c>
      <c r="B544" s="7">
        <v>1153010.8</v>
      </c>
      <c r="C544" s="2">
        <v>269.12400000000002</v>
      </c>
      <c r="D544" s="2">
        <v>269.577</v>
      </c>
      <c r="E544" s="2">
        <v>0.45300000000000001</v>
      </c>
      <c r="F544" s="2">
        <v>268.452</v>
      </c>
      <c r="G544" s="2">
        <v>268.86399999999998</v>
      </c>
      <c r="H544" s="2">
        <v>0.41199999999999998</v>
      </c>
      <c r="I544" s="2">
        <v>269.14999999999998</v>
      </c>
      <c r="J544" s="2">
        <v>269.14800000000002</v>
      </c>
      <c r="K544" s="2">
        <v>-0.28499999999999998</v>
      </c>
      <c r="L544" s="2">
        <v>41.813000000000002</v>
      </c>
      <c r="N544" s="7">
        <f t="shared" si="83"/>
        <v>100</v>
      </c>
      <c r="O544" s="1">
        <v>0</v>
      </c>
      <c r="P544" s="1" t="str">
        <f t="shared" si="81"/>
        <v>100,0</v>
      </c>
      <c r="Q544" s="6" t="s">
        <v>10</v>
      </c>
      <c r="R544" s="1">
        <v>90</v>
      </c>
      <c r="S544" s="1">
        <v>2.5</v>
      </c>
      <c r="T544" s="1" t="str">
        <f t="shared" si="82"/>
        <v>-text 100,0 2.5 90 1153010.8</v>
      </c>
      <c r="U544" s="7"/>
      <c r="V544" s="7"/>
      <c r="W544" s="7"/>
      <c r="X544" s="7"/>
    </row>
    <row r="545" spans="1:24" x14ac:dyDescent="0.35">
      <c r="A545" s="1">
        <v>263620</v>
      </c>
      <c r="B545" s="7">
        <v>1153030.8</v>
      </c>
      <c r="C545" s="2">
        <v>269.16000000000003</v>
      </c>
      <c r="D545" s="2">
        <v>269.589</v>
      </c>
      <c r="E545" s="2">
        <v>0.42899999999999999</v>
      </c>
      <c r="F545" s="2">
        <v>268.488</v>
      </c>
      <c r="G545" s="2">
        <v>268.87599999999998</v>
      </c>
      <c r="H545" s="2">
        <v>0.38800000000000001</v>
      </c>
      <c r="I545" s="2">
        <v>269.07299999999998</v>
      </c>
      <c r="J545" s="2">
        <v>269.07100000000003</v>
      </c>
      <c r="K545" s="2">
        <v>-0.19500000000000001</v>
      </c>
      <c r="L545" s="2">
        <v>41.859000000000002</v>
      </c>
      <c r="N545" s="7">
        <f t="shared" si="83"/>
        <v>120</v>
      </c>
      <c r="O545" s="1">
        <v>0</v>
      </c>
      <c r="P545" s="1" t="str">
        <f t="shared" si="81"/>
        <v>120,0</v>
      </c>
      <c r="Q545" s="6" t="s">
        <v>10</v>
      </c>
      <c r="R545" s="1">
        <v>90</v>
      </c>
      <c r="S545" s="1">
        <v>2.5</v>
      </c>
      <c r="T545" s="1" t="str">
        <f t="shared" si="82"/>
        <v>-text 120,0 2.5 90 1153030.8</v>
      </c>
      <c r="U545" s="7"/>
      <c r="V545" s="7"/>
      <c r="W545" s="7"/>
      <c r="X545" s="7"/>
    </row>
    <row r="546" spans="1:24" x14ac:dyDescent="0.35">
      <c r="A546" s="1">
        <v>263640</v>
      </c>
      <c r="B546" s="7">
        <v>1153050.8999999999</v>
      </c>
      <c r="C546" s="2">
        <v>269.11599999999999</v>
      </c>
      <c r="D546" s="2">
        <v>269.60199999999998</v>
      </c>
      <c r="E546" s="2">
        <v>0.48599999999999999</v>
      </c>
      <c r="F546" s="2">
        <v>268.44400000000002</v>
      </c>
      <c r="G546" s="2">
        <v>268.88900000000001</v>
      </c>
      <c r="H546" s="2">
        <v>0.44500000000000001</v>
      </c>
      <c r="I546" s="2">
        <v>269.05399999999997</v>
      </c>
      <c r="J546" s="2">
        <v>269.03100000000001</v>
      </c>
      <c r="K546" s="2">
        <v>-0.14199999999999999</v>
      </c>
      <c r="L546" s="2">
        <v>41.932000000000002</v>
      </c>
      <c r="N546" s="7">
        <f t="shared" si="83"/>
        <v>140.0999999998603</v>
      </c>
      <c r="O546" s="1">
        <v>0</v>
      </c>
      <c r="P546" s="1" t="str">
        <f t="shared" si="81"/>
        <v>140.09999999986,0</v>
      </c>
      <c r="Q546" s="6" t="s">
        <v>10</v>
      </c>
      <c r="R546" s="1">
        <v>90</v>
      </c>
      <c r="S546" s="1">
        <v>2.5</v>
      </c>
      <c r="T546" s="1" t="str">
        <f t="shared" si="82"/>
        <v>-text 140.09999999986,0 2.5 90 1153050.9</v>
      </c>
      <c r="U546" s="7"/>
      <c r="V546" s="7"/>
      <c r="W546" s="7"/>
      <c r="X546" s="7"/>
    </row>
    <row r="547" spans="1:24" x14ac:dyDescent="0.35">
      <c r="A547" s="1">
        <v>263660</v>
      </c>
      <c r="B547" s="7">
        <v>1153070.8</v>
      </c>
      <c r="C547" s="2">
        <v>269.06099999999998</v>
      </c>
      <c r="D547" s="2">
        <v>269.61500000000001</v>
      </c>
      <c r="E547" s="2">
        <v>0.55400000000000005</v>
      </c>
      <c r="F547" s="2">
        <v>268.38900000000001</v>
      </c>
      <c r="G547" s="2">
        <v>268.90199999999999</v>
      </c>
      <c r="H547" s="2">
        <v>0.51300000000000001</v>
      </c>
      <c r="I547" s="2">
        <v>269.161</v>
      </c>
      <c r="J547" s="2">
        <v>269.19900000000001</v>
      </c>
      <c r="K547" s="2">
        <v>-0.29799999999999999</v>
      </c>
      <c r="L547" s="2">
        <v>41.991</v>
      </c>
      <c r="N547" s="7">
        <f t="shared" si="83"/>
        <v>160</v>
      </c>
      <c r="O547" s="1">
        <v>0</v>
      </c>
      <c r="P547" s="1" t="str">
        <f t="shared" si="81"/>
        <v>160,0</v>
      </c>
      <c r="Q547" s="6" t="s">
        <v>10</v>
      </c>
      <c r="R547" s="1">
        <v>90</v>
      </c>
      <c r="S547" s="1">
        <v>2.5</v>
      </c>
      <c r="T547" s="1" t="str">
        <f t="shared" si="82"/>
        <v>-text 160,0 2.5 90 1153070.8</v>
      </c>
      <c r="U547" s="7"/>
      <c r="V547" s="7"/>
      <c r="W547" s="7"/>
      <c r="X547" s="7"/>
    </row>
    <row r="548" spans="1:24" x14ac:dyDescent="0.35">
      <c r="A548" s="1">
        <v>263680</v>
      </c>
      <c r="B548" s="7">
        <v>1153091.2</v>
      </c>
      <c r="C548" s="2">
        <v>269.12299999999999</v>
      </c>
      <c r="D548" s="2">
        <v>269.62700000000001</v>
      </c>
      <c r="E548" s="2">
        <v>0.504</v>
      </c>
      <c r="F548" s="2">
        <v>268.45100000000002</v>
      </c>
      <c r="G548" s="2">
        <v>268.91399999999999</v>
      </c>
      <c r="H548" s="2">
        <v>0.46300000000000002</v>
      </c>
      <c r="I548" s="2">
        <v>269.17500000000001</v>
      </c>
      <c r="J548" s="2">
        <v>269.125</v>
      </c>
      <c r="K548" s="2">
        <v>-0.21099999999999999</v>
      </c>
      <c r="L548" s="2">
        <v>42.189</v>
      </c>
      <c r="N548" s="7">
        <f t="shared" si="83"/>
        <v>180.39999999990687</v>
      </c>
      <c r="O548" s="1">
        <v>0</v>
      </c>
      <c r="P548" s="1" t="str">
        <f t="shared" si="81"/>
        <v>180.399999999907,0</v>
      </c>
      <c r="Q548" s="6" t="s">
        <v>10</v>
      </c>
      <c r="R548" s="1">
        <v>90</v>
      </c>
      <c r="S548" s="1">
        <v>2.5</v>
      </c>
      <c r="T548" s="1" t="str">
        <f t="shared" si="82"/>
        <v>-text 180.399999999907,0 2.5 90 1153091.2</v>
      </c>
      <c r="U548" s="7"/>
      <c r="V548" s="7"/>
      <c r="W548" s="7"/>
      <c r="X548" s="7"/>
    </row>
    <row r="549" spans="1:24" x14ac:dyDescent="0.35">
      <c r="A549" s="1">
        <v>263700</v>
      </c>
      <c r="B549" s="7">
        <v>1153110.8</v>
      </c>
      <c r="C549" s="2">
        <v>269.14800000000002</v>
      </c>
      <c r="D549" s="2">
        <v>269.64</v>
      </c>
      <c r="E549" s="2">
        <v>0.49199999999999999</v>
      </c>
      <c r="F549" s="2">
        <v>268.476</v>
      </c>
      <c r="G549" s="2">
        <v>268.92700000000002</v>
      </c>
      <c r="H549" s="2">
        <v>0.45100000000000001</v>
      </c>
      <c r="I549" s="2">
        <v>269.17099999999999</v>
      </c>
      <c r="J549" s="2">
        <v>269.11399999999998</v>
      </c>
      <c r="K549" s="2">
        <v>-0.187</v>
      </c>
      <c r="L549" s="2">
        <v>42.253</v>
      </c>
      <c r="N549" s="7">
        <f t="shared" si="83"/>
        <v>200</v>
      </c>
      <c r="O549" s="1">
        <v>0</v>
      </c>
      <c r="P549" s="1" t="str">
        <f t="shared" si="81"/>
        <v>200,0</v>
      </c>
      <c r="Q549" s="6" t="s">
        <v>10</v>
      </c>
      <c r="R549" s="1">
        <v>90</v>
      </c>
      <c r="S549" s="1">
        <v>2.5</v>
      </c>
      <c r="T549" s="1" t="str">
        <f t="shared" si="82"/>
        <v>-text 200,0 2.5 90 1153110.8</v>
      </c>
      <c r="U549" s="7"/>
      <c r="V549" s="7"/>
      <c r="W549" s="7"/>
      <c r="X549" s="7"/>
    </row>
    <row r="550" spans="1:24" x14ac:dyDescent="0.35">
      <c r="A550" s="1">
        <v>263720</v>
      </c>
      <c r="B550" s="7">
        <v>1153130.8999999999</v>
      </c>
      <c r="C550" s="2">
        <v>269.12</v>
      </c>
      <c r="D550" s="2">
        <v>269.65199999999999</v>
      </c>
      <c r="E550" s="2">
        <v>0.53200000000000003</v>
      </c>
      <c r="F550" s="2">
        <v>268.44799999999998</v>
      </c>
      <c r="G550" s="2">
        <v>268.93900000000002</v>
      </c>
      <c r="H550" s="2">
        <v>0.49099999999999999</v>
      </c>
      <c r="I550" s="2">
        <v>269.14299999999997</v>
      </c>
      <c r="J550" s="2">
        <v>269.12200000000001</v>
      </c>
      <c r="K550" s="2">
        <v>-0.182</v>
      </c>
      <c r="L550" s="2">
        <v>42.338000000000001</v>
      </c>
      <c r="N550" s="7">
        <f t="shared" si="83"/>
        <v>220.0999999998603</v>
      </c>
      <c r="O550" s="1">
        <v>0</v>
      </c>
      <c r="P550" s="1" t="str">
        <f t="shared" si="81"/>
        <v>220.09999999986,0</v>
      </c>
      <c r="Q550" s="6" t="s">
        <v>10</v>
      </c>
      <c r="R550" s="1">
        <v>90</v>
      </c>
      <c r="S550" s="1">
        <v>2.5</v>
      </c>
      <c r="T550" s="1" t="str">
        <f t="shared" si="82"/>
        <v>-text 220.09999999986,0 2.5 90 1153130.9</v>
      </c>
      <c r="U550" s="7"/>
      <c r="V550" s="7"/>
      <c r="W550" s="7"/>
      <c r="X550" s="7"/>
    </row>
    <row r="551" spans="1:24" x14ac:dyDescent="0.35">
      <c r="A551" s="1">
        <v>263740</v>
      </c>
      <c r="B551" s="7">
        <v>1153150.8</v>
      </c>
      <c r="C551" s="2">
        <v>269.09800000000001</v>
      </c>
      <c r="D551" s="2">
        <v>269.66500000000002</v>
      </c>
      <c r="E551" s="2">
        <v>0.56699999999999995</v>
      </c>
      <c r="F551" s="2">
        <v>268.42599999999999</v>
      </c>
      <c r="G551" s="2">
        <v>268.952</v>
      </c>
      <c r="H551" s="2">
        <v>0.52600000000000002</v>
      </c>
      <c r="I551" s="2">
        <v>269.06799999999998</v>
      </c>
      <c r="J551" s="2">
        <v>269.30200000000002</v>
      </c>
      <c r="K551" s="2">
        <v>-0.35</v>
      </c>
      <c r="L551" s="2">
        <v>42.399000000000001</v>
      </c>
      <c r="N551" s="7">
        <f t="shared" si="83"/>
        <v>240</v>
      </c>
      <c r="O551" s="1">
        <v>0</v>
      </c>
      <c r="P551" s="1" t="str">
        <f t="shared" si="81"/>
        <v>240,0</v>
      </c>
      <c r="Q551" s="6" t="s">
        <v>10</v>
      </c>
      <c r="R551" s="1">
        <v>90</v>
      </c>
      <c r="S551" s="1">
        <v>2.5</v>
      </c>
      <c r="T551" s="1" t="str">
        <f t="shared" si="82"/>
        <v>-text 240,0 2.5 90 1153150.8</v>
      </c>
      <c r="U551" s="7"/>
      <c r="V551" s="7"/>
      <c r="W551" s="7"/>
      <c r="X551" s="7"/>
    </row>
    <row r="552" spans="1:24" x14ac:dyDescent="0.35">
      <c r="A552" s="1">
        <v>263760</v>
      </c>
      <c r="B552" s="7">
        <v>1153170.8999999999</v>
      </c>
      <c r="C552" s="2">
        <v>269.096</v>
      </c>
      <c r="D552" s="2">
        <v>269.678</v>
      </c>
      <c r="E552" s="2">
        <v>0.58199999999999996</v>
      </c>
      <c r="F552" s="2">
        <v>268.42399999999998</v>
      </c>
      <c r="G552" s="2">
        <v>268.96499999999997</v>
      </c>
      <c r="H552" s="2">
        <v>0.54100000000000004</v>
      </c>
      <c r="I552" s="2">
        <v>269.14400000000001</v>
      </c>
      <c r="J552" s="2">
        <v>269.22000000000003</v>
      </c>
      <c r="K552" s="2">
        <v>-0.255</v>
      </c>
      <c r="L552" s="2">
        <v>42.468000000000004</v>
      </c>
      <c r="N552" s="7">
        <f t="shared" si="83"/>
        <v>260.0999999998603</v>
      </c>
      <c r="O552" s="1">
        <v>0</v>
      </c>
      <c r="P552" s="1" t="str">
        <f t="shared" si="81"/>
        <v>260.09999999986,0</v>
      </c>
      <c r="Q552" s="6" t="s">
        <v>10</v>
      </c>
      <c r="R552" s="1">
        <v>90</v>
      </c>
      <c r="S552" s="1">
        <v>2.5</v>
      </c>
      <c r="T552" s="1" t="str">
        <f t="shared" si="82"/>
        <v>-text 260.09999999986,0 2.5 90 1153170.9</v>
      </c>
      <c r="U552" s="7"/>
      <c r="V552" s="7"/>
      <c r="W552" s="7"/>
      <c r="X552" s="7"/>
    </row>
    <row r="553" spans="1:24" x14ac:dyDescent="0.35">
      <c r="A553" s="1">
        <v>263780</v>
      </c>
      <c r="B553" s="7">
        <v>1153190.8999999999</v>
      </c>
      <c r="C553" s="2">
        <v>269.08300000000003</v>
      </c>
      <c r="D553" s="2">
        <v>269.69</v>
      </c>
      <c r="E553" s="2">
        <v>0.60699999999999998</v>
      </c>
      <c r="F553" s="2">
        <v>268.411</v>
      </c>
      <c r="G553" s="2">
        <v>268.97699999999998</v>
      </c>
      <c r="H553" s="2">
        <v>0.56599999999999995</v>
      </c>
      <c r="I553" s="2">
        <v>269.22699999999998</v>
      </c>
      <c r="J553" s="2">
        <v>269.19099999999997</v>
      </c>
      <c r="K553" s="2">
        <v>-0.21299999999999999</v>
      </c>
      <c r="L553" s="2">
        <v>42.539000000000001</v>
      </c>
      <c r="N553" s="7">
        <f t="shared" si="83"/>
        <v>280.0999999998603</v>
      </c>
      <c r="O553" s="1">
        <v>0</v>
      </c>
      <c r="P553" s="1" t="str">
        <f t="shared" si="81"/>
        <v>280.09999999986,0</v>
      </c>
      <c r="Q553" s="6" t="s">
        <v>10</v>
      </c>
      <c r="R553" s="1">
        <v>90</v>
      </c>
      <c r="S553" s="1">
        <v>2.5</v>
      </c>
      <c r="T553" s="1" t="str">
        <f t="shared" si="82"/>
        <v>-text 280.09999999986,0 2.5 90 1153190.9</v>
      </c>
      <c r="U553" s="7"/>
      <c r="V553" s="7"/>
      <c r="W553" s="7"/>
      <c r="X553" s="7"/>
    </row>
    <row r="554" spans="1:24" x14ac:dyDescent="0.35">
      <c r="A554" s="1">
        <v>263800</v>
      </c>
      <c r="B554" s="7">
        <v>1153210.8</v>
      </c>
      <c r="C554" s="2">
        <v>269.065</v>
      </c>
      <c r="D554" s="2">
        <v>269.70299999999997</v>
      </c>
      <c r="E554" s="2">
        <v>0.63800000000000001</v>
      </c>
      <c r="F554" s="2">
        <v>268.39299999999997</v>
      </c>
      <c r="G554" s="2">
        <v>268.99</v>
      </c>
      <c r="H554" s="2">
        <v>0.59699999999999998</v>
      </c>
      <c r="I554" s="2">
        <v>269.17599999999999</v>
      </c>
      <c r="J554" s="2">
        <v>269.16399999999999</v>
      </c>
      <c r="K554" s="2">
        <v>-0.17399999999999999</v>
      </c>
      <c r="L554" s="2">
        <v>42.575000000000003</v>
      </c>
      <c r="N554" s="7">
        <f t="shared" si="83"/>
        <v>300</v>
      </c>
      <c r="O554" s="1">
        <v>0</v>
      </c>
      <c r="P554" s="1" t="str">
        <f t="shared" ref="P554:P623" si="84">CONCATENATE(N554,",",O554)</f>
        <v>300,0</v>
      </c>
      <c r="Q554" s="6" t="s">
        <v>10</v>
      </c>
      <c r="R554" s="1">
        <v>90</v>
      </c>
      <c r="S554" s="1">
        <v>2.5</v>
      </c>
      <c r="T554" s="1" t="str">
        <f t="shared" si="82"/>
        <v>-text 300,0 2.5 90 1153210.8</v>
      </c>
      <c r="U554" s="7"/>
      <c r="V554" s="7"/>
      <c r="W554" s="7"/>
      <c r="X554" s="7"/>
    </row>
    <row r="555" spans="1:24" x14ac:dyDescent="0.35">
      <c r="A555" s="1">
        <v>263820</v>
      </c>
      <c r="B555" s="7">
        <v>1153230.8</v>
      </c>
      <c r="C555" s="2">
        <v>269.05799999999999</v>
      </c>
      <c r="D555" s="2">
        <v>269.71600000000001</v>
      </c>
      <c r="E555" s="2">
        <v>0.65800000000000003</v>
      </c>
      <c r="F555" s="2">
        <v>268.38600000000002</v>
      </c>
      <c r="G555" s="2">
        <v>269.00299999999999</v>
      </c>
      <c r="H555" s="2">
        <v>0.61699999999999999</v>
      </c>
      <c r="I555" s="2">
        <v>269.08</v>
      </c>
      <c r="J555" s="2">
        <v>269.00700000000001</v>
      </c>
      <c r="K555" s="2">
        <v>-4.0000000000000001E-3</v>
      </c>
      <c r="L555" s="2">
        <v>42.615000000000002</v>
      </c>
      <c r="N555" s="7">
        <f t="shared" si="83"/>
        <v>320</v>
      </c>
      <c r="O555" s="1">
        <v>0</v>
      </c>
      <c r="P555" s="1" t="str">
        <f t="shared" si="84"/>
        <v>320,0</v>
      </c>
      <c r="Q555" s="6" t="s">
        <v>10</v>
      </c>
      <c r="R555" s="1">
        <v>90</v>
      </c>
      <c r="S555" s="1">
        <v>2.5</v>
      </c>
      <c r="T555" s="1" t="str">
        <f t="shared" si="82"/>
        <v>-text 320,0 2.5 90 1153230.8</v>
      </c>
      <c r="U555" s="7"/>
      <c r="V555" s="7"/>
      <c r="W555" s="7"/>
      <c r="X555" s="7"/>
    </row>
    <row r="556" spans="1:24" x14ac:dyDescent="0.35">
      <c r="A556" s="1">
        <v>263840</v>
      </c>
      <c r="B556" s="7">
        <v>1153250.8999999999</v>
      </c>
      <c r="C556" s="2">
        <v>269.07400000000001</v>
      </c>
      <c r="D556" s="2">
        <v>269.72800000000001</v>
      </c>
      <c r="E556" s="2">
        <v>0.65500000000000003</v>
      </c>
      <c r="F556" s="2">
        <v>268.40199999999999</v>
      </c>
      <c r="G556" s="2">
        <v>269.01499999999999</v>
      </c>
      <c r="H556" s="2">
        <v>0.61399999999999999</v>
      </c>
      <c r="I556" s="2">
        <v>269.07</v>
      </c>
      <c r="J556" s="2">
        <v>269.03100000000001</v>
      </c>
      <c r="K556" s="2">
        <v>-1.4999999999999999E-2</v>
      </c>
      <c r="L556" s="2">
        <v>42.701000000000001</v>
      </c>
      <c r="N556" s="7">
        <f t="shared" si="83"/>
        <v>340.0999999998603</v>
      </c>
      <c r="O556" s="1">
        <v>0</v>
      </c>
      <c r="P556" s="1" t="str">
        <f t="shared" si="84"/>
        <v>340.09999999986,0</v>
      </c>
      <c r="Q556" s="6" t="s">
        <v>10</v>
      </c>
      <c r="R556" s="1">
        <v>90</v>
      </c>
      <c r="S556" s="1">
        <v>2.5</v>
      </c>
      <c r="T556" s="1" t="str">
        <f t="shared" si="82"/>
        <v>-text 340.09999999986,0 2.5 90 1153250.9</v>
      </c>
      <c r="U556" s="7"/>
      <c r="V556" s="7"/>
      <c r="W556" s="7"/>
      <c r="X556" s="7"/>
    </row>
    <row r="557" spans="1:24" x14ac:dyDescent="0.35">
      <c r="A557" s="1">
        <v>263860</v>
      </c>
      <c r="B557" s="7">
        <v>1153270.8</v>
      </c>
      <c r="C557" s="2">
        <v>269.101</v>
      </c>
      <c r="D557" s="2">
        <v>269.74099999999999</v>
      </c>
      <c r="E557" s="2">
        <v>0.64</v>
      </c>
      <c r="F557" s="2">
        <v>268.42899999999997</v>
      </c>
      <c r="G557" s="2">
        <v>269.02800000000002</v>
      </c>
      <c r="H557" s="2">
        <v>0.59899999999999998</v>
      </c>
      <c r="I557" s="2">
        <v>269.10000000000002</v>
      </c>
      <c r="J557" s="2">
        <v>269.06900000000002</v>
      </c>
      <c r="K557" s="2">
        <v>-4.1000000000000002E-2</v>
      </c>
      <c r="L557" s="2">
        <v>42.759</v>
      </c>
      <c r="N557" s="7">
        <f t="shared" si="83"/>
        <v>360</v>
      </c>
      <c r="O557" s="1">
        <v>0</v>
      </c>
      <c r="P557" s="1" t="str">
        <f t="shared" si="84"/>
        <v>360,0</v>
      </c>
      <c r="Q557" s="6" t="s">
        <v>10</v>
      </c>
      <c r="R557" s="1">
        <v>90</v>
      </c>
      <c r="S557" s="1">
        <v>2.5</v>
      </c>
      <c r="T557" s="1" t="str">
        <f t="shared" si="82"/>
        <v>-text 360,0 2.5 90 1153270.8</v>
      </c>
      <c r="U557" s="7"/>
      <c r="V557" s="7"/>
      <c r="W557" s="7"/>
      <c r="X557" s="7"/>
    </row>
    <row r="558" spans="1:24" x14ac:dyDescent="0.35">
      <c r="A558" s="1">
        <v>263880</v>
      </c>
      <c r="B558" s="7">
        <v>1153290.7</v>
      </c>
      <c r="C558" s="2">
        <v>269.12599999999998</v>
      </c>
      <c r="D558" s="2">
        <v>269.75299999999999</v>
      </c>
      <c r="E558" s="2">
        <v>0.628</v>
      </c>
      <c r="F558" s="2">
        <v>268.45400000000001</v>
      </c>
      <c r="G558" s="2">
        <v>269.04000000000002</v>
      </c>
      <c r="H558" s="2">
        <v>0.58699999999999997</v>
      </c>
      <c r="I558" s="2">
        <v>269.13200000000001</v>
      </c>
      <c r="J558" s="2">
        <v>269.00900000000001</v>
      </c>
      <c r="K558" s="15">
        <v>3.1E-2</v>
      </c>
      <c r="L558" s="2">
        <v>42.756</v>
      </c>
      <c r="N558" s="7">
        <f t="shared" si="83"/>
        <v>379.89999999990687</v>
      </c>
      <c r="O558" s="1">
        <v>0</v>
      </c>
      <c r="P558" s="1" t="str">
        <f t="shared" si="84"/>
        <v>379.899999999907,0</v>
      </c>
      <c r="Q558" s="6" t="s">
        <v>10</v>
      </c>
      <c r="R558" s="1">
        <v>90</v>
      </c>
      <c r="S558" s="1">
        <v>2.5</v>
      </c>
      <c r="T558" s="1" t="str">
        <f t="shared" si="82"/>
        <v>-text 379.899999999907,0 2.5 90 1153290.7</v>
      </c>
      <c r="U558" s="7"/>
      <c r="V558" s="7"/>
      <c r="W558" s="7"/>
      <c r="X558" s="7"/>
    </row>
    <row r="559" spans="1:24" x14ac:dyDescent="0.35">
      <c r="A559" s="1">
        <v>263900</v>
      </c>
      <c r="B559" s="7">
        <v>1153310.3999999999</v>
      </c>
      <c r="C559" s="2">
        <v>269.12299999999999</v>
      </c>
      <c r="D559" s="2">
        <v>269.76600000000002</v>
      </c>
      <c r="E559" s="2">
        <v>0.64300000000000002</v>
      </c>
      <c r="F559" s="2">
        <v>268.45100000000002</v>
      </c>
      <c r="G559" s="2">
        <v>269.053</v>
      </c>
      <c r="H559" s="2">
        <v>0.60199999999999998</v>
      </c>
      <c r="I559" s="2">
        <v>269.22899999999998</v>
      </c>
      <c r="J559" s="2">
        <v>269.03800000000001</v>
      </c>
      <c r="K559" s="15">
        <v>1.4999999999999999E-2</v>
      </c>
      <c r="L559" s="2">
        <v>42.667000000000002</v>
      </c>
      <c r="N559" s="7">
        <f t="shared" si="83"/>
        <v>399.5999999998603</v>
      </c>
      <c r="O559" s="1">
        <v>0</v>
      </c>
      <c r="P559" s="1" t="str">
        <f t="shared" si="84"/>
        <v>399.59999999986,0</v>
      </c>
      <c r="Q559" s="6" t="s">
        <v>10</v>
      </c>
      <c r="R559" s="1">
        <v>90</v>
      </c>
      <c r="S559" s="1">
        <v>2.5</v>
      </c>
      <c r="T559" s="1" t="str">
        <f t="shared" si="82"/>
        <v>-text 399.59999999986,0 2.5 90 1153310.4</v>
      </c>
      <c r="U559" s="7"/>
      <c r="V559" s="7"/>
      <c r="W559" s="7"/>
      <c r="X559" s="7"/>
    </row>
    <row r="560" spans="1:24" x14ac:dyDescent="0.35">
      <c r="A560" s="1">
        <v>263920</v>
      </c>
      <c r="B560" s="7">
        <v>1153330</v>
      </c>
      <c r="C560" s="2">
        <v>269.10300000000001</v>
      </c>
      <c r="D560" s="2">
        <v>269.77800000000002</v>
      </c>
      <c r="E560" s="2">
        <v>0.67500000000000004</v>
      </c>
      <c r="F560" s="2">
        <v>268.43099999999998</v>
      </c>
      <c r="G560" s="2">
        <v>269.065</v>
      </c>
      <c r="H560" s="2">
        <v>0.63400000000000001</v>
      </c>
      <c r="I560" s="2">
        <v>269.26499999999999</v>
      </c>
      <c r="J560" s="2">
        <v>269.45999999999998</v>
      </c>
      <c r="K560" s="2">
        <v>-0.39400000000000002</v>
      </c>
      <c r="L560" s="2">
        <v>42.456000000000003</v>
      </c>
      <c r="N560" s="7">
        <f t="shared" si="83"/>
        <v>419.19999999995343</v>
      </c>
      <c r="O560" s="1">
        <v>0</v>
      </c>
      <c r="P560" s="1" t="str">
        <f t="shared" si="84"/>
        <v>419.199999999953,0</v>
      </c>
      <c r="Q560" s="6" t="s">
        <v>10</v>
      </c>
      <c r="R560" s="1">
        <v>90</v>
      </c>
      <c r="S560" s="1">
        <v>2.5</v>
      </c>
      <c r="T560" s="1" t="str">
        <f t="shared" si="82"/>
        <v>-text 419.199999999953,0 2.5 90 1153330</v>
      </c>
      <c r="U560" s="7"/>
      <c r="V560" s="7"/>
      <c r="W560" s="7"/>
      <c r="X560" s="7"/>
    </row>
    <row r="561" spans="1:24" x14ac:dyDescent="0.35">
      <c r="A561" s="1">
        <v>263940</v>
      </c>
      <c r="B561" s="7">
        <v>1153349.7</v>
      </c>
      <c r="C561" s="2">
        <v>269.08600000000001</v>
      </c>
      <c r="D561" s="2">
        <v>269.791</v>
      </c>
      <c r="E561" s="2">
        <v>0.70499999999999996</v>
      </c>
      <c r="F561" s="2">
        <v>268.41399999999999</v>
      </c>
      <c r="G561" s="2">
        <v>269.07799999999997</v>
      </c>
      <c r="H561" s="2">
        <v>0.66400000000000003</v>
      </c>
      <c r="I561" s="2">
        <v>269.12200000000001</v>
      </c>
      <c r="J561" s="2">
        <v>268.88200000000001</v>
      </c>
      <c r="K561" s="15">
        <v>0.19600000000000001</v>
      </c>
      <c r="L561" s="2">
        <v>42.113999999999997</v>
      </c>
      <c r="N561" s="7">
        <f t="shared" si="83"/>
        <v>438.89999999990687</v>
      </c>
      <c r="O561" s="1">
        <v>0</v>
      </c>
      <c r="P561" s="1" t="str">
        <f t="shared" si="84"/>
        <v>438.899999999907,0</v>
      </c>
      <c r="Q561" s="6" t="s">
        <v>10</v>
      </c>
      <c r="R561" s="1">
        <v>90</v>
      </c>
      <c r="S561" s="1">
        <v>2.5</v>
      </c>
      <c r="T561" s="1" t="str">
        <f t="shared" si="82"/>
        <v>-text 438.899999999907,0 2.5 90 1153349.7</v>
      </c>
      <c r="U561" s="7"/>
      <c r="V561" s="7"/>
      <c r="W561" s="7"/>
      <c r="X561" s="7"/>
    </row>
    <row r="562" spans="1:24" x14ac:dyDescent="0.35">
      <c r="A562" s="1">
        <v>263960</v>
      </c>
      <c r="B562" s="7">
        <v>1153369.7</v>
      </c>
      <c r="C562" s="2">
        <v>269.096</v>
      </c>
      <c r="D562" s="2">
        <v>269.803</v>
      </c>
      <c r="E562" s="2">
        <v>0.70699999999999996</v>
      </c>
      <c r="F562" s="2">
        <v>268.42399999999998</v>
      </c>
      <c r="G562" s="2">
        <v>269.08999999999997</v>
      </c>
      <c r="H562" s="2">
        <v>0.66600000000000004</v>
      </c>
      <c r="I562" s="2">
        <v>269.12799999999999</v>
      </c>
      <c r="J562" s="2">
        <v>269.21600000000001</v>
      </c>
      <c r="K562" s="2">
        <v>-0.126</v>
      </c>
      <c r="L562" s="2">
        <v>41.634999999999998</v>
      </c>
      <c r="N562" s="7">
        <f t="shared" si="83"/>
        <v>458.89999999990687</v>
      </c>
      <c r="O562" s="1">
        <v>0</v>
      </c>
      <c r="P562" s="1" t="str">
        <f t="shared" si="84"/>
        <v>458.899999999907,0</v>
      </c>
      <c r="Q562" s="6" t="s">
        <v>10</v>
      </c>
      <c r="R562" s="1">
        <v>90</v>
      </c>
      <c r="S562" s="1">
        <v>2.5</v>
      </c>
      <c r="T562" s="1" t="str">
        <f t="shared" si="82"/>
        <v>-text 458.899999999907,0 2.5 90 1153369.7</v>
      </c>
      <c r="U562" s="7"/>
      <c r="V562" s="7"/>
      <c r="W562" s="7"/>
      <c r="X562" s="7"/>
    </row>
    <row r="563" spans="1:24" x14ac:dyDescent="0.35">
      <c r="A563" s="1">
        <v>263980</v>
      </c>
      <c r="B563" s="7">
        <v>1153389.3999999999</v>
      </c>
      <c r="C563" s="2">
        <v>269.12</v>
      </c>
      <c r="D563" s="2">
        <v>269.81599999999997</v>
      </c>
      <c r="E563" s="2">
        <v>0.69599999999999995</v>
      </c>
      <c r="F563" s="2">
        <v>268.44799999999998</v>
      </c>
      <c r="G563" s="2">
        <v>269.10300000000001</v>
      </c>
      <c r="H563" s="2">
        <v>0.65500000000000003</v>
      </c>
      <c r="I563" s="2">
        <v>268.791</v>
      </c>
      <c r="J563" s="2">
        <v>268.601</v>
      </c>
      <c r="K563" s="15">
        <v>0.502</v>
      </c>
      <c r="L563" s="2">
        <v>41.031999999999996</v>
      </c>
      <c r="N563" s="7">
        <f t="shared" si="83"/>
        <v>478.5999999998603</v>
      </c>
      <c r="O563" s="1">
        <v>0</v>
      </c>
      <c r="P563" s="1" t="str">
        <f t="shared" si="84"/>
        <v>478.59999999986,0</v>
      </c>
      <c r="Q563" s="6" t="s">
        <v>10</v>
      </c>
      <c r="R563" s="1">
        <v>90</v>
      </c>
      <c r="S563" s="1">
        <v>2.5</v>
      </c>
      <c r="T563" s="1" t="str">
        <f t="shared" si="82"/>
        <v>-text 478.59999999986,0 2.5 90 1153389.4</v>
      </c>
      <c r="U563" s="7"/>
      <c r="V563" s="7"/>
      <c r="W563" s="7"/>
      <c r="X563" s="7"/>
    </row>
    <row r="564" spans="1:24" x14ac:dyDescent="0.35">
      <c r="A564" s="1">
        <v>264000</v>
      </c>
      <c r="B564" s="7">
        <v>1153410.8</v>
      </c>
      <c r="C564" s="2">
        <v>269.178</v>
      </c>
      <c r="D564" s="2">
        <v>269.82900000000001</v>
      </c>
      <c r="E564" s="2">
        <v>0.65100000000000002</v>
      </c>
      <c r="F564" s="2">
        <v>268.50599999999997</v>
      </c>
      <c r="G564" s="2">
        <v>269.11599999999999</v>
      </c>
      <c r="H564" s="2">
        <v>0.61</v>
      </c>
      <c r="I564" s="2">
        <v>268.96499999999997</v>
      </c>
      <c r="J564" s="2">
        <v>269.05799999999999</v>
      </c>
      <c r="K564" s="15">
        <v>5.8000000000000003E-2</v>
      </c>
      <c r="L564" s="2">
        <v>40.280999999999999</v>
      </c>
      <c r="N564" s="7">
        <f t="shared" si="83"/>
        <v>500</v>
      </c>
      <c r="O564" s="1">
        <v>0</v>
      </c>
      <c r="P564" s="1" t="str">
        <f t="shared" ref="P564" si="85">CONCATENATE(N564,",",O564)</f>
        <v>500,0</v>
      </c>
      <c r="Q564" s="6" t="s">
        <v>10</v>
      </c>
      <c r="R564" s="1">
        <v>90</v>
      </c>
      <c r="S564" s="1">
        <v>2.5</v>
      </c>
      <c r="T564" s="1" t="str">
        <f t="shared" si="82"/>
        <v>-text 500,0 2.5 90 1153410.8</v>
      </c>
      <c r="U564" s="7"/>
      <c r="V564" s="7"/>
      <c r="W564" s="7"/>
      <c r="X564" s="7"/>
    </row>
    <row r="565" spans="1:24" s="10" customFormat="1" x14ac:dyDescent="0.35">
      <c r="B565" s="11"/>
      <c r="C565" s="9"/>
      <c r="D565" s="9"/>
      <c r="E565" s="9"/>
      <c r="F565" s="9"/>
      <c r="G565" s="9"/>
      <c r="H565" s="9"/>
      <c r="I565" s="9"/>
      <c r="J565" s="9"/>
      <c r="K565" s="16"/>
      <c r="L565" s="9"/>
      <c r="M565" s="9"/>
      <c r="N565" s="11"/>
      <c r="Q565" s="12"/>
      <c r="U565" s="11"/>
      <c r="V565" s="11"/>
      <c r="W565" s="11"/>
      <c r="X565" s="11"/>
    </row>
    <row r="566" spans="1:24" x14ac:dyDescent="0.35">
      <c r="A566" s="1">
        <v>264000</v>
      </c>
      <c r="B566" s="7">
        <v>1153410.8</v>
      </c>
      <c r="C566" s="2">
        <v>269.178</v>
      </c>
      <c r="D566" s="2">
        <v>269.82900000000001</v>
      </c>
      <c r="E566" s="2">
        <v>0.65100000000000002</v>
      </c>
      <c r="F566" s="2">
        <v>268.50599999999997</v>
      </c>
      <c r="G566" s="2">
        <v>269.11599999999999</v>
      </c>
      <c r="H566" s="2">
        <v>0.61</v>
      </c>
      <c r="I566" s="2">
        <v>268.96499999999997</v>
      </c>
      <c r="J566" s="2">
        <v>269.05799999999999</v>
      </c>
      <c r="K566" s="15">
        <v>5.8000000000000003E-2</v>
      </c>
      <c r="L566" s="2">
        <v>40.280999999999999</v>
      </c>
      <c r="N566" s="7">
        <v>0</v>
      </c>
      <c r="O566" s="1">
        <v>0</v>
      </c>
      <c r="P566" s="1" t="str">
        <f t="shared" si="84"/>
        <v>0,0</v>
      </c>
      <c r="Q566" s="6" t="s">
        <v>10</v>
      </c>
      <c r="R566" s="1">
        <v>90</v>
      </c>
      <c r="S566" s="1">
        <v>2.5</v>
      </c>
      <c r="T566" s="1" t="str">
        <f t="shared" ref="T566:T591" si="86">$Q566&amp;" "&amp;$P566&amp;" "&amp;$S566&amp;" "&amp;$R566&amp;" "&amp;$B566</f>
        <v>-text 0,0 2.5 90 1153410.8</v>
      </c>
      <c r="U566" s="7"/>
      <c r="V566" s="7"/>
      <c r="W566" s="7"/>
      <c r="X566" s="7"/>
    </row>
    <row r="567" spans="1:24" x14ac:dyDescent="0.35">
      <c r="A567" s="1">
        <v>264020</v>
      </c>
      <c r="B567" s="7">
        <v>1153428.8</v>
      </c>
      <c r="C567" s="2">
        <v>269.25099999999998</v>
      </c>
      <c r="D567" s="2">
        <v>269.84100000000001</v>
      </c>
      <c r="E567" s="2">
        <v>0.59</v>
      </c>
      <c r="F567" s="2">
        <v>268.57900000000001</v>
      </c>
      <c r="G567" s="2">
        <v>269.12799999999999</v>
      </c>
      <c r="H567" s="2">
        <v>0.54900000000000004</v>
      </c>
      <c r="I567" s="2">
        <v>269.27499999999998</v>
      </c>
      <c r="J567" s="2">
        <v>269.34399999999999</v>
      </c>
      <c r="K567" s="2">
        <v>-0.217</v>
      </c>
      <c r="L567" s="2">
        <v>39.383000000000003</v>
      </c>
      <c r="N567" s="7">
        <f t="shared" ref="N567:N590" si="87">N566+(B567-B566)</f>
        <v>18</v>
      </c>
      <c r="O567" s="1">
        <v>0</v>
      </c>
      <c r="P567" s="1" t="str">
        <f t="shared" si="84"/>
        <v>18,0</v>
      </c>
      <c r="Q567" s="6" t="s">
        <v>10</v>
      </c>
      <c r="R567" s="1">
        <v>90</v>
      </c>
      <c r="S567" s="1">
        <v>2.5</v>
      </c>
      <c r="T567" s="1" t="str">
        <f t="shared" si="86"/>
        <v>-text 18,0 2.5 90 1153428.8</v>
      </c>
      <c r="U567" s="7"/>
      <c r="V567" s="7"/>
      <c r="W567" s="7"/>
      <c r="X567" s="7"/>
    </row>
    <row r="568" spans="1:24" x14ac:dyDescent="0.35">
      <c r="A568" s="1">
        <v>264040</v>
      </c>
      <c r="B568" s="7">
        <v>1153448.7</v>
      </c>
      <c r="C568" s="2">
        <v>269.32299999999998</v>
      </c>
      <c r="D568" s="2">
        <v>269.85300000000001</v>
      </c>
      <c r="E568" s="2">
        <v>0.53</v>
      </c>
      <c r="F568" s="2">
        <v>268.65100000000001</v>
      </c>
      <c r="G568" s="2">
        <v>269.14</v>
      </c>
      <c r="H568" s="2">
        <v>0.48899999999999999</v>
      </c>
      <c r="I568" s="2">
        <v>269.25799999999998</v>
      </c>
      <c r="J568" s="2">
        <v>269.37299999999999</v>
      </c>
      <c r="K568" s="2">
        <v>-0.23200000000000001</v>
      </c>
      <c r="L568" s="2">
        <v>38.402999999999999</v>
      </c>
      <c r="N568" s="7">
        <f t="shared" si="87"/>
        <v>37.899999999906868</v>
      </c>
      <c r="O568" s="1">
        <v>0</v>
      </c>
      <c r="P568" s="1" t="str">
        <f t="shared" si="84"/>
        <v>37.8999999999069,0</v>
      </c>
      <c r="Q568" s="6" t="s">
        <v>10</v>
      </c>
      <c r="R568" s="1">
        <v>90</v>
      </c>
      <c r="S568" s="1">
        <v>2.5</v>
      </c>
      <c r="T568" s="1" t="str">
        <f t="shared" si="86"/>
        <v>-text 37.8999999999069,0 2.5 90 1153448.7</v>
      </c>
      <c r="U568" s="7"/>
      <c r="V568" s="7"/>
      <c r="W568" s="7"/>
      <c r="X568" s="7"/>
    </row>
    <row r="569" spans="1:24" x14ac:dyDescent="0.35">
      <c r="A569" s="1">
        <v>264060</v>
      </c>
      <c r="B569" s="7">
        <v>1153468.3999999999</v>
      </c>
      <c r="C569" s="2">
        <v>269.38299999999998</v>
      </c>
      <c r="D569" s="2">
        <v>269.86599999999999</v>
      </c>
      <c r="E569" s="2">
        <v>0.48199999999999998</v>
      </c>
      <c r="F569" s="2">
        <v>268.71100000000001</v>
      </c>
      <c r="G569" s="2">
        <v>269.15300000000002</v>
      </c>
      <c r="H569" s="2">
        <v>0.441</v>
      </c>
      <c r="I569" s="2">
        <v>269.113</v>
      </c>
      <c r="J569" s="2">
        <v>269.024</v>
      </c>
      <c r="K569" s="15">
        <v>0.129</v>
      </c>
      <c r="L569" s="2">
        <v>37.372</v>
      </c>
      <c r="N569" s="7">
        <f t="shared" si="87"/>
        <v>57.599999999860302</v>
      </c>
      <c r="O569" s="1">
        <v>0</v>
      </c>
      <c r="P569" s="1" t="str">
        <f t="shared" si="84"/>
        <v>57.5999999998603,0</v>
      </c>
      <c r="Q569" s="6" t="s">
        <v>10</v>
      </c>
      <c r="R569" s="1">
        <v>90</v>
      </c>
      <c r="S569" s="1">
        <v>2.5</v>
      </c>
      <c r="T569" s="1" t="str">
        <f t="shared" si="86"/>
        <v>-text 57.5999999998603,0 2.5 90 1153468.4</v>
      </c>
      <c r="U569" s="7"/>
      <c r="V569" s="7"/>
      <c r="W569" s="7"/>
      <c r="X569" s="7"/>
    </row>
    <row r="570" spans="1:24" x14ac:dyDescent="0.35">
      <c r="A570" s="1">
        <v>264080</v>
      </c>
      <c r="B570" s="7">
        <v>1153488.3999999999</v>
      </c>
      <c r="C570" s="2">
        <v>269.43</v>
      </c>
      <c r="D570" s="2">
        <v>269.87799999999999</v>
      </c>
      <c r="E570" s="2">
        <v>0.44900000000000001</v>
      </c>
      <c r="F570" s="2">
        <v>268.75799999999998</v>
      </c>
      <c r="G570" s="2">
        <v>269.16500000000002</v>
      </c>
      <c r="H570" s="2">
        <v>0.40799999999999997</v>
      </c>
      <c r="I570" s="2">
        <v>269.096</v>
      </c>
      <c r="J570" s="2">
        <v>269.06599999999997</v>
      </c>
      <c r="K570" s="15">
        <v>9.9000000000000005E-2</v>
      </c>
      <c r="L570" s="2">
        <v>36.198999999999998</v>
      </c>
      <c r="N570" s="7">
        <f t="shared" si="87"/>
        <v>77.599999999860302</v>
      </c>
      <c r="O570" s="1">
        <v>0</v>
      </c>
      <c r="P570" s="1" t="str">
        <f t="shared" si="84"/>
        <v>77.5999999998603,0</v>
      </c>
      <c r="Q570" s="6" t="s">
        <v>10</v>
      </c>
      <c r="R570" s="1">
        <v>90</v>
      </c>
      <c r="S570" s="1">
        <v>2.5</v>
      </c>
      <c r="T570" s="1" t="str">
        <f t="shared" si="86"/>
        <v>-text 77.5999999998603,0 2.5 90 1153488.4</v>
      </c>
      <c r="U570" s="7"/>
      <c r="V570" s="7"/>
      <c r="W570" s="7"/>
      <c r="X570" s="7"/>
    </row>
    <row r="571" spans="1:24" x14ac:dyDescent="0.35">
      <c r="A571" s="1">
        <v>264100</v>
      </c>
      <c r="B571" s="7">
        <v>1153508.5</v>
      </c>
      <c r="C571" s="2">
        <v>269.46800000000002</v>
      </c>
      <c r="D571" s="2">
        <v>269.89100000000002</v>
      </c>
      <c r="E571" s="2">
        <v>0.42399999999999999</v>
      </c>
      <c r="F571" s="2">
        <v>268.79599999999999</v>
      </c>
      <c r="G571" s="2">
        <v>269.178</v>
      </c>
      <c r="H571" s="2">
        <v>0.38300000000000001</v>
      </c>
      <c r="I571" s="2">
        <v>269.041</v>
      </c>
      <c r="J571" s="2">
        <v>268.98200000000003</v>
      </c>
      <c r="K571" s="15">
        <v>0.19600000000000001</v>
      </c>
      <c r="L571" s="2">
        <v>35.005000000000003</v>
      </c>
      <c r="N571" s="7">
        <f t="shared" si="87"/>
        <v>97.699999999953434</v>
      </c>
      <c r="O571" s="1">
        <v>0</v>
      </c>
      <c r="P571" s="1" t="str">
        <f t="shared" si="84"/>
        <v>97.6999999999534,0</v>
      </c>
      <c r="Q571" s="6" t="s">
        <v>10</v>
      </c>
      <c r="R571" s="1">
        <v>90</v>
      </c>
      <c r="S571" s="1">
        <v>2.5</v>
      </c>
      <c r="T571" s="1" t="str">
        <f t="shared" si="86"/>
        <v>-text 97.6999999999534,0 2.5 90 1153508.5</v>
      </c>
      <c r="U571" s="7"/>
      <c r="V571" s="7"/>
      <c r="W571" s="7"/>
      <c r="X571" s="7"/>
    </row>
    <row r="572" spans="1:24" x14ac:dyDescent="0.35">
      <c r="A572" s="1">
        <v>264120</v>
      </c>
      <c r="B572" s="7">
        <v>1153528.3999999999</v>
      </c>
      <c r="C572" s="2">
        <v>269.464</v>
      </c>
      <c r="D572" s="2">
        <v>269.904</v>
      </c>
      <c r="E572" s="2">
        <v>0.439</v>
      </c>
      <c r="F572" s="2">
        <v>268.79199999999997</v>
      </c>
      <c r="G572" s="2">
        <v>269.19099999999997</v>
      </c>
      <c r="H572" s="2">
        <v>0.39800000000000002</v>
      </c>
      <c r="I572" s="2">
        <v>269.089</v>
      </c>
      <c r="J572" s="2">
        <v>269.017</v>
      </c>
      <c r="K572" s="15">
        <v>0.17399999999999999</v>
      </c>
      <c r="L572" s="2">
        <v>33.723999999999997</v>
      </c>
      <c r="N572" s="7">
        <f t="shared" si="87"/>
        <v>117.5999999998603</v>
      </c>
      <c r="O572" s="1">
        <v>0</v>
      </c>
      <c r="P572" s="1" t="str">
        <f t="shared" si="84"/>
        <v>117.59999999986,0</v>
      </c>
      <c r="Q572" s="6" t="s">
        <v>10</v>
      </c>
      <c r="R572" s="1">
        <v>90</v>
      </c>
      <c r="S572" s="1">
        <v>2.5</v>
      </c>
      <c r="T572" s="1" t="str">
        <f t="shared" si="86"/>
        <v>-text 117.59999999986,0 2.5 90 1153528.4</v>
      </c>
      <c r="U572" s="7"/>
      <c r="V572" s="7"/>
      <c r="W572" s="7"/>
      <c r="X572" s="7"/>
    </row>
    <row r="573" spans="1:24" x14ac:dyDescent="0.35">
      <c r="A573" s="1">
        <v>264140</v>
      </c>
      <c r="B573" s="7">
        <v>1153548.5</v>
      </c>
      <c r="C573" s="2">
        <v>269.51499999999999</v>
      </c>
      <c r="D573" s="2">
        <v>269.916</v>
      </c>
      <c r="E573" s="2">
        <v>0.40100000000000002</v>
      </c>
      <c r="F573" s="2">
        <v>268.84300000000002</v>
      </c>
      <c r="G573" s="2">
        <v>269.20299999999997</v>
      </c>
      <c r="H573" s="2">
        <v>0.36</v>
      </c>
      <c r="I573" s="2">
        <v>269.202</v>
      </c>
      <c r="J573" s="2">
        <v>269.11399999999998</v>
      </c>
      <c r="K573" s="15">
        <v>8.8999999999999996E-2</v>
      </c>
      <c r="L573" s="2">
        <v>32.497</v>
      </c>
      <c r="N573" s="7">
        <f t="shared" si="87"/>
        <v>137.69999999995343</v>
      </c>
      <c r="O573" s="1">
        <v>0</v>
      </c>
      <c r="P573" s="1" t="str">
        <f t="shared" si="84"/>
        <v>137.699999999953,0</v>
      </c>
      <c r="Q573" s="6" t="s">
        <v>10</v>
      </c>
      <c r="R573" s="1">
        <v>90</v>
      </c>
      <c r="S573" s="1">
        <v>2.5</v>
      </c>
      <c r="T573" s="1" t="str">
        <f t="shared" si="86"/>
        <v>-text 137.699999999953,0 2.5 90 1153548.5</v>
      </c>
      <c r="U573" s="7"/>
      <c r="V573" s="7"/>
      <c r="W573" s="7"/>
      <c r="X573" s="7"/>
    </row>
    <row r="574" spans="1:24" x14ac:dyDescent="0.35">
      <c r="A574" s="1">
        <v>264160</v>
      </c>
      <c r="B574" s="7">
        <v>1153568.7</v>
      </c>
      <c r="C574" s="2">
        <v>269.49700000000001</v>
      </c>
      <c r="D574" s="2">
        <v>269.92899999999997</v>
      </c>
      <c r="E574" s="2">
        <v>0.432</v>
      </c>
      <c r="F574" s="2">
        <v>268.82499999999999</v>
      </c>
      <c r="G574" s="2">
        <v>269.21600000000001</v>
      </c>
      <c r="H574" s="2">
        <v>0.39100000000000001</v>
      </c>
      <c r="I574" s="2">
        <v>269.286</v>
      </c>
      <c r="J574" s="2">
        <v>269.03899999999999</v>
      </c>
      <c r="K574" s="15">
        <v>0.17699999999999999</v>
      </c>
      <c r="L574" s="2">
        <v>31.321000000000002</v>
      </c>
      <c r="N574" s="7">
        <f t="shared" si="87"/>
        <v>157.89999999990687</v>
      </c>
      <c r="O574" s="1">
        <v>0</v>
      </c>
      <c r="P574" s="1" t="str">
        <f t="shared" si="84"/>
        <v>157.899999999907,0</v>
      </c>
      <c r="Q574" s="6" t="s">
        <v>10</v>
      </c>
      <c r="R574" s="1">
        <v>90</v>
      </c>
      <c r="S574" s="1">
        <v>2.5</v>
      </c>
      <c r="T574" s="1" t="str">
        <f t="shared" si="86"/>
        <v>-text 157.899999999907,0 2.5 90 1153568.7</v>
      </c>
      <c r="U574" s="7"/>
      <c r="V574" s="7"/>
      <c r="W574" s="7"/>
      <c r="X574" s="7"/>
    </row>
    <row r="575" spans="1:24" x14ac:dyDescent="0.35">
      <c r="A575" s="1">
        <v>264180</v>
      </c>
      <c r="B575" s="7">
        <v>1153588.8999999999</v>
      </c>
      <c r="C575" s="2">
        <v>269.48899999999998</v>
      </c>
      <c r="D575" s="2">
        <v>269.94200000000001</v>
      </c>
      <c r="E575" s="2">
        <v>0.45300000000000001</v>
      </c>
      <c r="F575" s="2">
        <v>268.81700000000001</v>
      </c>
      <c r="G575" s="2">
        <v>269.22899999999998</v>
      </c>
      <c r="H575" s="2">
        <v>0.41199999999999998</v>
      </c>
      <c r="I575" s="2">
        <v>269.26400000000001</v>
      </c>
      <c r="J575" s="2">
        <v>269.12400000000002</v>
      </c>
      <c r="K575" s="15">
        <v>0.105</v>
      </c>
      <c r="L575" s="2">
        <v>30.218</v>
      </c>
      <c r="N575" s="7">
        <f t="shared" si="87"/>
        <v>178.0999999998603</v>
      </c>
      <c r="O575" s="1">
        <v>0</v>
      </c>
      <c r="P575" s="1" t="str">
        <f t="shared" si="84"/>
        <v>178.09999999986,0</v>
      </c>
      <c r="Q575" s="6" t="s">
        <v>10</v>
      </c>
      <c r="R575" s="1">
        <v>90</v>
      </c>
      <c r="S575" s="1">
        <v>2.5</v>
      </c>
      <c r="T575" s="1" t="str">
        <f t="shared" si="86"/>
        <v>-text 178.09999999986,0 2.5 90 1153588.9</v>
      </c>
      <c r="U575" s="7"/>
      <c r="V575" s="7"/>
      <c r="W575" s="7"/>
      <c r="X575" s="7"/>
    </row>
    <row r="576" spans="1:24" x14ac:dyDescent="0.35">
      <c r="A576" s="1">
        <v>264200</v>
      </c>
      <c r="B576" s="7">
        <v>1153609</v>
      </c>
      <c r="C576" s="2">
        <v>269.49299999999999</v>
      </c>
      <c r="D576" s="2">
        <v>269.95499999999998</v>
      </c>
      <c r="E576" s="2">
        <v>0.46200000000000002</v>
      </c>
      <c r="F576" s="2">
        <v>268.82100000000003</v>
      </c>
      <c r="G576" s="2">
        <v>269.24200000000002</v>
      </c>
      <c r="H576" s="2">
        <v>0.42099999999999999</v>
      </c>
      <c r="I576" s="2">
        <v>269.14499999999998</v>
      </c>
      <c r="J576" s="2">
        <v>269.05599999999998</v>
      </c>
      <c r="K576" s="15">
        <v>0.185</v>
      </c>
      <c r="L576" s="2">
        <v>29.193000000000001</v>
      </c>
      <c r="N576" s="7">
        <f t="shared" si="87"/>
        <v>198.19999999995343</v>
      </c>
      <c r="O576" s="1">
        <v>0</v>
      </c>
      <c r="P576" s="1" t="str">
        <f t="shared" si="84"/>
        <v>198.199999999953,0</v>
      </c>
      <c r="Q576" s="6" t="s">
        <v>10</v>
      </c>
      <c r="R576" s="1">
        <v>90</v>
      </c>
      <c r="S576" s="1">
        <v>2.5</v>
      </c>
      <c r="T576" s="1" t="str">
        <f t="shared" si="86"/>
        <v>-text 198.199999999953,0 2.5 90 1153609</v>
      </c>
      <c r="U576" s="7"/>
      <c r="V576" s="7"/>
      <c r="W576" s="7"/>
      <c r="X576" s="7"/>
    </row>
    <row r="577" spans="1:24" x14ac:dyDescent="0.35">
      <c r="A577" s="1">
        <v>264220</v>
      </c>
      <c r="B577" s="7">
        <v>1153629.1000000001</v>
      </c>
      <c r="C577" s="2">
        <v>269.48899999999998</v>
      </c>
      <c r="D577" s="2">
        <v>269.96699999999998</v>
      </c>
      <c r="E577" s="2">
        <v>0.47799999999999998</v>
      </c>
      <c r="F577" s="2">
        <v>268.81700000000001</v>
      </c>
      <c r="G577" s="2">
        <v>269.25400000000002</v>
      </c>
      <c r="H577" s="2">
        <v>0.437</v>
      </c>
      <c r="I577" s="2">
        <v>269.00200000000001</v>
      </c>
      <c r="J577" s="2">
        <v>269.00099999999998</v>
      </c>
      <c r="K577" s="15">
        <v>0.254</v>
      </c>
      <c r="L577" s="2">
        <v>28.29</v>
      </c>
      <c r="N577" s="7">
        <f t="shared" si="87"/>
        <v>218.30000000004657</v>
      </c>
      <c r="O577" s="1">
        <v>0</v>
      </c>
      <c r="P577" s="1" t="str">
        <f t="shared" si="84"/>
        <v>218.300000000047,0</v>
      </c>
      <c r="Q577" s="6" t="s">
        <v>10</v>
      </c>
      <c r="R577" s="1">
        <v>90</v>
      </c>
      <c r="S577" s="1">
        <v>2.5</v>
      </c>
      <c r="T577" s="1" t="str">
        <f t="shared" si="86"/>
        <v>-text 218.300000000047,0 2.5 90 1153629.1</v>
      </c>
      <c r="U577" s="7"/>
      <c r="V577" s="7"/>
      <c r="W577" s="7"/>
      <c r="X577" s="7"/>
    </row>
    <row r="578" spans="1:24" x14ac:dyDescent="0.35">
      <c r="A578" s="1">
        <v>264240</v>
      </c>
      <c r="B578" s="7">
        <v>1153649.3999999999</v>
      </c>
      <c r="C578" s="2">
        <v>269.52699999999999</v>
      </c>
      <c r="D578" s="2">
        <v>269.98</v>
      </c>
      <c r="E578" s="2">
        <v>0.45300000000000001</v>
      </c>
      <c r="F578" s="2">
        <v>268.85500000000002</v>
      </c>
      <c r="G578" s="2">
        <v>269.267</v>
      </c>
      <c r="H578" s="2">
        <v>0.41199999999999998</v>
      </c>
      <c r="I578" s="2">
        <v>268.92</v>
      </c>
      <c r="J578" s="2">
        <v>268.97500000000002</v>
      </c>
      <c r="K578" s="15">
        <v>0.29199999999999998</v>
      </c>
      <c r="L578" s="2">
        <v>27.542999999999999</v>
      </c>
      <c r="N578" s="7">
        <f t="shared" si="87"/>
        <v>238.5999999998603</v>
      </c>
      <c r="O578" s="1">
        <v>0</v>
      </c>
      <c r="P578" s="1" t="str">
        <f t="shared" si="84"/>
        <v>238.59999999986,0</v>
      </c>
      <c r="Q578" s="6" t="s">
        <v>10</v>
      </c>
      <c r="R578" s="1">
        <v>90</v>
      </c>
      <c r="S578" s="1">
        <v>2.5</v>
      </c>
      <c r="T578" s="1" t="str">
        <f t="shared" si="86"/>
        <v>-text 238.59999999986,0 2.5 90 1153649.4</v>
      </c>
      <c r="U578" s="7"/>
      <c r="V578" s="7"/>
      <c r="W578" s="7"/>
      <c r="X578" s="7"/>
    </row>
    <row r="579" spans="1:24" x14ac:dyDescent="0.35">
      <c r="A579" s="1">
        <v>264260</v>
      </c>
      <c r="B579" s="7">
        <v>1153669.6000000001</v>
      </c>
      <c r="C579" s="2">
        <v>269.55099999999999</v>
      </c>
      <c r="D579" s="2">
        <v>269.99299999999999</v>
      </c>
      <c r="E579" s="2">
        <v>0.442</v>
      </c>
      <c r="F579" s="2">
        <v>268.87900000000002</v>
      </c>
      <c r="G579" s="2">
        <v>269.27999999999997</v>
      </c>
      <c r="H579" s="2">
        <v>0.40100000000000002</v>
      </c>
      <c r="I579" s="2">
        <v>268.89800000000002</v>
      </c>
      <c r="J579" s="2">
        <v>268.95</v>
      </c>
      <c r="K579" s="15">
        <v>0.33</v>
      </c>
      <c r="L579" s="2">
        <v>26.927</v>
      </c>
      <c r="N579" s="7">
        <f t="shared" si="87"/>
        <v>258.80000000004657</v>
      </c>
      <c r="O579" s="1">
        <v>0</v>
      </c>
      <c r="P579" s="1" t="str">
        <f t="shared" si="84"/>
        <v>258.800000000047,0</v>
      </c>
      <c r="Q579" s="6" t="s">
        <v>10</v>
      </c>
      <c r="R579" s="1">
        <v>90</v>
      </c>
      <c r="S579" s="1">
        <v>2.5</v>
      </c>
      <c r="T579" s="1" t="str">
        <f t="shared" si="86"/>
        <v>-text 258.800000000047,0 2.5 90 1153669.6</v>
      </c>
      <c r="U579" s="7"/>
      <c r="V579" s="7"/>
      <c r="W579" s="7"/>
      <c r="X579" s="7"/>
    </row>
    <row r="580" spans="1:24" x14ac:dyDescent="0.35">
      <c r="A580" s="1">
        <v>264280</v>
      </c>
      <c r="B580" s="7">
        <v>1153689.3999999999</v>
      </c>
      <c r="C580" s="2">
        <v>269.59500000000003</v>
      </c>
      <c r="D580" s="2">
        <v>270.00599999999997</v>
      </c>
      <c r="E580" s="2">
        <v>0.41</v>
      </c>
      <c r="F580" s="2">
        <v>268.923</v>
      </c>
      <c r="G580" s="2">
        <v>269.29300000000001</v>
      </c>
      <c r="H580" s="2">
        <v>0.36899999999999999</v>
      </c>
      <c r="I580" s="2">
        <v>268.87599999999998</v>
      </c>
      <c r="J580" s="2">
        <v>268.92599999999999</v>
      </c>
      <c r="K580" s="15">
        <v>0.36599999999999999</v>
      </c>
      <c r="L580" s="2">
        <v>26.396000000000001</v>
      </c>
      <c r="N580" s="7">
        <f t="shared" si="87"/>
        <v>278.5999999998603</v>
      </c>
      <c r="O580" s="1">
        <v>0</v>
      </c>
      <c r="P580" s="1" t="str">
        <f t="shared" si="84"/>
        <v>278.59999999986,0</v>
      </c>
      <c r="Q580" s="6" t="s">
        <v>10</v>
      </c>
      <c r="R580" s="1">
        <v>90</v>
      </c>
      <c r="S580" s="1">
        <v>2.5</v>
      </c>
      <c r="T580" s="1" t="str">
        <f t="shared" si="86"/>
        <v>-text 278.59999999986,0 2.5 90 1153689.4</v>
      </c>
      <c r="U580" s="7"/>
      <c r="V580" s="7"/>
      <c r="W580" s="7"/>
      <c r="X580" s="7"/>
    </row>
    <row r="581" spans="1:24" x14ac:dyDescent="0.35">
      <c r="A581" s="1">
        <v>264300</v>
      </c>
      <c r="B581" s="7">
        <v>1153709.8999999999</v>
      </c>
      <c r="C581" s="2">
        <v>269.60700000000003</v>
      </c>
      <c r="D581" s="2">
        <v>270.01799999999997</v>
      </c>
      <c r="E581" s="2">
        <v>0.41199999999999998</v>
      </c>
      <c r="F581" s="2">
        <v>268.935</v>
      </c>
      <c r="G581" s="2">
        <v>269.30500000000001</v>
      </c>
      <c r="H581" s="2">
        <v>0.371</v>
      </c>
      <c r="I581" s="2">
        <v>269.03100000000001</v>
      </c>
      <c r="J581" s="2">
        <v>268.86</v>
      </c>
      <c r="K581" s="15">
        <v>0.44600000000000001</v>
      </c>
      <c r="L581" s="2">
        <v>26.003</v>
      </c>
      <c r="N581" s="7">
        <f t="shared" si="87"/>
        <v>299.0999999998603</v>
      </c>
      <c r="O581" s="1">
        <v>0</v>
      </c>
      <c r="P581" s="1" t="str">
        <f t="shared" si="84"/>
        <v>299.09999999986,0</v>
      </c>
      <c r="Q581" s="6" t="s">
        <v>10</v>
      </c>
      <c r="R581" s="1">
        <v>90</v>
      </c>
      <c r="S581" s="1">
        <v>2.5</v>
      </c>
      <c r="T581" s="1" t="str">
        <f t="shared" si="86"/>
        <v>-text 299.09999999986,0 2.5 90 1153709.9</v>
      </c>
      <c r="U581" s="7"/>
      <c r="V581" s="7"/>
      <c r="W581" s="7"/>
      <c r="X581" s="7"/>
    </row>
    <row r="582" spans="1:24" x14ac:dyDescent="0.35">
      <c r="A582" s="1">
        <v>264320</v>
      </c>
      <c r="B582" s="7">
        <v>1153730.1000000001</v>
      </c>
      <c r="C582" s="2">
        <v>269.62</v>
      </c>
      <c r="D582" s="2">
        <v>270.03100000000001</v>
      </c>
      <c r="E582" s="2">
        <v>0.41099999999999998</v>
      </c>
      <c r="F582" s="2">
        <v>268.94799999999998</v>
      </c>
      <c r="G582" s="2">
        <v>269.31799999999998</v>
      </c>
      <c r="H582" s="2">
        <v>0.37</v>
      </c>
      <c r="I582" s="2">
        <v>269.16800000000001</v>
      </c>
      <c r="J582" s="2">
        <v>269.24299999999999</v>
      </c>
      <c r="K582" s="15">
        <v>7.4999999999999997E-2</v>
      </c>
      <c r="L582" s="2">
        <v>25.651</v>
      </c>
      <c r="N582" s="7">
        <f t="shared" si="87"/>
        <v>319.30000000004657</v>
      </c>
      <c r="O582" s="1">
        <v>0</v>
      </c>
      <c r="P582" s="1" t="str">
        <f t="shared" si="84"/>
        <v>319.300000000047,0</v>
      </c>
      <c r="Q582" s="6" t="s">
        <v>10</v>
      </c>
      <c r="R582" s="1">
        <v>90</v>
      </c>
      <c r="S582" s="1">
        <v>2.5</v>
      </c>
      <c r="T582" s="1" t="str">
        <f t="shared" si="86"/>
        <v>-text 319.300000000047,0 2.5 90 1153730.1</v>
      </c>
      <c r="U582" s="7"/>
      <c r="V582" s="7"/>
      <c r="W582" s="7"/>
      <c r="X582" s="7"/>
    </row>
    <row r="583" spans="1:24" x14ac:dyDescent="0.35">
      <c r="A583" s="1">
        <v>264340</v>
      </c>
      <c r="B583" s="7">
        <v>1153750.3999999999</v>
      </c>
      <c r="C583" s="2">
        <v>269.61</v>
      </c>
      <c r="D583" s="2">
        <v>270.04399999999998</v>
      </c>
      <c r="E583" s="2">
        <v>0.434</v>
      </c>
      <c r="F583" s="2">
        <v>268.93799999999999</v>
      </c>
      <c r="G583" s="2">
        <v>269.33100000000002</v>
      </c>
      <c r="H583" s="2">
        <v>0.39300000000000002</v>
      </c>
      <c r="I583" s="2">
        <v>269.14100000000002</v>
      </c>
      <c r="J583" s="2">
        <v>268.72199999999998</v>
      </c>
      <c r="K583" s="15">
        <v>0.60899999999999999</v>
      </c>
      <c r="L583" s="2">
        <v>25.451000000000001</v>
      </c>
      <c r="N583" s="7">
        <f t="shared" si="87"/>
        <v>339.5999999998603</v>
      </c>
      <c r="O583" s="1">
        <v>0</v>
      </c>
      <c r="P583" s="1" t="str">
        <f t="shared" si="84"/>
        <v>339.59999999986,0</v>
      </c>
      <c r="Q583" s="6" t="s">
        <v>10</v>
      </c>
      <c r="R583" s="1">
        <v>90</v>
      </c>
      <c r="S583" s="1">
        <v>2.5</v>
      </c>
      <c r="T583" s="1" t="str">
        <f t="shared" si="86"/>
        <v>-text 339.59999999986,0 2.5 90 1153750.4</v>
      </c>
      <c r="U583" s="7"/>
      <c r="V583" s="7"/>
      <c r="W583" s="7"/>
      <c r="X583" s="7"/>
    </row>
    <row r="584" spans="1:24" x14ac:dyDescent="0.35">
      <c r="A584" s="1">
        <v>264360</v>
      </c>
      <c r="B584" s="7">
        <v>1153770.3999999999</v>
      </c>
      <c r="C584" s="2">
        <v>269.59800000000001</v>
      </c>
      <c r="D584" s="2">
        <v>270.05700000000002</v>
      </c>
      <c r="E584" s="2">
        <v>0.45900000000000002</v>
      </c>
      <c r="F584" s="2">
        <v>268.92599999999999</v>
      </c>
      <c r="G584" s="2">
        <v>269.34399999999999</v>
      </c>
      <c r="H584" s="2">
        <v>0.41799999999999998</v>
      </c>
      <c r="I584" s="2">
        <v>268.85300000000001</v>
      </c>
      <c r="J584" s="2">
        <v>268.02499999999998</v>
      </c>
      <c r="K584" s="15">
        <v>1.319</v>
      </c>
      <c r="L584" s="2">
        <v>25.152999999999999</v>
      </c>
      <c r="N584" s="7">
        <f t="shared" si="87"/>
        <v>359.5999999998603</v>
      </c>
      <c r="O584" s="1">
        <v>0</v>
      </c>
      <c r="P584" s="1" t="str">
        <f t="shared" si="84"/>
        <v>359.59999999986,0</v>
      </c>
      <c r="Q584" s="6" t="s">
        <v>10</v>
      </c>
      <c r="R584" s="1">
        <v>90</v>
      </c>
      <c r="S584" s="1">
        <v>2.5</v>
      </c>
      <c r="T584" s="1" t="str">
        <f t="shared" si="86"/>
        <v>-text 359.59999999986,0 2.5 90 1153770.4</v>
      </c>
      <c r="U584" s="7"/>
      <c r="V584" s="7"/>
      <c r="W584" s="7"/>
      <c r="X584" s="7"/>
    </row>
    <row r="585" spans="1:24" x14ac:dyDescent="0.35">
      <c r="A585" s="1">
        <v>264380</v>
      </c>
      <c r="B585" s="7">
        <v>1153790.5</v>
      </c>
      <c r="C585" s="2">
        <v>269.61799999999999</v>
      </c>
      <c r="D585" s="2">
        <v>270.06900000000002</v>
      </c>
      <c r="E585" s="2">
        <v>0.45100000000000001</v>
      </c>
      <c r="F585" s="2">
        <v>268.94600000000003</v>
      </c>
      <c r="G585" s="2">
        <v>269.35599999999999</v>
      </c>
      <c r="H585" s="2">
        <v>0.41</v>
      </c>
      <c r="I585" s="2">
        <v>268.31900000000002</v>
      </c>
      <c r="J585" s="2">
        <v>268.21499999999997</v>
      </c>
      <c r="K585" s="15">
        <v>1.141</v>
      </c>
      <c r="L585" s="2">
        <v>24.847999999999999</v>
      </c>
      <c r="N585" s="7">
        <f t="shared" si="87"/>
        <v>379.69999999995343</v>
      </c>
      <c r="O585" s="1">
        <v>0</v>
      </c>
      <c r="P585" s="1" t="str">
        <f t="shared" si="84"/>
        <v>379.699999999953,0</v>
      </c>
      <c r="Q585" s="6" t="s">
        <v>10</v>
      </c>
      <c r="R585" s="1">
        <v>90</v>
      </c>
      <c r="S585" s="1">
        <v>2.5</v>
      </c>
      <c r="T585" s="1" t="str">
        <f t="shared" si="86"/>
        <v>-text 379.699999999953,0 2.5 90 1153790.5</v>
      </c>
      <c r="U585" s="7"/>
      <c r="V585" s="7"/>
      <c r="W585" s="7"/>
      <c r="X585" s="7"/>
    </row>
    <row r="586" spans="1:24" x14ac:dyDescent="0.35">
      <c r="A586" s="1">
        <v>264400</v>
      </c>
      <c r="B586" s="7">
        <v>1153810.3999999999</v>
      </c>
      <c r="C586" s="2">
        <v>269.66699999999997</v>
      </c>
      <c r="D586" s="2">
        <v>270.08199999999999</v>
      </c>
      <c r="E586" s="2">
        <v>0.41499999999999998</v>
      </c>
      <c r="F586" s="2">
        <v>268.995</v>
      </c>
      <c r="G586" s="2">
        <v>269.36900000000003</v>
      </c>
      <c r="H586" s="2">
        <v>0.374</v>
      </c>
      <c r="I586" s="2">
        <v>268.39400000000001</v>
      </c>
      <c r="J586" s="2">
        <v>266.88499999999999</v>
      </c>
      <c r="K586" s="15">
        <v>2.484</v>
      </c>
      <c r="L586" s="2">
        <v>24.504999999999999</v>
      </c>
      <c r="N586" s="7">
        <f t="shared" si="87"/>
        <v>399.5999999998603</v>
      </c>
      <c r="O586" s="1">
        <v>0</v>
      </c>
      <c r="P586" s="1" t="str">
        <f t="shared" si="84"/>
        <v>399.59999999986,0</v>
      </c>
      <c r="Q586" s="6" t="s">
        <v>10</v>
      </c>
      <c r="R586" s="1">
        <v>90</v>
      </c>
      <c r="S586" s="1">
        <v>2.5</v>
      </c>
      <c r="T586" s="1" t="str">
        <f t="shared" si="86"/>
        <v>-text 399.59999999986,0 2.5 90 1153810.4</v>
      </c>
      <c r="U586" s="7"/>
      <c r="V586" s="7"/>
      <c r="W586" s="7"/>
      <c r="X586" s="7"/>
    </row>
    <row r="587" spans="1:24" x14ac:dyDescent="0.35">
      <c r="A587" s="1">
        <v>264420</v>
      </c>
      <c r="B587" s="7">
        <v>1153830.6000000001</v>
      </c>
      <c r="C587" s="2">
        <v>269.685</v>
      </c>
      <c r="D587" s="2">
        <v>270.09500000000003</v>
      </c>
      <c r="E587" s="2">
        <v>0.41</v>
      </c>
      <c r="F587" s="2">
        <v>269.01299999999998</v>
      </c>
      <c r="G587" s="2">
        <v>269.38200000000001</v>
      </c>
      <c r="H587" s="2">
        <v>0.36899999999999999</v>
      </c>
      <c r="I587" s="2">
        <v>268.06700000000001</v>
      </c>
      <c r="J587" s="2">
        <v>268.488</v>
      </c>
      <c r="K587" s="15">
        <v>0.89400000000000002</v>
      </c>
      <c r="L587" s="2">
        <v>24.175999999999998</v>
      </c>
      <c r="N587" s="7">
        <f t="shared" si="87"/>
        <v>419.80000000004657</v>
      </c>
      <c r="O587" s="1">
        <v>0</v>
      </c>
      <c r="P587" s="1" t="str">
        <f t="shared" si="84"/>
        <v>419.800000000047,0</v>
      </c>
      <c r="Q587" s="6" t="s">
        <v>10</v>
      </c>
      <c r="R587" s="1">
        <v>90</v>
      </c>
      <c r="S587" s="1">
        <v>2.5</v>
      </c>
      <c r="T587" s="1" t="str">
        <f t="shared" si="86"/>
        <v>-text 419.800000000047,0 2.5 90 1153830.6</v>
      </c>
      <c r="U587" s="7"/>
      <c r="V587" s="7"/>
      <c r="W587" s="7"/>
      <c r="X587" s="7"/>
    </row>
    <row r="588" spans="1:24" x14ac:dyDescent="0.35">
      <c r="A588" s="1">
        <v>264440</v>
      </c>
      <c r="B588" s="7">
        <v>1153850.5</v>
      </c>
      <c r="C588" s="2">
        <v>269.64699999999999</v>
      </c>
      <c r="D588" s="2">
        <v>270.10700000000003</v>
      </c>
      <c r="E588" s="2">
        <v>0.46100000000000002</v>
      </c>
      <c r="F588" s="2">
        <v>268.97500000000002</v>
      </c>
      <c r="G588" s="2">
        <v>269.39400000000001</v>
      </c>
      <c r="H588" s="2">
        <v>0.42</v>
      </c>
      <c r="I588" s="2">
        <v>266.86900000000003</v>
      </c>
      <c r="J588" s="2">
        <v>266.505</v>
      </c>
      <c r="K588" s="15">
        <v>2.8889999999999998</v>
      </c>
      <c r="L588" s="2">
        <v>23.9</v>
      </c>
      <c r="N588" s="7">
        <f t="shared" si="87"/>
        <v>439.69999999995343</v>
      </c>
      <c r="O588" s="1">
        <v>0</v>
      </c>
      <c r="P588" s="1" t="str">
        <f t="shared" si="84"/>
        <v>439.699999999953,0</v>
      </c>
      <c r="Q588" s="6" t="s">
        <v>10</v>
      </c>
      <c r="R588" s="1">
        <v>90</v>
      </c>
      <c r="S588" s="1">
        <v>2.5</v>
      </c>
      <c r="T588" s="1" t="str">
        <f t="shared" si="86"/>
        <v>-text 439.699999999953,0 2.5 90 1153850.5</v>
      </c>
      <c r="U588" s="7"/>
      <c r="V588" s="7"/>
      <c r="W588" s="7"/>
      <c r="X588" s="7"/>
    </row>
    <row r="589" spans="1:24" x14ac:dyDescent="0.35">
      <c r="A589" s="1">
        <v>264460</v>
      </c>
      <c r="B589" s="7">
        <v>1153870.5</v>
      </c>
      <c r="C589" s="2">
        <v>269.69600000000003</v>
      </c>
      <c r="D589" s="2">
        <v>270.12</v>
      </c>
      <c r="E589" s="2">
        <v>0.42399999999999999</v>
      </c>
      <c r="F589" s="2">
        <v>269.024</v>
      </c>
      <c r="G589" s="2">
        <v>269.40699999999998</v>
      </c>
      <c r="H589" s="2">
        <v>0.38300000000000001</v>
      </c>
      <c r="I589" s="2">
        <v>266.96800000000002</v>
      </c>
      <c r="J589" s="2">
        <v>267.27699999999999</v>
      </c>
      <c r="K589" s="15">
        <v>2.129</v>
      </c>
      <c r="L589" s="2">
        <v>23.545000000000002</v>
      </c>
      <c r="N589" s="7">
        <f t="shared" si="87"/>
        <v>459.69999999995343</v>
      </c>
      <c r="O589" s="1">
        <v>0</v>
      </c>
      <c r="P589" s="1" t="str">
        <f t="shared" si="84"/>
        <v>459.699999999953,0</v>
      </c>
      <c r="Q589" s="6" t="s">
        <v>10</v>
      </c>
      <c r="R589" s="1">
        <v>90</v>
      </c>
      <c r="S589" s="1">
        <v>2.5</v>
      </c>
      <c r="T589" s="1" t="str">
        <f t="shared" si="86"/>
        <v>-text 459.699999999953,0 2.5 90 1153870.5</v>
      </c>
      <c r="U589" s="7"/>
      <c r="V589" s="7"/>
      <c r="W589" s="7"/>
      <c r="X589" s="7"/>
    </row>
    <row r="590" spans="1:24" x14ac:dyDescent="0.35">
      <c r="A590" s="1">
        <v>264480</v>
      </c>
      <c r="B590" s="7">
        <v>1153890.5</v>
      </c>
      <c r="C590" s="2">
        <v>269.61900000000003</v>
      </c>
      <c r="D590" s="2">
        <v>270.13299999999998</v>
      </c>
      <c r="E590" s="2">
        <v>0.51400000000000001</v>
      </c>
      <c r="F590" s="2">
        <v>268.947</v>
      </c>
      <c r="G590" s="2">
        <v>269.42</v>
      </c>
      <c r="H590" s="2">
        <v>0.47299999999999998</v>
      </c>
      <c r="I590" s="2">
        <v>266.33699999999999</v>
      </c>
      <c r="J590" s="2">
        <v>266.69200000000001</v>
      </c>
      <c r="K590" s="15">
        <v>2.7280000000000002</v>
      </c>
      <c r="L590" s="2">
        <v>23.163</v>
      </c>
      <c r="N590" s="7">
        <f t="shared" si="87"/>
        <v>479.69999999995343</v>
      </c>
      <c r="O590" s="1">
        <v>0</v>
      </c>
      <c r="P590" s="1" t="str">
        <f t="shared" si="84"/>
        <v>479.699999999953,0</v>
      </c>
      <c r="Q590" s="6" t="s">
        <v>10</v>
      </c>
      <c r="R590" s="1">
        <v>90</v>
      </c>
      <c r="S590" s="1">
        <v>2.5</v>
      </c>
      <c r="T590" s="1" t="str">
        <f t="shared" si="86"/>
        <v>-text 479.699999999953,0 2.5 90 1153890.5</v>
      </c>
      <c r="U590" s="7"/>
      <c r="V590" s="7"/>
      <c r="W590" s="7"/>
      <c r="X590" s="7"/>
    </row>
    <row r="591" spans="1:24" x14ac:dyDescent="0.35">
      <c r="A591" s="1">
        <v>264500</v>
      </c>
      <c r="B591" s="7">
        <v>1153910.8999999999</v>
      </c>
      <c r="C591" s="2">
        <v>269.66699999999997</v>
      </c>
      <c r="D591" s="2">
        <v>270.14600000000002</v>
      </c>
      <c r="E591" s="2">
        <v>0.47799999999999998</v>
      </c>
      <c r="F591" s="2">
        <v>268.995</v>
      </c>
      <c r="G591" s="2">
        <v>269.43299999999999</v>
      </c>
      <c r="H591" s="2">
        <v>0.437</v>
      </c>
      <c r="I591" s="2">
        <v>266.50099999999998</v>
      </c>
      <c r="J591" s="2">
        <v>266.69200000000001</v>
      </c>
      <c r="K591" s="15">
        <v>2.7410000000000001</v>
      </c>
      <c r="L591" s="2">
        <v>22.835999999999999</v>
      </c>
      <c r="N591" s="7">
        <f>N588+(B591-B588)</f>
        <v>500.0999999998603</v>
      </c>
      <c r="O591" s="1">
        <v>0</v>
      </c>
      <c r="P591" s="1" t="str">
        <f t="shared" ref="P591" si="88">CONCATENATE(N591,",",O591)</f>
        <v>500.09999999986,0</v>
      </c>
      <c r="Q591" s="6" t="s">
        <v>10</v>
      </c>
      <c r="R591" s="1">
        <v>90</v>
      </c>
      <c r="S591" s="1">
        <v>2.5</v>
      </c>
      <c r="T591" s="1" t="str">
        <f t="shared" si="86"/>
        <v>-text 500.09999999986,0 2.5 90 1153910.9</v>
      </c>
      <c r="U591" s="7"/>
      <c r="V591" s="7"/>
      <c r="W591" s="7"/>
      <c r="X591" s="7"/>
    </row>
    <row r="592" spans="1:24" s="10" customFormat="1" x14ac:dyDescent="0.35">
      <c r="B592" s="11"/>
      <c r="C592" s="9"/>
      <c r="D592" s="9"/>
      <c r="E592" s="9"/>
      <c r="F592" s="9"/>
      <c r="G592" s="9"/>
      <c r="H592" s="9"/>
      <c r="I592" s="9"/>
      <c r="J592" s="9"/>
      <c r="K592" s="16"/>
      <c r="L592" s="9"/>
      <c r="M592" s="9"/>
      <c r="N592" s="11"/>
      <c r="Q592" s="12"/>
      <c r="U592" s="11"/>
      <c r="V592" s="11"/>
      <c r="W592" s="11"/>
      <c r="X592" s="11"/>
    </row>
    <row r="593" spans="1:24" x14ac:dyDescent="0.35">
      <c r="A593" s="1">
        <v>264500</v>
      </c>
      <c r="B593" s="7">
        <v>1153910.8999999999</v>
      </c>
      <c r="C593" s="2">
        <v>269.66699999999997</v>
      </c>
      <c r="D593" s="2">
        <v>270.14600000000002</v>
      </c>
      <c r="E593" s="2">
        <v>0.47799999999999998</v>
      </c>
      <c r="F593" s="2">
        <v>268.995</v>
      </c>
      <c r="G593" s="2">
        <v>269.43299999999999</v>
      </c>
      <c r="H593" s="2">
        <v>0.437</v>
      </c>
      <c r="I593" s="2">
        <v>266.50099999999998</v>
      </c>
      <c r="J593" s="2">
        <v>266.69200000000001</v>
      </c>
      <c r="K593" s="15">
        <v>2.7410000000000001</v>
      </c>
      <c r="L593" s="2">
        <v>22.835999999999999</v>
      </c>
      <c r="N593" s="7">
        <v>0</v>
      </c>
      <c r="O593" s="1">
        <v>0</v>
      </c>
      <c r="P593" s="1" t="str">
        <f t="shared" si="84"/>
        <v>0,0</v>
      </c>
      <c r="Q593" s="6" t="s">
        <v>10</v>
      </c>
      <c r="R593" s="1">
        <v>90</v>
      </c>
      <c r="S593" s="1">
        <v>2.5</v>
      </c>
      <c r="T593" s="1" t="str">
        <f t="shared" ref="T593:T618" si="89">$Q593&amp;" "&amp;$P593&amp;" "&amp;$S593&amp;" "&amp;$R593&amp;" "&amp;$B593</f>
        <v>-text 0,0 2.5 90 1153910.9</v>
      </c>
      <c r="U593" s="7"/>
      <c r="V593" s="7"/>
      <c r="W593" s="7"/>
      <c r="X593" s="7"/>
    </row>
    <row r="594" spans="1:24" x14ac:dyDescent="0.35">
      <c r="A594" s="1">
        <v>264520</v>
      </c>
      <c r="B594" s="7">
        <v>1153930.3999999999</v>
      </c>
      <c r="C594" s="2">
        <v>269.767</v>
      </c>
      <c r="D594" s="2">
        <v>270.15800000000002</v>
      </c>
      <c r="E594" s="2">
        <v>0.39100000000000001</v>
      </c>
      <c r="F594" s="2">
        <v>269.09500000000003</v>
      </c>
      <c r="G594" s="2">
        <v>269.44499999999999</v>
      </c>
      <c r="H594" s="2">
        <v>0.35</v>
      </c>
      <c r="I594" s="2">
        <v>266.79199999999997</v>
      </c>
      <c r="J594" s="2">
        <v>266.96899999999999</v>
      </c>
      <c r="K594" s="15">
        <v>2.476</v>
      </c>
      <c r="L594" s="2">
        <v>22.501999999999999</v>
      </c>
      <c r="N594" s="7">
        <f t="shared" ref="N594:N617" si="90">N593+(B594-B593)</f>
        <v>19.5</v>
      </c>
      <c r="O594" s="1">
        <v>0</v>
      </c>
      <c r="P594" s="1" t="str">
        <f t="shared" si="84"/>
        <v>19.5,0</v>
      </c>
      <c r="Q594" s="6" t="s">
        <v>10</v>
      </c>
      <c r="R594" s="1">
        <v>90</v>
      </c>
      <c r="S594" s="1">
        <v>2.5</v>
      </c>
      <c r="T594" s="1" t="str">
        <f t="shared" si="89"/>
        <v>-text 19.5,0 2.5 90 1153930.4</v>
      </c>
      <c r="U594" s="7"/>
      <c r="V594" s="7"/>
      <c r="W594" s="7"/>
      <c r="X594" s="7"/>
    </row>
    <row r="595" spans="1:24" x14ac:dyDescent="0.35">
      <c r="A595" s="1">
        <v>264540</v>
      </c>
      <c r="B595" s="7">
        <v>1153950.3999999999</v>
      </c>
      <c r="C595" s="2">
        <v>269.80599999999998</v>
      </c>
      <c r="D595" s="2">
        <v>270.17099999999999</v>
      </c>
      <c r="E595" s="2">
        <v>0.36499999999999999</v>
      </c>
      <c r="F595" s="2">
        <v>269.13400000000001</v>
      </c>
      <c r="G595" s="2">
        <v>269.45800000000003</v>
      </c>
      <c r="H595" s="2">
        <v>0.32400000000000001</v>
      </c>
      <c r="I595" s="2">
        <v>266.60000000000002</v>
      </c>
      <c r="J595" s="2">
        <v>266.839</v>
      </c>
      <c r="K595" s="15">
        <v>2.6179999999999999</v>
      </c>
      <c r="L595" s="2">
        <v>22.161999999999999</v>
      </c>
      <c r="N595" s="7">
        <f t="shared" si="90"/>
        <v>39.5</v>
      </c>
      <c r="O595" s="1">
        <v>0</v>
      </c>
      <c r="P595" s="1" t="str">
        <f t="shared" si="84"/>
        <v>39.5,0</v>
      </c>
      <c r="Q595" s="6" t="s">
        <v>10</v>
      </c>
      <c r="R595" s="1">
        <v>90</v>
      </c>
      <c r="S595" s="1">
        <v>2.5</v>
      </c>
      <c r="T595" s="1" t="str">
        <f t="shared" si="89"/>
        <v>-text 39.5,0 2.5 90 1153950.4</v>
      </c>
      <c r="U595" s="7"/>
      <c r="V595" s="7"/>
      <c r="W595" s="7"/>
      <c r="X595" s="7"/>
    </row>
    <row r="596" spans="1:24" x14ac:dyDescent="0.35">
      <c r="A596" s="1">
        <v>264560</v>
      </c>
      <c r="B596" s="7">
        <v>1153970.3999999999</v>
      </c>
      <c r="C596" s="2">
        <v>269.81099999999998</v>
      </c>
      <c r="D596" s="2">
        <v>270.18299999999999</v>
      </c>
      <c r="E596" s="2">
        <v>0.372</v>
      </c>
      <c r="F596" s="2">
        <v>269.13900000000001</v>
      </c>
      <c r="G596" s="2">
        <v>269.47000000000003</v>
      </c>
      <c r="H596" s="2">
        <v>0.33100000000000002</v>
      </c>
      <c r="I596" s="2">
        <v>266.37200000000001</v>
      </c>
      <c r="J596" s="2">
        <v>266.75599999999997</v>
      </c>
      <c r="K596" s="15">
        <v>2.714</v>
      </c>
      <c r="L596" s="2">
        <v>21.815000000000001</v>
      </c>
      <c r="N596" s="7">
        <f t="shared" si="90"/>
        <v>59.5</v>
      </c>
      <c r="O596" s="1">
        <v>0</v>
      </c>
      <c r="P596" s="1" t="str">
        <f t="shared" si="84"/>
        <v>59.5,0</v>
      </c>
      <c r="Q596" s="6" t="s">
        <v>10</v>
      </c>
      <c r="R596" s="1">
        <v>90</v>
      </c>
      <c r="S596" s="1">
        <v>2.5</v>
      </c>
      <c r="T596" s="1" t="str">
        <f t="shared" si="89"/>
        <v>-text 59.5,0 2.5 90 1153970.4</v>
      </c>
      <c r="U596" s="7"/>
      <c r="V596" s="7"/>
      <c r="W596" s="7"/>
      <c r="X596" s="7"/>
    </row>
    <row r="597" spans="1:24" x14ac:dyDescent="0.35">
      <c r="A597" s="1">
        <v>264580</v>
      </c>
      <c r="B597" s="7">
        <v>1153990.5</v>
      </c>
      <c r="C597" s="2">
        <v>269.803</v>
      </c>
      <c r="D597" s="2">
        <v>270.19600000000003</v>
      </c>
      <c r="E597" s="2">
        <v>0.39300000000000002</v>
      </c>
      <c r="F597" s="2">
        <v>269.13099999999997</v>
      </c>
      <c r="G597" s="2">
        <v>269.483</v>
      </c>
      <c r="H597" s="2">
        <v>0.35199999999999998</v>
      </c>
      <c r="I597" s="2">
        <v>266.178</v>
      </c>
      <c r="J597" s="2">
        <v>266.13299999999998</v>
      </c>
      <c r="K597" s="15">
        <v>3.35</v>
      </c>
      <c r="L597" s="2">
        <v>21.466999999999999</v>
      </c>
      <c r="N597" s="7">
        <f t="shared" si="90"/>
        <v>79.600000000093132</v>
      </c>
      <c r="O597" s="1">
        <v>0</v>
      </c>
      <c r="P597" s="1" t="str">
        <f t="shared" si="84"/>
        <v>79.6000000000931,0</v>
      </c>
      <c r="Q597" s="6" t="s">
        <v>10</v>
      </c>
      <c r="R597" s="1">
        <v>90</v>
      </c>
      <c r="S597" s="1">
        <v>2.5</v>
      </c>
      <c r="T597" s="1" t="str">
        <f t="shared" si="89"/>
        <v>-text 79.6000000000931,0 2.5 90 1153990.5</v>
      </c>
      <c r="U597" s="7"/>
      <c r="V597" s="7"/>
      <c r="W597" s="7"/>
      <c r="X597" s="7"/>
    </row>
    <row r="598" spans="1:24" x14ac:dyDescent="0.35">
      <c r="A598" s="1">
        <v>264600</v>
      </c>
      <c r="B598" s="7">
        <v>1154010.3999999999</v>
      </c>
      <c r="C598" s="2">
        <v>269.79700000000003</v>
      </c>
      <c r="D598" s="2">
        <v>270.20800000000003</v>
      </c>
      <c r="E598" s="2">
        <v>0.41199999999999998</v>
      </c>
      <c r="F598" s="2">
        <v>269.125</v>
      </c>
      <c r="G598" s="2">
        <v>269.495</v>
      </c>
      <c r="H598" s="2">
        <v>0.371</v>
      </c>
      <c r="I598" s="2">
        <v>266.36599999999999</v>
      </c>
      <c r="J598" s="2">
        <v>266.58</v>
      </c>
      <c r="K598" s="15">
        <v>2.9159999999999999</v>
      </c>
      <c r="L598" s="2">
        <v>21.103999999999999</v>
      </c>
      <c r="N598" s="7">
        <f t="shared" si="90"/>
        <v>99.5</v>
      </c>
      <c r="O598" s="1">
        <v>0</v>
      </c>
      <c r="P598" s="1" t="str">
        <f t="shared" si="84"/>
        <v>99.5,0</v>
      </c>
      <c r="Q598" s="6" t="s">
        <v>10</v>
      </c>
      <c r="R598" s="1">
        <v>90</v>
      </c>
      <c r="S598" s="1">
        <v>2.5</v>
      </c>
      <c r="T598" s="1" t="str">
        <f t="shared" si="89"/>
        <v>-text 99.5,0 2.5 90 1154010.4</v>
      </c>
      <c r="U598" s="7"/>
      <c r="V598" s="7"/>
      <c r="W598" s="7"/>
      <c r="X598" s="7"/>
    </row>
    <row r="599" spans="1:24" x14ac:dyDescent="0.35">
      <c r="A599" s="1">
        <v>264620</v>
      </c>
      <c r="B599" s="7">
        <v>1154030.3999999999</v>
      </c>
      <c r="C599" s="2">
        <v>269.79199999999997</v>
      </c>
      <c r="D599" s="2">
        <v>270.221</v>
      </c>
      <c r="E599" s="2">
        <v>0.43</v>
      </c>
      <c r="F599" s="2">
        <v>269.12</v>
      </c>
      <c r="G599" s="2">
        <v>269.50799999999998</v>
      </c>
      <c r="H599" s="2">
        <v>0.38900000000000001</v>
      </c>
      <c r="I599" s="2">
        <v>266.68</v>
      </c>
      <c r="J599" s="2">
        <v>266.48099999999999</v>
      </c>
      <c r="K599" s="15">
        <v>3.0270000000000001</v>
      </c>
      <c r="L599" s="2">
        <v>20.727</v>
      </c>
      <c r="N599" s="7">
        <f t="shared" si="90"/>
        <v>119.5</v>
      </c>
      <c r="O599" s="1">
        <v>0</v>
      </c>
      <c r="P599" s="1" t="str">
        <f t="shared" si="84"/>
        <v>119.5,0</v>
      </c>
      <c r="Q599" s="6" t="s">
        <v>10</v>
      </c>
      <c r="R599" s="1">
        <v>90</v>
      </c>
      <c r="S599" s="1">
        <v>2.5</v>
      </c>
      <c r="T599" s="1" t="str">
        <f t="shared" si="89"/>
        <v>-text 119.5,0 2.5 90 1154030.4</v>
      </c>
      <c r="U599" s="7"/>
      <c r="V599" s="7"/>
      <c r="W599" s="7"/>
      <c r="X599" s="7"/>
    </row>
    <row r="600" spans="1:24" x14ac:dyDescent="0.35">
      <c r="A600" s="1">
        <v>264640</v>
      </c>
      <c r="B600" s="7">
        <v>1154050.5</v>
      </c>
      <c r="C600" s="2">
        <v>269.80599999999998</v>
      </c>
      <c r="D600" s="2">
        <v>270.23399999999998</v>
      </c>
      <c r="E600" s="2">
        <v>0.42799999999999999</v>
      </c>
      <c r="F600" s="2">
        <v>269.13400000000001</v>
      </c>
      <c r="G600" s="2">
        <v>269.52100000000002</v>
      </c>
      <c r="H600" s="2">
        <v>0.38700000000000001</v>
      </c>
      <c r="I600" s="2">
        <v>267.10599999999999</v>
      </c>
      <c r="J600" s="2">
        <v>267.07799999999997</v>
      </c>
      <c r="K600" s="15">
        <v>2.4430000000000001</v>
      </c>
      <c r="L600" s="2">
        <v>20.353000000000002</v>
      </c>
      <c r="N600" s="7">
        <f t="shared" si="90"/>
        <v>139.60000000009313</v>
      </c>
      <c r="O600" s="1">
        <v>0</v>
      </c>
      <c r="P600" s="1" t="str">
        <f t="shared" si="84"/>
        <v>139.600000000093,0</v>
      </c>
      <c r="Q600" s="6" t="s">
        <v>10</v>
      </c>
      <c r="R600" s="1">
        <v>90</v>
      </c>
      <c r="S600" s="1">
        <v>2.5</v>
      </c>
      <c r="T600" s="1" t="str">
        <f t="shared" si="89"/>
        <v>-text 139.600000000093,0 2.5 90 1154050.5</v>
      </c>
      <c r="U600" s="7"/>
      <c r="V600" s="7"/>
      <c r="W600" s="7"/>
      <c r="X600" s="7"/>
    </row>
    <row r="601" spans="1:24" x14ac:dyDescent="0.35">
      <c r="A601" s="1">
        <v>264660</v>
      </c>
      <c r="B601" s="7">
        <v>1154070.5</v>
      </c>
      <c r="C601" s="2">
        <v>269.78500000000003</v>
      </c>
      <c r="D601" s="2">
        <v>270.24599999999998</v>
      </c>
      <c r="E601" s="2">
        <v>0.46200000000000002</v>
      </c>
      <c r="F601" s="2">
        <v>269.113</v>
      </c>
      <c r="G601" s="2">
        <v>269.53300000000002</v>
      </c>
      <c r="H601" s="2">
        <v>0.42099999999999999</v>
      </c>
      <c r="I601" s="2">
        <v>267.505</v>
      </c>
      <c r="J601" s="2">
        <v>267.81400000000002</v>
      </c>
      <c r="K601" s="15">
        <v>1.72</v>
      </c>
      <c r="L601" s="2">
        <v>20.036000000000001</v>
      </c>
      <c r="N601" s="7">
        <f t="shared" si="90"/>
        <v>159.60000000009313</v>
      </c>
      <c r="O601" s="1">
        <v>0</v>
      </c>
      <c r="P601" s="1" t="str">
        <f t="shared" si="84"/>
        <v>159.600000000093,0</v>
      </c>
      <c r="Q601" s="6" t="s">
        <v>10</v>
      </c>
      <c r="R601" s="1">
        <v>90</v>
      </c>
      <c r="S601" s="1">
        <v>2.5</v>
      </c>
      <c r="T601" s="1" t="str">
        <f t="shared" si="89"/>
        <v>-text 159.600000000093,0 2.5 90 1154070.5</v>
      </c>
      <c r="U601" s="7"/>
      <c r="V601" s="7"/>
      <c r="W601" s="7"/>
      <c r="X601" s="7"/>
    </row>
    <row r="602" spans="1:24" x14ac:dyDescent="0.35">
      <c r="A602" s="1">
        <v>264680</v>
      </c>
      <c r="B602" s="7">
        <v>1154090.5</v>
      </c>
      <c r="C602" s="2">
        <v>269.78699999999998</v>
      </c>
      <c r="D602" s="2">
        <v>270.25900000000001</v>
      </c>
      <c r="E602" s="2">
        <v>0.47199999999999998</v>
      </c>
      <c r="F602" s="2">
        <v>269.11500000000001</v>
      </c>
      <c r="G602" s="2">
        <v>269.54599999999999</v>
      </c>
      <c r="H602" s="2">
        <v>0.43099999999999999</v>
      </c>
      <c r="I602" s="2">
        <v>267.52600000000001</v>
      </c>
      <c r="J602" s="2">
        <v>267.625</v>
      </c>
      <c r="K602" s="15">
        <v>1.921</v>
      </c>
      <c r="L602" s="2">
        <v>19.712</v>
      </c>
      <c r="N602" s="7">
        <f t="shared" si="90"/>
        <v>179.60000000009313</v>
      </c>
      <c r="O602" s="1">
        <v>0</v>
      </c>
      <c r="P602" s="1" t="str">
        <f t="shared" si="84"/>
        <v>179.600000000093,0</v>
      </c>
      <c r="Q602" s="6" t="s">
        <v>10</v>
      </c>
      <c r="R602" s="1">
        <v>90</v>
      </c>
      <c r="S602" s="1">
        <v>2.5</v>
      </c>
      <c r="T602" s="1" t="str">
        <f t="shared" si="89"/>
        <v>-text 179.600000000093,0 2.5 90 1154090.5</v>
      </c>
      <c r="U602" s="7"/>
      <c r="V602" s="7"/>
      <c r="W602" s="7"/>
      <c r="X602" s="7"/>
    </row>
    <row r="603" spans="1:24" x14ac:dyDescent="0.35">
      <c r="A603" s="1">
        <v>264700</v>
      </c>
      <c r="B603" s="7">
        <v>1154110.5</v>
      </c>
      <c r="C603" s="2">
        <v>269.77699999999999</v>
      </c>
      <c r="D603" s="2">
        <v>270.27199999999999</v>
      </c>
      <c r="E603" s="2">
        <v>0.495</v>
      </c>
      <c r="F603" s="2">
        <v>269.10500000000002</v>
      </c>
      <c r="G603" s="2">
        <v>269.55900000000003</v>
      </c>
      <c r="H603" s="2">
        <v>0.45400000000000001</v>
      </c>
      <c r="I603" s="2">
        <v>267.45800000000003</v>
      </c>
      <c r="J603" s="2">
        <v>268.14499999999998</v>
      </c>
      <c r="K603" s="15">
        <v>1.413</v>
      </c>
      <c r="L603" s="2">
        <v>19.338999999999999</v>
      </c>
      <c r="N603" s="7">
        <f t="shared" si="90"/>
        <v>199.60000000009313</v>
      </c>
      <c r="O603" s="1">
        <v>0</v>
      </c>
      <c r="P603" s="1" t="str">
        <f t="shared" si="84"/>
        <v>199.600000000093,0</v>
      </c>
      <c r="Q603" s="6" t="s">
        <v>10</v>
      </c>
      <c r="R603" s="1">
        <v>90</v>
      </c>
      <c r="S603" s="1">
        <v>2.5</v>
      </c>
      <c r="T603" s="1" t="str">
        <f t="shared" si="89"/>
        <v>-text 199.600000000093,0 2.5 90 1154110.5</v>
      </c>
      <c r="U603" s="7"/>
      <c r="V603" s="7"/>
      <c r="W603" s="7"/>
      <c r="X603" s="7"/>
    </row>
    <row r="604" spans="1:24" x14ac:dyDescent="0.35">
      <c r="A604" s="1">
        <v>264720</v>
      </c>
      <c r="B604" s="7">
        <v>1154130.3999999999</v>
      </c>
      <c r="C604" s="2">
        <v>269.78500000000003</v>
      </c>
      <c r="D604" s="2">
        <v>270.28399999999999</v>
      </c>
      <c r="E604" s="2">
        <v>0.5</v>
      </c>
      <c r="F604" s="2">
        <v>269.113</v>
      </c>
      <c r="G604" s="2">
        <v>269.57100000000003</v>
      </c>
      <c r="H604" s="2">
        <v>0.45900000000000002</v>
      </c>
      <c r="I604" s="2">
        <v>267.351</v>
      </c>
      <c r="J604" s="2">
        <v>267.75599999999997</v>
      </c>
      <c r="K604" s="15">
        <v>1.8160000000000001</v>
      </c>
      <c r="L604" s="2">
        <v>18.920999999999999</v>
      </c>
      <c r="N604" s="7">
        <f t="shared" si="90"/>
        <v>219.5</v>
      </c>
      <c r="O604" s="1">
        <v>0</v>
      </c>
      <c r="P604" s="1" t="str">
        <f t="shared" si="84"/>
        <v>219.5,0</v>
      </c>
      <c r="Q604" s="6" t="s">
        <v>10</v>
      </c>
      <c r="R604" s="1">
        <v>90</v>
      </c>
      <c r="S604" s="1">
        <v>2.5</v>
      </c>
      <c r="T604" s="1" t="str">
        <f t="shared" si="89"/>
        <v>-text 219.5,0 2.5 90 1154130.4</v>
      </c>
      <c r="U604" s="7"/>
      <c r="V604" s="7"/>
      <c r="W604" s="7"/>
      <c r="X604" s="7"/>
    </row>
    <row r="605" spans="1:24" x14ac:dyDescent="0.35">
      <c r="A605" s="1">
        <v>264740</v>
      </c>
      <c r="B605" s="7">
        <v>1154150.5</v>
      </c>
      <c r="C605" s="2">
        <v>269.83600000000001</v>
      </c>
      <c r="D605" s="2">
        <v>270.29700000000003</v>
      </c>
      <c r="E605" s="2">
        <v>0.46100000000000002</v>
      </c>
      <c r="F605" s="2">
        <v>269.16399999999999</v>
      </c>
      <c r="G605" s="2">
        <v>269.584</v>
      </c>
      <c r="H605" s="2">
        <v>0.42</v>
      </c>
      <c r="I605" s="2">
        <v>266.59199999999998</v>
      </c>
      <c r="J605" s="2">
        <v>267.16899999999998</v>
      </c>
      <c r="K605" s="15">
        <v>2.415</v>
      </c>
      <c r="L605" s="2">
        <v>18.440999999999999</v>
      </c>
      <c r="N605" s="7">
        <f t="shared" si="90"/>
        <v>239.60000000009313</v>
      </c>
      <c r="O605" s="1">
        <v>0</v>
      </c>
      <c r="P605" s="1" t="str">
        <f t="shared" si="84"/>
        <v>239.600000000093,0</v>
      </c>
      <c r="Q605" s="6" t="s">
        <v>10</v>
      </c>
      <c r="R605" s="1">
        <v>90</v>
      </c>
      <c r="S605" s="1">
        <v>2.5</v>
      </c>
      <c r="T605" s="1" t="str">
        <f t="shared" si="89"/>
        <v>-text 239.600000000093,0 2.5 90 1154150.5</v>
      </c>
      <c r="U605" s="7"/>
      <c r="V605" s="7"/>
      <c r="W605" s="7"/>
      <c r="X605" s="7"/>
    </row>
    <row r="606" spans="1:24" x14ac:dyDescent="0.35">
      <c r="A606" s="1">
        <v>264760</v>
      </c>
      <c r="B606" s="7">
        <v>1154170.5</v>
      </c>
      <c r="C606" s="2">
        <v>269.887</v>
      </c>
      <c r="D606" s="2">
        <v>270.31</v>
      </c>
      <c r="E606" s="2">
        <v>0.42299999999999999</v>
      </c>
      <c r="F606" s="2">
        <v>269.21499999999997</v>
      </c>
      <c r="G606" s="2">
        <v>269.59699999999998</v>
      </c>
      <c r="H606" s="2">
        <v>0.38200000000000001</v>
      </c>
      <c r="I606" s="2">
        <v>266.077</v>
      </c>
      <c r="J606" s="2">
        <v>267.68400000000003</v>
      </c>
      <c r="K606" s="15">
        <v>1.9119999999999999</v>
      </c>
      <c r="L606" s="2">
        <v>17.927</v>
      </c>
      <c r="N606" s="7">
        <f t="shared" si="90"/>
        <v>259.60000000009313</v>
      </c>
      <c r="O606" s="1">
        <v>0</v>
      </c>
      <c r="P606" s="1" t="str">
        <f t="shared" si="84"/>
        <v>259.600000000093,0</v>
      </c>
      <c r="Q606" s="6" t="s">
        <v>10</v>
      </c>
      <c r="R606" s="1">
        <v>90</v>
      </c>
      <c r="S606" s="1">
        <v>2.5</v>
      </c>
      <c r="T606" s="1" t="str">
        <f t="shared" si="89"/>
        <v>-text 259.600000000093,0 2.5 90 1154170.5</v>
      </c>
      <c r="U606" s="7"/>
      <c r="V606" s="7"/>
      <c r="W606" s="7"/>
      <c r="X606" s="7"/>
    </row>
    <row r="607" spans="1:24" x14ac:dyDescent="0.35">
      <c r="A607" s="1">
        <v>264780</v>
      </c>
      <c r="B607" s="7">
        <v>1154190.5</v>
      </c>
      <c r="C607" s="2">
        <v>269.935</v>
      </c>
      <c r="D607" s="2">
        <v>270.322</v>
      </c>
      <c r="E607" s="2">
        <v>0.38800000000000001</v>
      </c>
      <c r="F607" s="2">
        <v>269.26299999999998</v>
      </c>
      <c r="G607" s="2">
        <v>269.60899999999998</v>
      </c>
      <c r="H607" s="2">
        <v>0.34699999999999998</v>
      </c>
      <c r="I607" s="2">
        <v>265.99599999999998</v>
      </c>
      <c r="J607" s="2">
        <v>267.77300000000002</v>
      </c>
      <c r="K607" s="15">
        <v>1.837</v>
      </c>
      <c r="L607" s="2">
        <v>17.427</v>
      </c>
      <c r="N607" s="7">
        <f t="shared" si="90"/>
        <v>279.60000000009313</v>
      </c>
      <c r="O607" s="1">
        <v>0</v>
      </c>
      <c r="P607" s="1" t="str">
        <f t="shared" si="84"/>
        <v>279.600000000093,0</v>
      </c>
      <c r="Q607" s="6" t="s">
        <v>10</v>
      </c>
      <c r="R607" s="1">
        <v>90</v>
      </c>
      <c r="S607" s="1">
        <v>2.5</v>
      </c>
      <c r="T607" s="1" t="str">
        <f t="shared" si="89"/>
        <v>-text 279.600000000093,0 2.5 90 1154190.5</v>
      </c>
      <c r="U607" s="7"/>
      <c r="V607" s="7"/>
      <c r="W607" s="7"/>
      <c r="X607" s="7"/>
    </row>
    <row r="608" spans="1:24" x14ac:dyDescent="0.35">
      <c r="A608" s="1">
        <v>264800</v>
      </c>
      <c r="B608" s="7">
        <v>1154210.6000000001</v>
      </c>
      <c r="C608" s="2">
        <v>269.98099999999999</v>
      </c>
      <c r="D608" s="2">
        <v>270.33499999999998</v>
      </c>
      <c r="E608" s="2">
        <v>0.35399999999999998</v>
      </c>
      <c r="F608" s="2">
        <v>269.30900000000003</v>
      </c>
      <c r="G608" s="2">
        <v>269.62200000000001</v>
      </c>
      <c r="H608" s="2">
        <v>0.313</v>
      </c>
      <c r="I608" s="2">
        <v>266.04000000000002</v>
      </c>
      <c r="J608" s="2">
        <v>267.721</v>
      </c>
      <c r="K608" s="15">
        <v>1.901</v>
      </c>
      <c r="L608" s="2">
        <v>16.922999999999998</v>
      </c>
      <c r="N608" s="7">
        <f t="shared" si="90"/>
        <v>299.70000000018626</v>
      </c>
      <c r="O608" s="1">
        <v>0</v>
      </c>
      <c r="P608" s="1" t="str">
        <f t="shared" si="84"/>
        <v>299.700000000186,0</v>
      </c>
      <c r="Q608" s="6" t="s">
        <v>10</v>
      </c>
      <c r="R608" s="1">
        <v>90</v>
      </c>
      <c r="S608" s="1">
        <v>2.5</v>
      </c>
      <c r="T608" s="1" t="str">
        <f t="shared" si="89"/>
        <v>-text 299.700000000186,0 2.5 90 1154210.6</v>
      </c>
      <c r="U608" s="7"/>
      <c r="V608" s="7"/>
      <c r="W608" s="7"/>
      <c r="X608" s="7"/>
    </row>
    <row r="609" spans="1:24" x14ac:dyDescent="0.35">
      <c r="A609" s="1">
        <v>264820</v>
      </c>
      <c r="B609" s="7">
        <v>1154230.6000000001</v>
      </c>
      <c r="C609" s="2">
        <v>270.01100000000002</v>
      </c>
      <c r="D609" s="2">
        <v>270.34800000000001</v>
      </c>
      <c r="E609" s="2">
        <v>0.33600000000000002</v>
      </c>
      <c r="F609" s="2">
        <v>269.339</v>
      </c>
      <c r="G609" s="2">
        <v>269.63499999999999</v>
      </c>
      <c r="H609" s="2">
        <v>0.29499999999999998</v>
      </c>
      <c r="I609" s="2">
        <v>266.24700000000001</v>
      </c>
      <c r="J609" s="2">
        <v>267.74299999999999</v>
      </c>
      <c r="K609" s="15">
        <v>1.8919999999999999</v>
      </c>
      <c r="L609" s="2">
        <v>16.47</v>
      </c>
      <c r="N609" s="7">
        <f t="shared" si="90"/>
        <v>319.70000000018626</v>
      </c>
      <c r="O609" s="1">
        <v>0</v>
      </c>
      <c r="P609" s="1" t="str">
        <f t="shared" si="84"/>
        <v>319.700000000186,0</v>
      </c>
      <c r="Q609" s="6" t="s">
        <v>10</v>
      </c>
      <c r="R609" s="1">
        <v>90</v>
      </c>
      <c r="S609" s="1">
        <v>2.5</v>
      </c>
      <c r="T609" s="1" t="str">
        <f t="shared" si="89"/>
        <v>-text 319.700000000186,0 2.5 90 1154230.6</v>
      </c>
      <c r="U609" s="7"/>
      <c r="V609" s="7"/>
      <c r="W609" s="7"/>
      <c r="X609" s="7"/>
    </row>
    <row r="610" spans="1:24" x14ac:dyDescent="0.35">
      <c r="A610" s="1">
        <v>264840</v>
      </c>
      <c r="B610" s="7">
        <v>1154250.6000000001</v>
      </c>
      <c r="C610" s="2">
        <v>270.041</v>
      </c>
      <c r="D610" s="2">
        <v>270.36</v>
      </c>
      <c r="E610" s="2">
        <v>0.31900000000000001</v>
      </c>
      <c r="F610" s="2">
        <v>269.36900000000003</v>
      </c>
      <c r="G610" s="2">
        <v>269.64699999999999</v>
      </c>
      <c r="H610" s="2">
        <v>0.27800000000000002</v>
      </c>
      <c r="I610" s="2">
        <v>266.43099999999998</v>
      </c>
      <c r="J610" s="2">
        <v>267.803</v>
      </c>
      <c r="K610" s="15">
        <v>1.8440000000000001</v>
      </c>
      <c r="L610" s="2">
        <v>16.015999999999998</v>
      </c>
      <c r="N610" s="7">
        <f t="shared" si="90"/>
        <v>339.70000000018626</v>
      </c>
      <c r="O610" s="1">
        <v>0</v>
      </c>
      <c r="P610" s="1" t="str">
        <f t="shared" si="84"/>
        <v>339.700000000186,0</v>
      </c>
      <c r="Q610" s="6" t="s">
        <v>10</v>
      </c>
      <c r="R610" s="1">
        <v>90</v>
      </c>
      <c r="S610" s="1">
        <v>2.5</v>
      </c>
      <c r="T610" s="1" t="str">
        <f t="shared" si="89"/>
        <v>-text 339.700000000186,0 2.5 90 1154250.6</v>
      </c>
      <c r="U610" s="7"/>
      <c r="V610" s="7"/>
      <c r="W610" s="7"/>
      <c r="X610" s="7"/>
    </row>
    <row r="611" spans="1:24" x14ac:dyDescent="0.35">
      <c r="A611" s="1">
        <v>264860</v>
      </c>
      <c r="B611" s="7">
        <v>1154270.6000000001</v>
      </c>
      <c r="C611" s="2">
        <v>270.04000000000002</v>
      </c>
      <c r="D611" s="2">
        <v>270.37299999999999</v>
      </c>
      <c r="E611" s="2">
        <v>0.33200000000000002</v>
      </c>
      <c r="F611" s="2">
        <v>269.36799999999999</v>
      </c>
      <c r="G611" s="2">
        <v>269.66000000000003</v>
      </c>
      <c r="H611" s="2">
        <v>0.29099999999999998</v>
      </c>
      <c r="I611" s="2">
        <v>266.71899999999999</v>
      </c>
      <c r="J611" s="2">
        <v>268.09199999999998</v>
      </c>
      <c r="K611" s="15">
        <v>1.5680000000000001</v>
      </c>
      <c r="L611" s="2">
        <v>15.625</v>
      </c>
      <c r="N611" s="7">
        <f t="shared" si="90"/>
        <v>359.70000000018626</v>
      </c>
      <c r="O611" s="1">
        <v>0</v>
      </c>
      <c r="P611" s="1" t="str">
        <f t="shared" si="84"/>
        <v>359.700000000186,0</v>
      </c>
      <c r="Q611" s="6" t="s">
        <v>10</v>
      </c>
      <c r="R611" s="1">
        <v>90</v>
      </c>
      <c r="S611" s="1">
        <v>2.5</v>
      </c>
      <c r="T611" s="1" t="str">
        <f t="shared" si="89"/>
        <v>-text 359.700000000186,0 2.5 90 1154270.6</v>
      </c>
      <c r="U611" s="7"/>
      <c r="V611" s="7"/>
      <c r="W611" s="7"/>
      <c r="X611" s="7"/>
    </row>
    <row r="612" spans="1:24" x14ac:dyDescent="0.35">
      <c r="A612" s="1">
        <v>264880</v>
      </c>
      <c r="B612" s="7">
        <v>1154290.6000000001</v>
      </c>
      <c r="C612" s="2">
        <v>270.04000000000002</v>
      </c>
      <c r="D612" s="2">
        <v>270.38600000000002</v>
      </c>
      <c r="E612" s="2">
        <v>0.34599999999999997</v>
      </c>
      <c r="F612" s="2">
        <v>269.36799999999999</v>
      </c>
      <c r="G612" s="2">
        <v>269.673</v>
      </c>
      <c r="H612" s="2">
        <v>0.30499999999999999</v>
      </c>
      <c r="I612" s="2">
        <v>266.98899999999998</v>
      </c>
      <c r="J612" s="2">
        <v>268.07900000000001</v>
      </c>
      <c r="K612" s="15">
        <v>1.593</v>
      </c>
      <c r="L612" s="2">
        <v>15.233000000000001</v>
      </c>
      <c r="N612" s="7">
        <f t="shared" si="90"/>
        <v>379.70000000018626</v>
      </c>
      <c r="O612" s="1">
        <v>0</v>
      </c>
      <c r="P612" s="1" t="str">
        <f t="shared" si="84"/>
        <v>379.700000000186,0</v>
      </c>
      <c r="Q612" s="6" t="s">
        <v>10</v>
      </c>
      <c r="R612" s="1">
        <v>90</v>
      </c>
      <c r="S612" s="1">
        <v>2.5</v>
      </c>
      <c r="T612" s="1" t="str">
        <f t="shared" si="89"/>
        <v>-text 379.700000000186,0 2.5 90 1154290.6</v>
      </c>
      <c r="U612" s="7"/>
      <c r="V612" s="7"/>
      <c r="W612" s="7"/>
      <c r="X612" s="7"/>
    </row>
    <row r="613" spans="1:24" x14ac:dyDescent="0.35">
      <c r="A613" s="1">
        <v>264900</v>
      </c>
      <c r="B613" s="7">
        <v>1154310.6000000001</v>
      </c>
      <c r="C613" s="2">
        <v>270.02600000000001</v>
      </c>
      <c r="D613" s="2">
        <v>270.39800000000002</v>
      </c>
      <c r="E613" s="2">
        <v>0.372</v>
      </c>
      <c r="F613" s="2">
        <v>269.35399999999998</v>
      </c>
      <c r="G613" s="2">
        <v>269.685</v>
      </c>
      <c r="H613" s="2">
        <v>0.33100000000000002</v>
      </c>
      <c r="I613" s="2">
        <v>267.34100000000001</v>
      </c>
      <c r="J613" s="2">
        <v>268.11500000000001</v>
      </c>
      <c r="K613" s="15">
        <v>1.57</v>
      </c>
      <c r="L613" s="2">
        <v>14.83</v>
      </c>
      <c r="N613" s="7">
        <f t="shared" si="90"/>
        <v>399.70000000018626</v>
      </c>
      <c r="O613" s="1">
        <v>0</v>
      </c>
      <c r="P613" s="1" t="str">
        <f t="shared" si="84"/>
        <v>399.700000000186,0</v>
      </c>
      <c r="Q613" s="6" t="s">
        <v>10</v>
      </c>
      <c r="R613" s="1">
        <v>90</v>
      </c>
      <c r="S613" s="1">
        <v>2.5</v>
      </c>
      <c r="T613" s="1" t="str">
        <f t="shared" si="89"/>
        <v>-text 399.700000000186,0 2.5 90 1154310.6</v>
      </c>
      <c r="U613" s="7"/>
      <c r="V613" s="7"/>
      <c r="W613" s="7"/>
      <c r="X613" s="7"/>
    </row>
    <row r="614" spans="1:24" x14ac:dyDescent="0.35">
      <c r="A614" s="1">
        <v>264920</v>
      </c>
      <c r="B614" s="7">
        <v>1154330.8</v>
      </c>
      <c r="C614" s="2">
        <v>270.00700000000001</v>
      </c>
      <c r="D614" s="2">
        <v>270.411</v>
      </c>
      <c r="E614" s="2">
        <v>0.40400000000000003</v>
      </c>
      <c r="F614" s="2">
        <v>269.33499999999998</v>
      </c>
      <c r="G614" s="2">
        <v>269.69799999999998</v>
      </c>
      <c r="H614" s="2">
        <v>0.36299999999999999</v>
      </c>
      <c r="I614" s="2">
        <v>267.64400000000001</v>
      </c>
      <c r="J614" s="2">
        <v>268.30700000000002</v>
      </c>
      <c r="K614" s="15">
        <v>1.391</v>
      </c>
      <c r="L614" s="2">
        <v>14.487</v>
      </c>
      <c r="N614" s="7">
        <f t="shared" si="90"/>
        <v>419.9000000001397</v>
      </c>
      <c r="O614" s="1">
        <v>0</v>
      </c>
      <c r="P614" s="1" t="str">
        <f t="shared" si="84"/>
        <v>419.90000000014,0</v>
      </c>
      <c r="Q614" s="6" t="s">
        <v>10</v>
      </c>
      <c r="R614" s="1">
        <v>90</v>
      </c>
      <c r="S614" s="1">
        <v>2.5</v>
      </c>
      <c r="T614" s="1" t="str">
        <f t="shared" si="89"/>
        <v>-text 419.90000000014,0 2.5 90 1154330.8</v>
      </c>
      <c r="U614" s="7"/>
      <c r="V614" s="7"/>
      <c r="W614" s="7"/>
      <c r="X614" s="7"/>
    </row>
    <row r="615" spans="1:24" x14ac:dyDescent="0.35">
      <c r="A615" s="1">
        <v>264940</v>
      </c>
      <c r="B615" s="7">
        <v>1154350.8</v>
      </c>
      <c r="C615" s="2">
        <v>269.99</v>
      </c>
      <c r="D615" s="2">
        <v>270.42399999999998</v>
      </c>
      <c r="E615" s="2">
        <v>0.434</v>
      </c>
      <c r="F615" s="2">
        <v>269.31799999999998</v>
      </c>
      <c r="G615" s="2">
        <v>269.71100000000001</v>
      </c>
      <c r="H615" s="2">
        <v>0.39300000000000002</v>
      </c>
      <c r="I615" s="2">
        <v>267.72500000000002</v>
      </c>
      <c r="J615" s="2">
        <v>267.976</v>
      </c>
      <c r="K615" s="15">
        <v>1.7350000000000001</v>
      </c>
      <c r="L615" s="2">
        <v>14.253</v>
      </c>
      <c r="N615" s="7">
        <f t="shared" si="90"/>
        <v>439.9000000001397</v>
      </c>
      <c r="O615" s="1">
        <v>0</v>
      </c>
      <c r="P615" s="1" t="str">
        <f t="shared" si="84"/>
        <v>439.90000000014,0</v>
      </c>
      <c r="Q615" s="6" t="s">
        <v>10</v>
      </c>
      <c r="R615" s="1">
        <v>90</v>
      </c>
      <c r="S615" s="1">
        <v>2.5</v>
      </c>
      <c r="T615" s="1" t="str">
        <f t="shared" si="89"/>
        <v>-text 439.90000000014,0 2.5 90 1154350.8</v>
      </c>
      <c r="U615" s="7"/>
      <c r="V615" s="7"/>
      <c r="W615" s="7"/>
      <c r="X615" s="7"/>
    </row>
    <row r="616" spans="1:24" x14ac:dyDescent="0.35">
      <c r="A616" s="1">
        <v>264960</v>
      </c>
      <c r="B616" s="7">
        <v>1154370.8</v>
      </c>
      <c r="C616" s="2">
        <v>269.983</v>
      </c>
      <c r="D616" s="2">
        <v>270.43599999999998</v>
      </c>
      <c r="E616" s="2">
        <v>0.45300000000000001</v>
      </c>
      <c r="F616" s="2">
        <v>269.31099999999998</v>
      </c>
      <c r="G616" s="2">
        <v>269.72300000000001</v>
      </c>
      <c r="H616" s="2">
        <v>0.41199999999999998</v>
      </c>
      <c r="I616" s="2">
        <v>267.60599999999999</v>
      </c>
      <c r="J616" s="2">
        <v>268.31599999999997</v>
      </c>
      <c r="K616" s="15">
        <v>1.4079999999999999</v>
      </c>
      <c r="L616" s="2">
        <v>14.045999999999999</v>
      </c>
      <c r="N616" s="7">
        <f t="shared" si="90"/>
        <v>459.9000000001397</v>
      </c>
      <c r="O616" s="1">
        <v>0</v>
      </c>
      <c r="P616" s="1" t="str">
        <f t="shared" si="84"/>
        <v>459.90000000014,0</v>
      </c>
      <c r="Q616" s="6" t="s">
        <v>10</v>
      </c>
      <c r="R616" s="1">
        <v>90</v>
      </c>
      <c r="S616" s="1">
        <v>2.5</v>
      </c>
      <c r="T616" s="1" t="str">
        <f t="shared" si="89"/>
        <v>-text 459.90000000014,0 2.5 90 1154370.8</v>
      </c>
      <c r="U616" s="7"/>
      <c r="V616" s="7"/>
      <c r="W616" s="7"/>
      <c r="X616" s="7"/>
    </row>
    <row r="617" spans="1:24" x14ac:dyDescent="0.35">
      <c r="A617" s="1">
        <v>264980</v>
      </c>
      <c r="B617" s="7">
        <v>1154390.8</v>
      </c>
      <c r="C617" s="2">
        <v>269.97500000000002</v>
      </c>
      <c r="D617" s="2">
        <v>270.44900000000001</v>
      </c>
      <c r="E617" s="2">
        <v>0.47399999999999998</v>
      </c>
      <c r="F617" s="2">
        <v>269.303</v>
      </c>
      <c r="G617" s="2">
        <v>269.73599999999999</v>
      </c>
      <c r="H617" s="2">
        <v>0.433</v>
      </c>
      <c r="I617" s="2">
        <v>266.88799999999998</v>
      </c>
      <c r="J617" s="2">
        <v>268.13299999999998</v>
      </c>
      <c r="K617" s="15">
        <v>1.603</v>
      </c>
      <c r="L617" s="2">
        <v>13.837999999999999</v>
      </c>
      <c r="N617" s="7">
        <f t="shared" si="90"/>
        <v>479.9000000001397</v>
      </c>
      <c r="O617" s="1">
        <v>0</v>
      </c>
      <c r="P617" s="1" t="str">
        <f t="shared" si="84"/>
        <v>479.90000000014,0</v>
      </c>
      <c r="Q617" s="6" t="s">
        <v>10</v>
      </c>
      <c r="R617" s="1">
        <v>90</v>
      </c>
      <c r="S617" s="1">
        <v>2.5</v>
      </c>
      <c r="T617" s="1" t="str">
        <f t="shared" si="89"/>
        <v>-text 479.90000000014,0 2.5 90 1154390.8</v>
      </c>
      <c r="U617" s="7"/>
      <c r="V617" s="7"/>
      <c r="W617" s="7"/>
      <c r="X617" s="7"/>
    </row>
    <row r="618" spans="1:24" x14ac:dyDescent="0.35">
      <c r="A618" s="1">
        <v>265000</v>
      </c>
      <c r="B618" s="7">
        <v>1154410.8</v>
      </c>
      <c r="C618" s="2">
        <v>269.99200000000002</v>
      </c>
      <c r="D618" s="2">
        <v>270.46199999999999</v>
      </c>
      <c r="E618" s="2">
        <v>0.47</v>
      </c>
      <c r="F618" s="2">
        <v>269.32</v>
      </c>
      <c r="G618" s="2">
        <v>269.74900000000002</v>
      </c>
      <c r="H618" s="2">
        <v>0.42899999999999999</v>
      </c>
      <c r="I618" s="2">
        <v>266.33199999999999</v>
      </c>
      <c r="J618" s="2">
        <v>267.90600000000001</v>
      </c>
      <c r="K618" s="15">
        <v>1.8420000000000001</v>
      </c>
      <c r="L618" s="2">
        <v>13.629</v>
      </c>
      <c r="N618" s="7">
        <f>N615+(B618-B615)</f>
        <v>499.9000000001397</v>
      </c>
      <c r="O618" s="1">
        <v>0</v>
      </c>
      <c r="P618" s="1" t="str">
        <f t="shared" ref="P618" si="91">CONCATENATE(N618,",",O618)</f>
        <v>499.90000000014,0</v>
      </c>
      <c r="Q618" s="6" t="s">
        <v>10</v>
      </c>
      <c r="R618" s="1">
        <v>90</v>
      </c>
      <c r="S618" s="1">
        <v>2.5</v>
      </c>
      <c r="T618" s="1" t="str">
        <f t="shared" si="89"/>
        <v>-text 499.90000000014,0 2.5 90 1154410.8</v>
      </c>
      <c r="U618" s="7"/>
      <c r="V618" s="7"/>
      <c r="W618" s="7"/>
      <c r="X618" s="7"/>
    </row>
    <row r="619" spans="1:24" s="10" customFormat="1" x14ac:dyDescent="0.35">
      <c r="B619" s="11"/>
      <c r="C619" s="9"/>
      <c r="D619" s="9"/>
      <c r="E619" s="9"/>
      <c r="F619" s="9"/>
      <c r="G619" s="9"/>
      <c r="H619" s="9"/>
      <c r="I619" s="9"/>
      <c r="J619" s="9"/>
      <c r="K619" s="16"/>
      <c r="L619" s="9"/>
      <c r="M619" s="9"/>
      <c r="N619" s="11"/>
      <c r="Q619" s="12"/>
      <c r="U619" s="11"/>
      <c r="V619" s="11"/>
      <c r="W619" s="11"/>
      <c r="X619" s="11"/>
    </row>
    <row r="620" spans="1:24" x14ac:dyDescent="0.35">
      <c r="A620" s="1">
        <v>265000</v>
      </c>
      <c r="B620" s="7">
        <v>1154410.8</v>
      </c>
      <c r="C620" s="2">
        <v>269.99200000000002</v>
      </c>
      <c r="D620" s="2">
        <v>270.46199999999999</v>
      </c>
      <c r="E620" s="2">
        <v>0.47</v>
      </c>
      <c r="F620" s="2">
        <v>269.32</v>
      </c>
      <c r="G620" s="2">
        <v>269.74900000000002</v>
      </c>
      <c r="H620" s="2">
        <v>0.42899999999999999</v>
      </c>
      <c r="I620" s="2">
        <v>266.33199999999999</v>
      </c>
      <c r="J620" s="2">
        <v>267.90600000000001</v>
      </c>
      <c r="K620" s="15">
        <v>1.8420000000000001</v>
      </c>
      <c r="L620" s="2">
        <v>13.629</v>
      </c>
      <c r="N620" s="7">
        <v>0</v>
      </c>
      <c r="O620" s="1">
        <v>0</v>
      </c>
      <c r="P620" s="1" t="str">
        <f t="shared" si="84"/>
        <v>0,0</v>
      </c>
      <c r="Q620" s="6" t="s">
        <v>10</v>
      </c>
      <c r="R620" s="1">
        <v>90</v>
      </c>
      <c r="S620" s="1">
        <v>2.5</v>
      </c>
      <c r="T620" s="1" t="str">
        <f t="shared" ref="T620:T645" si="92">$Q620&amp;" "&amp;$P620&amp;" "&amp;$S620&amp;" "&amp;$R620&amp;" "&amp;$B620</f>
        <v>-text 0,0 2.5 90 1154410.8</v>
      </c>
      <c r="U620" s="7"/>
      <c r="V620" s="7"/>
      <c r="W620" s="7"/>
      <c r="X620" s="7"/>
    </row>
    <row r="621" spans="1:24" x14ac:dyDescent="0.35">
      <c r="A621" s="1">
        <v>265020</v>
      </c>
      <c r="B621" s="7">
        <v>1154430.8</v>
      </c>
      <c r="C621" s="2">
        <v>270.01</v>
      </c>
      <c r="D621" s="2">
        <v>270.47399999999999</v>
      </c>
      <c r="E621" s="2">
        <v>0.46400000000000002</v>
      </c>
      <c r="F621" s="2">
        <v>269.33800000000002</v>
      </c>
      <c r="G621" s="2">
        <v>269.76100000000002</v>
      </c>
      <c r="H621" s="2">
        <v>0.42299999999999999</v>
      </c>
      <c r="I621" s="2">
        <v>266.85199999999998</v>
      </c>
      <c r="J621" s="2">
        <v>268.101</v>
      </c>
      <c r="K621" s="15">
        <v>1.66</v>
      </c>
      <c r="L621" s="2">
        <v>13.419</v>
      </c>
      <c r="N621" s="7">
        <f t="shared" ref="N621:N644" si="93">N620+(B621-B620)</f>
        <v>20</v>
      </c>
      <c r="O621" s="1">
        <v>0</v>
      </c>
      <c r="P621" s="1" t="str">
        <f t="shared" si="84"/>
        <v>20,0</v>
      </c>
      <c r="Q621" s="6" t="s">
        <v>10</v>
      </c>
      <c r="R621" s="1">
        <v>90</v>
      </c>
      <c r="S621" s="1">
        <v>2.5</v>
      </c>
      <c r="T621" s="1" t="str">
        <f t="shared" si="92"/>
        <v>-text 20,0 2.5 90 1154430.8</v>
      </c>
      <c r="U621" s="7"/>
      <c r="V621" s="7"/>
      <c r="W621" s="7"/>
      <c r="X621" s="7"/>
    </row>
    <row r="622" spans="1:24" x14ac:dyDescent="0.35">
      <c r="A622" s="1">
        <v>265040</v>
      </c>
      <c r="B622" s="7">
        <v>1154450.8</v>
      </c>
      <c r="C622" s="2">
        <v>270.01799999999997</v>
      </c>
      <c r="D622" s="2">
        <v>270.48700000000002</v>
      </c>
      <c r="E622" s="2">
        <v>0.46899999999999997</v>
      </c>
      <c r="F622" s="2">
        <v>269.346</v>
      </c>
      <c r="G622" s="2">
        <v>269.774</v>
      </c>
      <c r="H622" s="2">
        <v>0.42799999999999999</v>
      </c>
      <c r="I622" s="2">
        <v>267.04599999999999</v>
      </c>
      <c r="J622" s="2">
        <v>268.30599999999998</v>
      </c>
      <c r="K622" s="15">
        <v>1.468</v>
      </c>
      <c r="L622" s="2">
        <v>13.188000000000001</v>
      </c>
      <c r="N622" s="7">
        <f t="shared" si="93"/>
        <v>40</v>
      </c>
      <c r="O622" s="1">
        <v>0</v>
      </c>
      <c r="P622" s="1" t="str">
        <f t="shared" si="84"/>
        <v>40,0</v>
      </c>
      <c r="Q622" s="6" t="s">
        <v>10</v>
      </c>
      <c r="R622" s="1">
        <v>90</v>
      </c>
      <c r="S622" s="1">
        <v>2.5</v>
      </c>
      <c r="T622" s="1" t="str">
        <f t="shared" si="92"/>
        <v>-text 40,0 2.5 90 1154450.8</v>
      </c>
      <c r="U622" s="7"/>
      <c r="V622" s="7"/>
      <c r="W622" s="7"/>
      <c r="X622" s="7"/>
    </row>
    <row r="623" spans="1:24" x14ac:dyDescent="0.35">
      <c r="A623" s="1">
        <v>265060</v>
      </c>
      <c r="B623" s="7">
        <v>1154470.8</v>
      </c>
      <c r="C623" s="2">
        <v>270.02199999999999</v>
      </c>
      <c r="D623" s="2">
        <v>270.49900000000002</v>
      </c>
      <c r="E623" s="2">
        <v>0.47699999999999998</v>
      </c>
      <c r="F623" s="2">
        <v>269.35000000000002</v>
      </c>
      <c r="G623" s="2">
        <v>269.786</v>
      </c>
      <c r="H623" s="2">
        <v>0.436</v>
      </c>
      <c r="I623" s="2">
        <v>267.28699999999998</v>
      </c>
      <c r="J623" s="2">
        <v>268.47899999999998</v>
      </c>
      <c r="K623" s="15">
        <v>1.3069999999999999</v>
      </c>
      <c r="L623" s="2">
        <v>12.951000000000001</v>
      </c>
      <c r="N623" s="7">
        <f t="shared" si="93"/>
        <v>60</v>
      </c>
      <c r="O623" s="1">
        <v>0</v>
      </c>
      <c r="P623" s="1" t="str">
        <f t="shared" si="84"/>
        <v>60,0</v>
      </c>
      <c r="Q623" s="6" t="s">
        <v>10</v>
      </c>
      <c r="R623" s="1">
        <v>90</v>
      </c>
      <c r="S623" s="1">
        <v>2.5</v>
      </c>
      <c r="T623" s="1" t="str">
        <f t="shared" si="92"/>
        <v>-text 60,0 2.5 90 1154470.8</v>
      </c>
      <c r="U623" s="7"/>
      <c r="V623" s="7"/>
      <c r="W623" s="7"/>
      <c r="X623" s="7"/>
    </row>
    <row r="624" spans="1:24" x14ac:dyDescent="0.35">
      <c r="A624" s="1">
        <v>265080</v>
      </c>
      <c r="B624" s="7">
        <v>1154490.8</v>
      </c>
      <c r="C624" s="2">
        <v>270.03399999999999</v>
      </c>
      <c r="D624" s="2">
        <v>270.512</v>
      </c>
      <c r="E624" s="2">
        <v>0.47799999999999998</v>
      </c>
      <c r="F624" s="2">
        <v>269.36200000000002</v>
      </c>
      <c r="G624" s="2">
        <v>269.79899999999998</v>
      </c>
      <c r="H624" s="2">
        <v>0.437</v>
      </c>
      <c r="I624" s="2">
        <v>267.22800000000001</v>
      </c>
      <c r="J624" s="2">
        <v>267.85700000000003</v>
      </c>
      <c r="K624" s="15">
        <v>1.9419999999999999</v>
      </c>
      <c r="L624" s="2">
        <v>12.731</v>
      </c>
      <c r="N624" s="7">
        <f t="shared" si="93"/>
        <v>80</v>
      </c>
      <c r="O624" s="1">
        <v>0</v>
      </c>
      <c r="P624" s="1" t="str">
        <f t="shared" ref="P624:P672" si="94">CONCATENATE(N624,",",O624)</f>
        <v>80,0</v>
      </c>
      <c r="Q624" s="6" t="s">
        <v>10</v>
      </c>
      <c r="R624" s="1">
        <v>90</v>
      </c>
      <c r="S624" s="1">
        <v>2.5</v>
      </c>
      <c r="T624" s="1" t="str">
        <f t="shared" si="92"/>
        <v>-text 80,0 2.5 90 1154490.8</v>
      </c>
      <c r="U624" s="7"/>
      <c r="V624" s="7"/>
      <c r="W624" s="7"/>
      <c r="X624" s="7"/>
    </row>
    <row r="625" spans="1:24" x14ac:dyDescent="0.35">
      <c r="A625" s="1">
        <v>265100</v>
      </c>
      <c r="B625" s="7">
        <v>1154510.8</v>
      </c>
      <c r="C625" s="2">
        <v>270.06400000000002</v>
      </c>
      <c r="D625" s="2">
        <v>270.52499999999998</v>
      </c>
      <c r="E625" s="2">
        <v>0.46100000000000002</v>
      </c>
      <c r="F625" s="2">
        <v>269.392</v>
      </c>
      <c r="G625" s="2">
        <v>269.81200000000001</v>
      </c>
      <c r="H625" s="2">
        <v>0.42</v>
      </c>
      <c r="I625" s="2">
        <v>266.721</v>
      </c>
      <c r="J625" s="2">
        <v>267.17899999999997</v>
      </c>
      <c r="K625" s="15">
        <v>2.633</v>
      </c>
      <c r="L625" s="2">
        <v>12.551</v>
      </c>
      <c r="N625" s="7">
        <f t="shared" si="93"/>
        <v>100</v>
      </c>
      <c r="O625" s="1">
        <v>0</v>
      </c>
      <c r="P625" s="1" t="str">
        <f t="shared" si="94"/>
        <v>100,0</v>
      </c>
      <c r="Q625" s="6" t="s">
        <v>10</v>
      </c>
      <c r="R625" s="1">
        <v>90</v>
      </c>
      <c r="S625" s="1">
        <v>2.5</v>
      </c>
      <c r="T625" s="1" t="str">
        <f t="shared" si="92"/>
        <v>-text 100,0 2.5 90 1154510.8</v>
      </c>
      <c r="U625" s="7"/>
      <c r="V625" s="7"/>
      <c r="W625" s="7"/>
      <c r="X625" s="7"/>
    </row>
    <row r="626" spans="1:24" x14ac:dyDescent="0.35">
      <c r="A626" s="1">
        <v>265120</v>
      </c>
      <c r="B626" s="7">
        <v>1154530.8</v>
      </c>
      <c r="C626" s="2">
        <v>270.09199999999998</v>
      </c>
      <c r="D626" s="2">
        <v>270.53699999999998</v>
      </c>
      <c r="E626" s="2">
        <v>0.44600000000000001</v>
      </c>
      <c r="F626" s="2">
        <v>269.42</v>
      </c>
      <c r="G626" s="2">
        <v>269.82400000000001</v>
      </c>
      <c r="H626" s="2">
        <v>0.40500000000000003</v>
      </c>
      <c r="I626" s="2">
        <v>266.637</v>
      </c>
      <c r="J626" s="2">
        <v>267.03199999999998</v>
      </c>
      <c r="K626" s="15">
        <v>2.7930000000000001</v>
      </c>
      <c r="L626" s="2">
        <v>12.367000000000001</v>
      </c>
      <c r="N626" s="7">
        <f t="shared" si="93"/>
        <v>120</v>
      </c>
      <c r="O626" s="1">
        <v>0</v>
      </c>
      <c r="P626" s="1" t="str">
        <f t="shared" si="94"/>
        <v>120,0</v>
      </c>
      <c r="Q626" s="6" t="s">
        <v>10</v>
      </c>
      <c r="R626" s="1">
        <v>90</v>
      </c>
      <c r="S626" s="1">
        <v>2.5</v>
      </c>
      <c r="T626" s="1" t="str">
        <f t="shared" si="92"/>
        <v>-text 120,0 2.5 90 1154530.8</v>
      </c>
      <c r="U626" s="7"/>
      <c r="V626" s="7"/>
      <c r="W626" s="7"/>
      <c r="X626" s="7"/>
    </row>
    <row r="627" spans="1:24" x14ac:dyDescent="0.35">
      <c r="A627" s="1">
        <v>265140</v>
      </c>
      <c r="B627" s="7">
        <v>1154550.8</v>
      </c>
      <c r="C627" s="2">
        <v>270.11900000000003</v>
      </c>
      <c r="D627" s="2">
        <v>270.55</v>
      </c>
      <c r="E627" s="2">
        <v>0.43099999999999999</v>
      </c>
      <c r="F627" s="2">
        <v>269.447</v>
      </c>
      <c r="G627" s="2">
        <v>269.83699999999999</v>
      </c>
      <c r="H627" s="2">
        <v>0.39</v>
      </c>
      <c r="I627" s="2">
        <v>266.77100000000002</v>
      </c>
      <c r="J627" s="2">
        <v>266.80099999999999</v>
      </c>
      <c r="K627" s="15">
        <v>3.036</v>
      </c>
      <c r="L627" s="2">
        <v>12.179</v>
      </c>
      <c r="N627" s="7">
        <f t="shared" si="93"/>
        <v>140</v>
      </c>
      <c r="O627" s="1">
        <v>0</v>
      </c>
      <c r="P627" s="1" t="str">
        <f t="shared" si="94"/>
        <v>140,0</v>
      </c>
      <c r="Q627" s="6" t="s">
        <v>10</v>
      </c>
      <c r="R627" s="1">
        <v>90</v>
      </c>
      <c r="S627" s="1">
        <v>2.5</v>
      </c>
      <c r="T627" s="1" t="str">
        <f t="shared" si="92"/>
        <v>-text 140,0 2.5 90 1154550.8</v>
      </c>
      <c r="U627" s="7"/>
      <c r="V627" s="7"/>
      <c r="W627" s="7"/>
      <c r="X627" s="7"/>
    </row>
    <row r="628" spans="1:24" x14ac:dyDescent="0.35">
      <c r="A628" s="1">
        <v>265160</v>
      </c>
      <c r="B628" s="7">
        <v>1154570.8</v>
      </c>
      <c r="C628" s="2">
        <v>270.142</v>
      </c>
      <c r="D628" s="2">
        <v>270.56299999999999</v>
      </c>
      <c r="E628" s="2">
        <v>0.42099999999999999</v>
      </c>
      <c r="F628" s="2">
        <v>269.47000000000003</v>
      </c>
      <c r="G628" s="2">
        <v>269.85000000000002</v>
      </c>
      <c r="H628" s="2">
        <v>0.38</v>
      </c>
      <c r="I628" s="2">
        <v>266.66500000000002</v>
      </c>
      <c r="J628" s="2">
        <v>266.839</v>
      </c>
      <c r="K628" s="15">
        <v>3.01</v>
      </c>
      <c r="L628" s="2">
        <v>11.984999999999999</v>
      </c>
      <c r="N628" s="7">
        <f t="shared" si="93"/>
        <v>160</v>
      </c>
      <c r="O628" s="1">
        <v>0</v>
      </c>
      <c r="P628" s="1" t="str">
        <f t="shared" si="94"/>
        <v>160,0</v>
      </c>
      <c r="Q628" s="6" t="s">
        <v>10</v>
      </c>
      <c r="R628" s="1">
        <v>90</v>
      </c>
      <c r="S628" s="1">
        <v>2.5</v>
      </c>
      <c r="T628" s="1" t="str">
        <f t="shared" si="92"/>
        <v>-text 160,0 2.5 90 1154570.8</v>
      </c>
      <c r="U628" s="7"/>
      <c r="V628" s="7"/>
      <c r="W628" s="7"/>
      <c r="X628" s="7"/>
    </row>
    <row r="629" spans="1:24" x14ac:dyDescent="0.35">
      <c r="A629" s="1">
        <v>265180</v>
      </c>
      <c r="B629" s="7">
        <v>1154590.8</v>
      </c>
      <c r="C629" s="2">
        <v>270.14600000000002</v>
      </c>
      <c r="D629" s="2">
        <v>270.57499999999999</v>
      </c>
      <c r="E629" s="2">
        <v>0.42899999999999999</v>
      </c>
      <c r="F629" s="2">
        <v>269.47399999999999</v>
      </c>
      <c r="G629" s="2">
        <v>269.86200000000002</v>
      </c>
      <c r="H629" s="2">
        <v>0.38800000000000001</v>
      </c>
      <c r="I629" s="2">
        <v>266.64999999999998</v>
      </c>
      <c r="J629" s="2">
        <v>267.464</v>
      </c>
      <c r="K629" s="15">
        <v>2.3980000000000001</v>
      </c>
      <c r="L629" s="2">
        <v>11.771000000000001</v>
      </c>
      <c r="N629" s="7">
        <f t="shared" si="93"/>
        <v>180</v>
      </c>
      <c r="O629" s="1">
        <v>0</v>
      </c>
      <c r="P629" s="1" t="str">
        <f t="shared" si="94"/>
        <v>180,0</v>
      </c>
      <c r="Q629" s="6" t="s">
        <v>10</v>
      </c>
      <c r="R629" s="1">
        <v>90</v>
      </c>
      <c r="S629" s="1">
        <v>2.5</v>
      </c>
      <c r="T629" s="1" t="str">
        <f t="shared" si="92"/>
        <v>-text 180,0 2.5 90 1154590.8</v>
      </c>
      <c r="U629" s="7"/>
      <c r="V629" s="7"/>
      <c r="W629" s="7"/>
      <c r="X629" s="7"/>
    </row>
    <row r="630" spans="1:24" x14ac:dyDescent="0.35">
      <c r="A630" s="1">
        <v>265200</v>
      </c>
      <c r="B630" s="7">
        <v>1154610.8</v>
      </c>
      <c r="C630" s="2">
        <v>270.14</v>
      </c>
      <c r="D630" s="2">
        <v>270.58800000000002</v>
      </c>
      <c r="E630" s="2">
        <v>0.44800000000000001</v>
      </c>
      <c r="F630" s="2">
        <v>269.46800000000002</v>
      </c>
      <c r="G630" s="2">
        <v>269.875</v>
      </c>
      <c r="H630" s="2">
        <v>0.40699999999999997</v>
      </c>
      <c r="I630" s="2">
        <v>266.99799999999999</v>
      </c>
      <c r="J630" s="2">
        <v>267.53899999999999</v>
      </c>
      <c r="K630" s="15">
        <v>2.3359999999999999</v>
      </c>
      <c r="L630" s="2">
        <v>11.568</v>
      </c>
      <c r="N630" s="7">
        <f t="shared" si="93"/>
        <v>200</v>
      </c>
      <c r="O630" s="1">
        <v>0</v>
      </c>
      <c r="P630" s="1" t="str">
        <f t="shared" si="94"/>
        <v>200,0</v>
      </c>
      <c r="Q630" s="6" t="s">
        <v>10</v>
      </c>
      <c r="R630" s="1">
        <v>90</v>
      </c>
      <c r="S630" s="1">
        <v>2.5</v>
      </c>
      <c r="T630" s="1" t="str">
        <f t="shared" si="92"/>
        <v>-text 200,0 2.5 90 1154610.8</v>
      </c>
      <c r="U630" s="7"/>
      <c r="V630" s="7"/>
      <c r="W630" s="7"/>
      <c r="X630" s="7"/>
    </row>
    <row r="631" spans="1:24" x14ac:dyDescent="0.35">
      <c r="A631" s="1">
        <v>265220</v>
      </c>
      <c r="B631" s="7">
        <v>1154630.8</v>
      </c>
      <c r="C631" s="2">
        <v>270.10199999999998</v>
      </c>
      <c r="D631" s="2">
        <v>270.601</v>
      </c>
      <c r="E631" s="2">
        <v>0.499</v>
      </c>
      <c r="F631" s="2">
        <v>269.43</v>
      </c>
      <c r="G631" s="2">
        <v>269.88799999999998</v>
      </c>
      <c r="H631" s="2">
        <v>0.45800000000000002</v>
      </c>
      <c r="I631" s="2">
        <v>266.88799999999998</v>
      </c>
      <c r="J631" s="2">
        <v>267.58999999999997</v>
      </c>
      <c r="K631" s="15">
        <v>2.298</v>
      </c>
      <c r="L631" s="2">
        <v>11.396000000000001</v>
      </c>
      <c r="N631" s="7">
        <f t="shared" si="93"/>
        <v>220</v>
      </c>
      <c r="O631" s="1">
        <v>0</v>
      </c>
      <c r="P631" s="1" t="str">
        <f t="shared" si="94"/>
        <v>220,0</v>
      </c>
      <c r="Q631" s="6" t="s">
        <v>10</v>
      </c>
      <c r="R631" s="1">
        <v>90</v>
      </c>
      <c r="S631" s="1">
        <v>2.5</v>
      </c>
      <c r="T631" s="1" t="str">
        <f t="shared" si="92"/>
        <v>-text 220,0 2.5 90 1154630.8</v>
      </c>
      <c r="U631" s="7"/>
      <c r="V631" s="7"/>
      <c r="W631" s="7"/>
      <c r="X631" s="7"/>
    </row>
    <row r="632" spans="1:24" x14ac:dyDescent="0.35">
      <c r="A632" s="1">
        <v>265240</v>
      </c>
      <c r="B632" s="7">
        <v>1154650.8</v>
      </c>
      <c r="C632" s="2">
        <v>270.07100000000003</v>
      </c>
      <c r="D632" s="2">
        <v>270.613</v>
      </c>
      <c r="E632" s="2">
        <v>0.54200000000000004</v>
      </c>
      <c r="F632" s="2">
        <v>269.399</v>
      </c>
      <c r="G632" s="2">
        <v>269.89999999999998</v>
      </c>
      <c r="H632" s="2">
        <v>0.501</v>
      </c>
      <c r="I632" s="2">
        <v>266.73200000000003</v>
      </c>
      <c r="J632" s="2">
        <v>267.64100000000002</v>
      </c>
      <c r="K632" s="15">
        <v>2.2589999999999999</v>
      </c>
      <c r="L632" s="2">
        <v>11.217000000000001</v>
      </c>
      <c r="N632" s="7">
        <f t="shared" si="93"/>
        <v>240</v>
      </c>
      <c r="O632" s="1">
        <v>0</v>
      </c>
      <c r="P632" s="1" t="str">
        <f t="shared" si="94"/>
        <v>240,0</v>
      </c>
      <c r="Q632" s="6" t="s">
        <v>10</v>
      </c>
      <c r="R632" s="1">
        <v>90</v>
      </c>
      <c r="S632" s="1">
        <v>2.5</v>
      </c>
      <c r="T632" s="1" t="str">
        <f t="shared" si="92"/>
        <v>-text 240,0 2.5 90 1154650.8</v>
      </c>
      <c r="U632" s="7"/>
      <c r="V632" s="7"/>
      <c r="W632" s="7"/>
      <c r="X632" s="7"/>
    </row>
    <row r="633" spans="1:24" x14ac:dyDescent="0.35">
      <c r="A633" s="1">
        <v>265260</v>
      </c>
      <c r="B633" s="7">
        <v>1154670.8</v>
      </c>
      <c r="C633" s="2">
        <v>270.06900000000002</v>
      </c>
      <c r="D633" s="2">
        <v>270.62599999999998</v>
      </c>
      <c r="E633" s="2">
        <v>0.55700000000000005</v>
      </c>
      <c r="F633" s="2">
        <v>269.39699999999999</v>
      </c>
      <c r="G633" s="2">
        <v>269.91300000000001</v>
      </c>
      <c r="H633" s="2">
        <v>0.51600000000000001</v>
      </c>
      <c r="I633" s="2">
        <v>266.89299999999997</v>
      </c>
      <c r="J633" s="2">
        <v>267.72500000000002</v>
      </c>
      <c r="K633" s="15">
        <v>2.1880000000000002</v>
      </c>
      <c r="L633" s="2">
        <v>11.003</v>
      </c>
      <c r="N633" s="7">
        <f t="shared" si="93"/>
        <v>260</v>
      </c>
      <c r="O633" s="1">
        <v>0</v>
      </c>
      <c r="P633" s="1" t="str">
        <f t="shared" si="94"/>
        <v>260,0</v>
      </c>
      <c r="Q633" s="6" t="s">
        <v>10</v>
      </c>
      <c r="R633" s="1">
        <v>90</v>
      </c>
      <c r="S633" s="1">
        <v>2.5</v>
      </c>
      <c r="T633" s="1" t="str">
        <f t="shared" si="92"/>
        <v>-text 260,0 2.5 90 1154670.8</v>
      </c>
      <c r="U633" s="7"/>
      <c r="V633" s="7"/>
      <c r="W633" s="7"/>
      <c r="X633" s="7"/>
    </row>
    <row r="634" spans="1:24" x14ac:dyDescent="0.35">
      <c r="A634" s="1">
        <v>265280</v>
      </c>
      <c r="B634" s="7">
        <v>1154690.8</v>
      </c>
      <c r="C634" s="2">
        <v>270.06700000000001</v>
      </c>
      <c r="D634" s="2">
        <v>270.63900000000001</v>
      </c>
      <c r="E634" s="2">
        <v>0.57099999999999995</v>
      </c>
      <c r="F634" s="2">
        <v>269.39499999999998</v>
      </c>
      <c r="G634" s="2">
        <v>269.92599999999999</v>
      </c>
      <c r="H634" s="2">
        <v>0.53</v>
      </c>
      <c r="I634" s="2">
        <v>267.16300000000001</v>
      </c>
      <c r="J634" s="2">
        <v>267.34100000000001</v>
      </c>
      <c r="K634" s="15">
        <v>2.5840000000000001</v>
      </c>
      <c r="L634" s="2">
        <v>10.788</v>
      </c>
      <c r="N634" s="7">
        <f t="shared" si="93"/>
        <v>280</v>
      </c>
      <c r="O634" s="1">
        <v>0</v>
      </c>
      <c r="P634" s="1" t="str">
        <f t="shared" si="94"/>
        <v>280,0</v>
      </c>
      <c r="Q634" s="6" t="s">
        <v>10</v>
      </c>
      <c r="R634" s="1">
        <v>90</v>
      </c>
      <c r="S634" s="1">
        <v>2.5</v>
      </c>
      <c r="T634" s="1" t="str">
        <f t="shared" si="92"/>
        <v>-text 280,0 2.5 90 1154690.8</v>
      </c>
      <c r="U634" s="7"/>
      <c r="V634" s="7"/>
      <c r="W634" s="7"/>
      <c r="X634" s="7"/>
    </row>
    <row r="635" spans="1:24" x14ac:dyDescent="0.35">
      <c r="A635" s="1">
        <v>265300</v>
      </c>
      <c r="B635" s="7">
        <v>1154710.8</v>
      </c>
      <c r="C635" s="2">
        <v>270.07</v>
      </c>
      <c r="D635" s="2">
        <v>270.65100000000001</v>
      </c>
      <c r="E635" s="2">
        <v>0.58099999999999996</v>
      </c>
      <c r="F635" s="2">
        <v>269.39800000000002</v>
      </c>
      <c r="G635" s="2">
        <v>269.93799999999999</v>
      </c>
      <c r="H635" s="2">
        <v>0.54</v>
      </c>
      <c r="I635" s="2">
        <v>267.50200000000001</v>
      </c>
      <c r="J635" s="2">
        <v>267.36599999999999</v>
      </c>
      <c r="K635" s="15">
        <v>2.573</v>
      </c>
      <c r="L635" s="2">
        <v>10.577999999999999</v>
      </c>
      <c r="N635" s="7">
        <f t="shared" si="93"/>
        <v>300</v>
      </c>
      <c r="O635" s="1">
        <v>0</v>
      </c>
      <c r="P635" s="1" t="str">
        <f t="shared" si="94"/>
        <v>300,0</v>
      </c>
      <c r="Q635" s="6" t="s">
        <v>10</v>
      </c>
      <c r="R635" s="1">
        <v>90</v>
      </c>
      <c r="S635" s="1">
        <v>2.5</v>
      </c>
      <c r="T635" s="1" t="str">
        <f t="shared" si="92"/>
        <v>-text 300,0 2.5 90 1154710.8</v>
      </c>
      <c r="U635" s="7"/>
      <c r="V635" s="7"/>
      <c r="W635" s="7"/>
      <c r="X635" s="7"/>
    </row>
    <row r="636" spans="1:24" x14ac:dyDescent="0.35">
      <c r="A636" s="1">
        <v>265320</v>
      </c>
      <c r="B636" s="7">
        <v>1154730.8</v>
      </c>
      <c r="C636" s="2">
        <v>270.07600000000002</v>
      </c>
      <c r="D636" s="2">
        <v>270.66399999999999</v>
      </c>
      <c r="E636" s="2">
        <v>0.58699999999999997</v>
      </c>
      <c r="F636" s="2">
        <v>269.404</v>
      </c>
      <c r="G636" s="2">
        <v>269.95100000000002</v>
      </c>
      <c r="H636" s="2">
        <v>0.54600000000000004</v>
      </c>
      <c r="I636" s="2">
        <v>267.459</v>
      </c>
      <c r="J636" s="2">
        <v>267.387</v>
      </c>
      <c r="K636" s="15">
        <v>2.5640000000000001</v>
      </c>
      <c r="L636" s="2">
        <v>10.372</v>
      </c>
      <c r="N636" s="7">
        <f t="shared" si="93"/>
        <v>320</v>
      </c>
      <c r="O636" s="1">
        <v>0</v>
      </c>
      <c r="P636" s="1" t="str">
        <f t="shared" si="94"/>
        <v>320,0</v>
      </c>
      <c r="Q636" s="6" t="s">
        <v>10</v>
      </c>
      <c r="R636" s="1">
        <v>90</v>
      </c>
      <c r="S636" s="1">
        <v>2.5</v>
      </c>
      <c r="T636" s="1" t="str">
        <f t="shared" si="92"/>
        <v>-text 320,0 2.5 90 1154730.8</v>
      </c>
      <c r="U636" s="7"/>
      <c r="V636" s="7"/>
      <c r="W636" s="7"/>
      <c r="X636" s="7"/>
    </row>
    <row r="637" spans="1:24" x14ac:dyDescent="0.35">
      <c r="A637" s="1">
        <v>265340</v>
      </c>
      <c r="B637" s="7">
        <v>1154750.8</v>
      </c>
      <c r="C637" s="2">
        <v>270.07499999999999</v>
      </c>
      <c r="D637" s="2">
        <v>270.67599999999999</v>
      </c>
      <c r="E637" s="2">
        <v>0.60199999999999998</v>
      </c>
      <c r="F637" s="2">
        <v>269.40300000000002</v>
      </c>
      <c r="G637" s="2">
        <v>269.96300000000002</v>
      </c>
      <c r="H637" s="2">
        <v>0.56100000000000005</v>
      </c>
      <c r="I637" s="2">
        <v>267.39</v>
      </c>
      <c r="J637" s="2">
        <v>267.69400000000002</v>
      </c>
      <c r="K637" s="15">
        <v>2.2690000000000001</v>
      </c>
      <c r="L637" s="2">
        <v>10.167</v>
      </c>
      <c r="N637" s="7">
        <f t="shared" si="93"/>
        <v>340</v>
      </c>
      <c r="O637" s="1">
        <v>0</v>
      </c>
      <c r="P637" s="1" t="str">
        <f t="shared" si="94"/>
        <v>340,0</v>
      </c>
      <c r="Q637" s="6" t="s">
        <v>10</v>
      </c>
      <c r="R637" s="1">
        <v>90</v>
      </c>
      <c r="S637" s="1">
        <v>2.5</v>
      </c>
      <c r="T637" s="1" t="str">
        <f t="shared" si="92"/>
        <v>-text 340,0 2.5 90 1154750.8</v>
      </c>
      <c r="U637" s="7"/>
      <c r="V637" s="7"/>
      <c r="W637" s="7"/>
      <c r="X637" s="7"/>
    </row>
    <row r="638" spans="1:24" x14ac:dyDescent="0.35">
      <c r="A638" s="1">
        <v>265360</v>
      </c>
      <c r="B638" s="7">
        <v>1154770.8</v>
      </c>
      <c r="C638" s="2">
        <v>270.065</v>
      </c>
      <c r="D638" s="2">
        <v>270.68900000000002</v>
      </c>
      <c r="E638" s="2">
        <v>0.624</v>
      </c>
      <c r="F638" s="2">
        <v>269.39299999999997</v>
      </c>
      <c r="G638" s="2">
        <v>269.976</v>
      </c>
      <c r="H638" s="2">
        <v>0.58299999999999996</v>
      </c>
      <c r="I638" s="2">
        <v>267.483</v>
      </c>
      <c r="J638" s="2">
        <v>268.00200000000001</v>
      </c>
      <c r="K638" s="15">
        <v>1.9750000000000001</v>
      </c>
      <c r="L638" s="2">
        <v>9.9629999999999992</v>
      </c>
      <c r="N638" s="7">
        <f t="shared" si="93"/>
        <v>360</v>
      </c>
      <c r="O638" s="1">
        <v>0</v>
      </c>
      <c r="P638" s="1" t="str">
        <f t="shared" si="94"/>
        <v>360,0</v>
      </c>
      <c r="Q638" s="6" t="s">
        <v>10</v>
      </c>
      <c r="R638" s="1">
        <v>90</v>
      </c>
      <c r="S638" s="1">
        <v>2.5</v>
      </c>
      <c r="T638" s="1" t="str">
        <f t="shared" si="92"/>
        <v>-text 360,0 2.5 90 1154770.8</v>
      </c>
      <c r="U638" s="7"/>
      <c r="V638" s="7"/>
      <c r="W638" s="7"/>
      <c r="X638" s="7"/>
    </row>
    <row r="639" spans="1:24" x14ac:dyDescent="0.35">
      <c r="A639" s="1">
        <v>265380</v>
      </c>
      <c r="B639" s="7">
        <v>1154790.8</v>
      </c>
      <c r="C639" s="2">
        <v>270.05500000000001</v>
      </c>
      <c r="D639" s="2">
        <v>270.702</v>
      </c>
      <c r="E639" s="2">
        <v>0.64700000000000002</v>
      </c>
      <c r="F639" s="2">
        <v>269.38299999999998</v>
      </c>
      <c r="G639" s="2">
        <v>269.98899999999998</v>
      </c>
      <c r="H639" s="2">
        <v>0.60599999999999998</v>
      </c>
      <c r="I639" s="2">
        <v>267.77699999999999</v>
      </c>
      <c r="J639" s="2">
        <v>268.30900000000003</v>
      </c>
      <c r="K639" s="15">
        <v>1.68</v>
      </c>
      <c r="L639" s="2">
        <v>9.76</v>
      </c>
      <c r="N639" s="7">
        <f t="shared" si="93"/>
        <v>380</v>
      </c>
      <c r="O639" s="1">
        <v>0</v>
      </c>
      <c r="P639" s="1" t="str">
        <f t="shared" si="94"/>
        <v>380,0</v>
      </c>
      <c r="Q639" s="6" t="s">
        <v>10</v>
      </c>
      <c r="R639" s="1">
        <v>90</v>
      </c>
      <c r="S639" s="1">
        <v>2.5</v>
      </c>
      <c r="T639" s="1" t="str">
        <f t="shared" si="92"/>
        <v>-text 380,0 2.5 90 1154790.8</v>
      </c>
      <c r="U639" s="7"/>
      <c r="V639" s="7"/>
      <c r="W639" s="7"/>
      <c r="X639" s="7"/>
    </row>
    <row r="640" spans="1:24" x14ac:dyDescent="0.35">
      <c r="A640" s="1">
        <v>265400</v>
      </c>
      <c r="B640" s="7">
        <v>1154810.8</v>
      </c>
      <c r="C640" s="2">
        <v>270.03800000000001</v>
      </c>
      <c r="D640" s="2">
        <v>270.714</v>
      </c>
      <c r="E640" s="2">
        <v>0.67600000000000005</v>
      </c>
      <c r="F640" s="2">
        <v>269.36599999999999</v>
      </c>
      <c r="G640" s="2">
        <v>270.00099999999998</v>
      </c>
      <c r="H640" s="2">
        <v>0.63500000000000001</v>
      </c>
      <c r="I640" s="2">
        <v>267.51</v>
      </c>
      <c r="J640" s="2">
        <v>268.69900000000001</v>
      </c>
      <c r="K640" s="15">
        <v>1.3029999999999999</v>
      </c>
      <c r="L640" s="2">
        <v>9.5570000000000004</v>
      </c>
      <c r="N640" s="7">
        <f t="shared" si="93"/>
        <v>400</v>
      </c>
      <c r="O640" s="1">
        <v>0</v>
      </c>
      <c r="P640" s="1" t="str">
        <f t="shared" si="94"/>
        <v>400,0</v>
      </c>
      <c r="Q640" s="6" t="s">
        <v>10</v>
      </c>
      <c r="R640" s="1">
        <v>90</v>
      </c>
      <c r="S640" s="1">
        <v>2.5</v>
      </c>
      <c r="T640" s="1" t="str">
        <f t="shared" si="92"/>
        <v>-text 400,0 2.5 90 1154810.8</v>
      </c>
      <c r="U640" s="7"/>
      <c r="V640" s="7"/>
      <c r="W640" s="7"/>
      <c r="X640" s="7"/>
    </row>
    <row r="641" spans="1:24" x14ac:dyDescent="0.35">
      <c r="A641" s="1">
        <v>265420</v>
      </c>
      <c r="B641" s="7">
        <v>1154830.8</v>
      </c>
      <c r="C641" s="2">
        <v>270.01900000000001</v>
      </c>
      <c r="D641" s="2">
        <v>270.72699999999998</v>
      </c>
      <c r="E641" s="2">
        <v>0.70799999999999996</v>
      </c>
      <c r="F641" s="2">
        <v>269.34699999999998</v>
      </c>
      <c r="G641" s="2">
        <v>270.01400000000001</v>
      </c>
      <c r="H641" s="2">
        <v>0.66700000000000004</v>
      </c>
      <c r="I641" s="2">
        <v>266.88600000000002</v>
      </c>
      <c r="J641" s="2">
        <v>268.75700000000001</v>
      </c>
      <c r="K641" s="15">
        <v>1.2569999999999999</v>
      </c>
      <c r="L641" s="2">
        <v>9.3529999999999998</v>
      </c>
      <c r="N641" s="7">
        <f t="shared" si="93"/>
        <v>420</v>
      </c>
      <c r="O641" s="1">
        <v>0</v>
      </c>
      <c r="P641" s="1" t="str">
        <f t="shared" si="94"/>
        <v>420,0</v>
      </c>
      <c r="Q641" s="6" t="s">
        <v>10</v>
      </c>
      <c r="R641" s="1">
        <v>90</v>
      </c>
      <c r="S641" s="1">
        <v>2.5</v>
      </c>
      <c r="T641" s="1" t="str">
        <f t="shared" si="92"/>
        <v>-text 420,0 2.5 90 1154830.8</v>
      </c>
      <c r="U641" s="7"/>
      <c r="V641" s="7"/>
      <c r="W641" s="7"/>
      <c r="X641" s="7"/>
    </row>
    <row r="642" spans="1:24" x14ac:dyDescent="0.35">
      <c r="A642" s="1">
        <v>265440</v>
      </c>
      <c r="B642" s="7">
        <v>1154850.8</v>
      </c>
      <c r="C642" s="2">
        <v>270.00799999999998</v>
      </c>
      <c r="D642" s="2">
        <v>270.74</v>
      </c>
      <c r="E642" s="2">
        <v>0.73099999999999998</v>
      </c>
      <c r="F642" s="2">
        <v>269.33600000000001</v>
      </c>
      <c r="G642" s="2">
        <v>270.02699999999999</v>
      </c>
      <c r="H642" s="2">
        <v>0.69</v>
      </c>
      <c r="I642" s="2">
        <v>266.93400000000003</v>
      </c>
      <c r="J642" s="2">
        <v>268.81599999999997</v>
      </c>
      <c r="K642" s="15">
        <v>1.2110000000000001</v>
      </c>
      <c r="L642" s="2">
        <v>9.1470000000000002</v>
      </c>
      <c r="N642" s="7">
        <f t="shared" si="93"/>
        <v>440</v>
      </c>
      <c r="O642" s="1">
        <v>0</v>
      </c>
      <c r="P642" s="1" t="str">
        <f t="shared" si="94"/>
        <v>440,0</v>
      </c>
      <c r="Q642" s="6" t="s">
        <v>10</v>
      </c>
      <c r="R642" s="1">
        <v>90</v>
      </c>
      <c r="S642" s="1">
        <v>2.5</v>
      </c>
      <c r="T642" s="1" t="str">
        <f t="shared" si="92"/>
        <v>-text 440,0 2.5 90 1154850.8</v>
      </c>
      <c r="U642" s="7"/>
      <c r="V642" s="7"/>
      <c r="W642" s="7"/>
      <c r="X642" s="7"/>
    </row>
    <row r="643" spans="1:24" x14ac:dyDescent="0.35">
      <c r="A643" s="1">
        <v>265460</v>
      </c>
      <c r="B643" s="7">
        <v>1154870.8</v>
      </c>
      <c r="C643" s="2">
        <v>270.01299999999998</v>
      </c>
      <c r="D643" s="2">
        <v>270.75200000000001</v>
      </c>
      <c r="E643" s="2">
        <v>0.73899999999999999</v>
      </c>
      <c r="F643" s="2">
        <v>269.34100000000001</v>
      </c>
      <c r="G643" s="2">
        <v>270.03899999999999</v>
      </c>
      <c r="H643" s="2">
        <v>0.69799999999999995</v>
      </c>
      <c r="I643" s="2">
        <v>266.952</v>
      </c>
      <c r="J643" s="2">
        <v>268.24400000000003</v>
      </c>
      <c r="K643" s="15">
        <v>1.7949999999999999</v>
      </c>
      <c r="L643" s="2">
        <v>8.9359999999999999</v>
      </c>
      <c r="N643" s="7">
        <f t="shared" si="93"/>
        <v>460</v>
      </c>
      <c r="O643" s="1">
        <v>0</v>
      </c>
      <c r="P643" s="1" t="str">
        <f t="shared" si="94"/>
        <v>460,0</v>
      </c>
      <c r="Q643" s="6" t="s">
        <v>10</v>
      </c>
      <c r="R643" s="1">
        <v>90</v>
      </c>
      <c r="S643" s="1">
        <v>2.5</v>
      </c>
      <c r="T643" s="1" t="str">
        <f t="shared" si="92"/>
        <v>-text 460,0 2.5 90 1154870.8</v>
      </c>
      <c r="U643" s="7"/>
      <c r="V643" s="7"/>
      <c r="W643" s="7"/>
      <c r="X643" s="7"/>
    </row>
    <row r="644" spans="1:24" x14ac:dyDescent="0.35">
      <c r="A644" s="1">
        <v>265480</v>
      </c>
      <c r="B644" s="7">
        <v>1154890.8</v>
      </c>
      <c r="C644" s="2">
        <v>270.03699999999998</v>
      </c>
      <c r="D644" s="2">
        <v>270.76499999999999</v>
      </c>
      <c r="E644" s="2">
        <v>0.72799999999999998</v>
      </c>
      <c r="F644" s="2">
        <v>269.36500000000001</v>
      </c>
      <c r="G644" s="2">
        <v>270.05200000000002</v>
      </c>
      <c r="H644" s="2">
        <v>0.68700000000000006</v>
      </c>
      <c r="I644" s="2">
        <v>266.928</v>
      </c>
      <c r="J644" s="2">
        <v>268.28300000000002</v>
      </c>
      <c r="K644" s="15">
        <v>1.7689999999999999</v>
      </c>
      <c r="L644" s="2">
        <v>8.718</v>
      </c>
      <c r="N644" s="7">
        <f t="shared" si="93"/>
        <v>480</v>
      </c>
      <c r="O644" s="1">
        <v>0</v>
      </c>
      <c r="P644" s="1" t="str">
        <f t="shared" si="94"/>
        <v>480,0</v>
      </c>
      <c r="Q644" s="6" t="s">
        <v>10</v>
      </c>
      <c r="R644" s="1">
        <v>90</v>
      </c>
      <c r="S644" s="1">
        <v>2.5</v>
      </c>
      <c r="T644" s="1" t="str">
        <f t="shared" si="92"/>
        <v>-text 480,0 2.5 90 1154890.8</v>
      </c>
      <c r="U644" s="7"/>
      <c r="V644" s="7"/>
      <c r="W644" s="7"/>
      <c r="X644" s="7"/>
    </row>
    <row r="645" spans="1:24" x14ac:dyDescent="0.35">
      <c r="A645" s="1">
        <v>265500</v>
      </c>
      <c r="B645" s="7">
        <v>1154910.8</v>
      </c>
      <c r="C645" s="2">
        <v>270.07799999999997</v>
      </c>
      <c r="D645" s="2">
        <v>270.77800000000002</v>
      </c>
      <c r="E645" s="2">
        <v>0.7</v>
      </c>
      <c r="F645" s="2">
        <v>269.40600000000001</v>
      </c>
      <c r="G645" s="2">
        <v>270.065</v>
      </c>
      <c r="H645" s="2">
        <v>0.65900000000000003</v>
      </c>
      <c r="I645" s="2">
        <v>267.82600000000002</v>
      </c>
      <c r="J645" s="2">
        <v>268.45800000000003</v>
      </c>
      <c r="K645" s="15">
        <v>1.607</v>
      </c>
      <c r="L645" s="2">
        <v>8.4939999999999998</v>
      </c>
      <c r="N645" s="7">
        <f>N642+(B645-B642)</f>
        <v>500</v>
      </c>
      <c r="O645" s="1">
        <v>0</v>
      </c>
      <c r="P645" s="1" t="str">
        <f t="shared" ref="P645" si="95">CONCATENATE(N645,",",O645)</f>
        <v>500,0</v>
      </c>
      <c r="Q645" s="6" t="s">
        <v>10</v>
      </c>
      <c r="R645" s="1">
        <v>90</v>
      </c>
      <c r="S645" s="1">
        <v>2.5</v>
      </c>
      <c r="T645" s="1" t="str">
        <f t="shared" si="92"/>
        <v>-text 500,0 2.5 90 1154910.8</v>
      </c>
      <c r="U645" s="7"/>
      <c r="V645" s="7"/>
      <c r="W645" s="7"/>
      <c r="X645" s="7"/>
    </row>
    <row r="646" spans="1:24" s="10" customFormat="1" x14ac:dyDescent="0.35">
      <c r="B646" s="11"/>
      <c r="C646" s="9"/>
      <c r="D646" s="9"/>
      <c r="E646" s="9"/>
      <c r="F646" s="9"/>
      <c r="G646" s="9"/>
      <c r="H646" s="9"/>
      <c r="I646" s="9"/>
      <c r="J646" s="9"/>
      <c r="K646" s="16"/>
      <c r="L646" s="9"/>
      <c r="M646" s="9"/>
      <c r="N646" s="11"/>
      <c r="Q646" s="12"/>
      <c r="U646" s="11"/>
      <c r="V646" s="11"/>
      <c r="W646" s="11"/>
      <c r="X646" s="11"/>
    </row>
    <row r="647" spans="1:24" x14ac:dyDescent="0.35">
      <c r="A647" s="1">
        <v>265500</v>
      </c>
      <c r="B647" s="7">
        <v>1154910.8</v>
      </c>
      <c r="C647" s="2">
        <v>270.07799999999997</v>
      </c>
      <c r="D647" s="2">
        <v>270.77800000000002</v>
      </c>
      <c r="E647" s="2">
        <v>0.7</v>
      </c>
      <c r="F647" s="2">
        <v>269.40600000000001</v>
      </c>
      <c r="G647" s="2">
        <v>270.065</v>
      </c>
      <c r="H647" s="2">
        <v>0.65900000000000003</v>
      </c>
      <c r="I647" s="2">
        <v>267.82600000000002</v>
      </c>
      <c r="J647" s="2">
        <v>268.45800000000003</v>
      </c>
      <c r="K647" s="15">
        <v>1.607</v>
      </c>
      <c r="L647" s="2">
        <v>8.4939999999999998</v>
      </c>
      <c r="N647" s="7">
        <v>0</v>
      </c>
      <c r="O647" s="1">
        <v>0</v>
      </c>
      <c r="P647" s="1" t="str">
        <f t="shared" si="94"/>
        <v>0,0</v>
      </c>
      <c r="Q647" s="6" t="s">
        <v>10</v>
      </c>
      <c r="R647" s="1">
        <v>90</v>
      </c>
      <c r="S647" s="1">
        <v>2.5</v>
      </c>
      <c r="T647" s="1" t="str">
        <f t="shared" ref="T647:T672" si="96">$Q647&amp;" "&amp;$P647&amp;" "&amp;$S647&amp;" "&amp;$R647&amp;" "&amp;$B647</f>
        <v>-text 0,0 2.5 90 1154910.8</v>
      </c>
      <c r="U647" s="7"/>
      <c r="V647" s="7"/>
      <c r="W647" s="7"/>
      <c r="X647" s="7"/>
    </row>
    <row r="648" spans="1:24" x14ac:dyDescent="0.35">
      <c r="A648" s="1">
        <v>265520</v>
      </c>
      <c r="B648" s="7">
        <v>1154930.8</v>
      </c>
      <c r="C648" s="2">
        <v>270.12599999999998</v>
      </c>
      <c r="D648" s="2">
        <v>270.79000000000002</v>
      </c>
      <c r="E648" s="2">
        <v>0.66400000000000003</v>
      </c>
      <c r="F648" s="2">
        <v>269.45400000000001</v>
      </c>
      <c r="G648" s="2">
        <v>270.077</v>
      </c>
      <c r="H648" s="2">
        <v>0.623</v>
      </c>
      <c r="I648" s="2">
        <v>269.35899999999998</v>
      </c>
      <c r="J648" s="2">
        <v>269.44900000000001</v>
      </c>
      <c r="K648" s="15">
        <v>0.629</v>
      </c>
      <c r="L648" s="2">
        <v>8.2859999999999996</v>
      </c>
      <c r="N648" s="7">
        <f t="shared" ref="N648:N672" si="97">N647+(B648-B647)</f>
        <v>20</v>
      </c>
      <c r="O648" s="1">
        <v>0</v>
      </c>
      <c r="P648" s="1" t="str">
        <f t="shared" si="94"/>
        <v>20,0</v>
      </c>
      <c r="Q648" s="6" t="s">
        <v>10</v>
      </c>
      <c r="R648" s="1">
        <v>90</v>
      </c>
      <c r="S648" s="1">
        <v>2.5</v>
      </c>
      <c r="T648" s="1" t="str">
        <f t="shared" si="96"/>
        <v>-text 20,0 2.5 90 1154930.8</v>
      </c>
      <c r="U648" s="7"/>
      <c r="V648" s="7"/>
      <c r="W648" s="7"/>
      <c r="X648" s="7"/>
    </row>
    <row r="649" spans="1:24" x14ac:dyDescent="0.35">
      <c r="A649" s="1">
        <v>265540</v>
      </c>
      <c r="B649" s="7">
        <v>1154950.8</v>
      </c>
      <c r="C649" s="2">
        <v>270.178</v>
      </c>
      <c r="D649" s="2">
        <v>270.803</v>
      </c>
      <c r="E649" s="2">
        <v>0.625</v>
      </c>
      <c r="F649" s="2">
        <v>269.50599999999997</v>
      </c>
      <c r="G649" s="2">
        <v>270.08999999999997</v>
      </c>
      <c r="H649" s="2">
        <v>0.58399999999999996</v>
      </c>
      <c r="I649" s="2">
        <v>268.32299999999998</v>
      </c>
      <c r="J649" s="2">
        <v>268.47399999999999</v>
      </c>
      <c r="K649" s="15">
        <v>1.6160000000000001</v>
      </c>
      <c r="L649" s="2">
        <v>8.1140000000000008</v>
      </c>
      <c r="N649" s="7">
        <f t="shared" si="97"/>
        <v>40</v>
      </c>
      <c r="O649" s="1">
        <v>0</v>
      </c>
      <c r="P649" s="1" t="str">
        <f t="shared" si="94"/>
        <v>40,0</v>
      </c>
      <c r="Q649" s="6" t="s">
        <v>10</v>
      </c>
      <c r="R649" s="1">
        <v>90</v>
      </c>
      <c r="S649" s="1">
        <v>2.5</v>
      </c>
      <c r="T649" s="1" t="str">
        <f t="shared" si="96"/>
        <v>-text 40,0 2.5 90 1154950.8</v>
      </c>
      <c r="U649" s="7"/>
      <c r="V649" s="7"/>
      <c r="W649" s="7"/>
      <c r="X649" s="7"/>
    </row>
    <row r="650" spans="1:24" x14ac:dyDescent="0.35">
      <c r="A650" s="1">
        <v>265560</v>
      </c>
      <c r="B650" s="7">
        <v>1154970.8</v>
      </c>
      <c r="C650" s="2">
        <v>270.22399999999999</v>
      </c>
      <c r="D650" s="2">
        <v>270.81599999999997</v>
      </c>
      <c r="E650" s="2">
        <v>0.59099999999999997</v>
      </c>
      <c r="F650" s="2">
        <v>269.55200000000002</v>
      </c>
      <c r="G650" s="2">
        <v>270.10300000000001</v>
      </c>
      <c r="H650" s="2">
        <v>0.55000000000000004</v>
      </c>
      <c r="I650" s="2">
        <v>267.78199999999998</v>
      </c>
      <c r="J650" s="2">
        <v>268.53899999999999</v>
      </c>
      <c r="K650" s="15">
        <v>1.5640000000000001</v>
      </c>
      <c r="L650" s="2">
        <v>8.0129999999999999</v>
      </c>
      <c r="N650" s="7">
        <f t="shared" si="97"/>
        <v>60</v>
      </c>
      <c r="O650" s="1">
        <v>0</v>
      </c>
      <c r="P650" s="1" t="str">
        <f t="shared" si="94"/>
        <v>60,0</v>
      </c>
      <c r="Q650" s="6" t="s">
        <v>10</v>
      </c>
      <c r="R650" s="1">
        <v>90</v>
      </c>
      <c r="S650" s="1">
        <v>2.5</v>
      </c>
      <c r="T650" s="1" t="str">
        <f t="shared" si="96"/>
        <v>-text 60,0 2.5 90 1154970.8</v>
      </c>
      <c r="U650" s="7"/>
      <c r="V650" s="7"/>
      <c r="W650" s="7"/>
      <c r="X650" s="7"/>
    </row>
    <row r="651" spans="1:24" x14ac:dyDescent="0.35">
      <c r="A651" s="1">
        <v>265580</v>
      </c>
      <c r="B651" s="7">
        <v>1154990.8</v>
      </c>
      <c r="C651" s="2">
        <v>270.26400000000001</v>
      </c>
      <c r="D651" s="2">
        <v>270.82799999999997</v>
      </c>
      <c r="E651" s="2">
        <v>0.56399999999999995</v>
      </c>
      <c r="F651" s="2">
        <v>269.59199999999998</v>
      </c>
      <c r="G651" s="2">
        <v>270.11500000000001</v>
      </c>
      <c r="H651" s="2">
        <v>0.52300000000000002</v>
      </c>
      <c r="I651" s="2">
        <v>267.55500000000001</v>
      </c>
      <c r="J651" s="2">
        <v>268.74799999999999</v>
      </c>
      <c r="K651" s="15">
        <v>1.367</v>
      </c>
      <c r="L651" s="2">
        <v>7.9880000000000004</v>
      </c>
      <c r="N651" s="7">
        <f t="shared" si="97"/>
        <v>80</v>
      </c>
      <c r="O651" s="1">
        <v>0</v>
      </c>
      <c r="P651" s="1" t="str">
        <f t="shared" si="94"/>
        <v>80,0</v>
      </c>
      <c r="Q651" s="6" t="s">
        <v>10</v>
      </c>
      <c r="R651" s="1">
        <v>90</v>
      </c>
      <c r="S651" s="1">
        <v>2.5</v>
      </c>
      <c r="T651" s="1" t="str">
        <f t="shared" si="96"/>
        <v>-text 80,0 2.5 90 1154990.8</v>
      </c>
      <c r="U651" s="7"/>
      <c r="V651" s="7"/>
      <c r="W651" s="7"/>
      <c r="X651" s="7"/>
    </row>
    <row r="652" spans="1:24" x14ac:dyDescent="0.35">
      <c r="A652" s="1">
        <v>265600</v>
      </c>
      <c r="B652" s="7">
        <v>1155010.8</v>
      </c>
      <c r="C652" s="2">
        <v>270.30500000000001</v>
      </c>
      <c r="D652" s="2">
        <v>270.84100000000001</v>
      </c>
      <c r="E652" s="2">
        <v>0.53600000000000003</v>
      </c>
      <c r="F652" s="2">
        <v>269.63299999999998</v>
      </c>
      <c r="G652" s="2">
        <v>270.12799999999999</v>
      </c>
      <c r="H652" s="2">
        <v>0.495</v>
      </c>
      <c r="I652" s="2">
        <v>268.32600000000002</v>
      </c>
      <c r="J652" s="2">
        <v>268.81400000000002</v>
      </c>
      <c r="K652" s="15">
        <v>1.3140000000000001</v>
      </c>
      <c r="L652" s="2">
        <v>7.9790000000000001</v>
      </c>
      <c r="N652" s="7">
        <f t="shared" si="97"/>
        <v>100</v>
      </c>
      <c r="O652" s="1">
        <v>0</v>
      </c>
      <c r="P652" s="1" t="str">
        <f t="shared" si="94"/>
        <v>100,0</v>
      </c>
      <c r="Q652" s="6" t="s">
        <v>10</v>
      </c>
      <c r="R652" s="1">
        <v>90</v>
      </c>
      <c r="S652" s="1">
        <v>2.5</v>
      </c>
      <c r="T652" s="1" t="str">
        <f t="shared" si="96"/>
        <v>-text 100,0 2.5 90 1155010.8</v>
      </c>
      <c r="U652" s="7"/>
      <c r="V652" s="7"/>
      <c r="W652" s="7"/>
      <c r="X652" s="7"/>
    </row>
    <row r="653" spans="1:24" x14ac:dyDescent="0.35">
      <c r="A653" s="1">
        <v>265620</v>
      </c>
      <c r="B653" s="7">
        <v>1155030.8</v>
      </c>
      <c r="C653" s="2">
        <v>270.34699999999998</v>
      </c>
      <c r="D653" s="2">
        <v>270.85300000000001</v>
      </c>
      <c r="E653" s="2">
        <v>0.50700000000000001</v>
      </c>
      <c r="F653" s="2">
        <v>269.67500000000001</v>
      </c>
      <c r="G653" s="2">
        <v>270.14</v>
      </c>
      <c r="H653" s="2">
        <v>0.46600000000000003</v>
      </c>
      <c r="I653" s="2">
        <v>269.54199999999997</v>
      </c>
      <c r="J653" s="2">
        <v>268.76299999999998</v>
      </c>
      <c r="K653" s="15">
        <v>1.3779999999999999</v>
      </c>
      <c r="L653" s="2">
        <v>7.992</v>
      </c>
      <c r="N653" s="7">
        <f t="shared" si="97"/>
        <v>120</v>
      </c>
      <c r="O653" s="1">
        <v>0</v>
      </c>
      <c r="P653" s="1" t="str">
        <f t="shared" si="94"/>
        <v>120,0</v>
      </c>
      <c r="Q653" s="6" t="s">
        <v>10</v>
      </c>
      <c r="R653" s="1">
        <v>90</v>
      </c>
      <c r="S653" s="1">
        <v>2.5</v>
      </c>
      <c r="T653" s="1" t="str">
        <f t="shared" si="96"/>
        <v>-text 120,0 2.5 90 1155030.8</v>
      </c>
      <c r="U653" s="7"/>
      <c r="V653" s="7"/>
      <c r="W653" s="7"/>
      <c r="X653" s="7"/>
    </row>
    <row r="654" spans="1:24" x14ac:dyDescent="0.35">
      <c r="A654" s="1">
        <v>265640</v>
      </c>
      <c r="B654" s="7">
        <v>1155050.8</v>
      </c>
      <c r="C654" s="2">
        <v>270.35599999999999</v>
      </c>
      <c r="D654" s="2">
        <v>270.86599999999999</v>
      </c>
      <c r="E654" s="2">
        <v>0.51100000000000001</v>
      </c>
      <c r="F654" s="2">
        <v>269.68400000000003</v>
      </c>
      <c r="G654" s="2">
        <v>270.15300000000002</v>
      </c>
      <c r="H654" s="2">
        <v>0.47</v>
      </c>
      <c r="I654" s="2">
        <v>269.35899999999998</v>
      </c>
      <c r="J654" s="2">
        <v>268.726</v>
      </c>
      <c r="K654" s="15">
        <v>1.427</v>
      </c>
      <c r="L654" s="2">
        <v>8.0419999999999998</v>
      </c>
      <c r="N654" s="7">
        <f t="shared" si="97"/>
        <v>140</v>
      </c>
      <c r="O654" s="1">
        <v>0</v>
      </c>
      <c r="P654" s="1" t="str">
        <f t="shared" si="94"/>
        <v>140,0</v>
      </c>
      <c r="Q654" s="6" t="s">
        <v>10</v>
      </c>
      <c r="R654" s="1">
        <v>90</v>
      </c>
      <c r="S654" s="1">
        <v>2.5</v>
      </c>
      <c r="T654" s="1" t="str">
        <f t="shared" si="96"/>
        <v>-text 140,0 2.5 90 1155050.8</v>
      </c>
      <c r="U654" s="7"/>
      <c r="V654" s="7"/>
      <c r="W654" s="7"/>
      <c r="X654" s="7"/>
    </row>
    <row r="655" spans="1:24" x14ac:dyDescent="0.35">
      <c r="A655" s="1">
        <v>265660</v>
      </c>
      <c r="B655" s="7">
        <v>1155070.8</v>
      </c>
      <c r="C655" s="2">
        <v>270.33800000000002</v>
      </c>
      <c r="D655" s="2">
        <v>270.87900000000002</v>
      </c>
      <c r="E655" s="2">
        <v>0.54100000000000004</v>
      </c>
      <c r="F655" s="2">
        <v>269.666</v>
      </c>
      <c r="G655" s="2">
        <v>270.166</v>
      </c>
      <c r="H655" s="2">
        <v>0.5</v>
      </c>
      <c r="I655" s="2">
        <v>268.553</v>
      </c>
      <c r="J655" s="2">
        <v>268.74700000000001</v>
      </c>
      <c r="K655" s="15">
        <v>1.4179999999999999</v>
      </c>
      <c r="L655" s="2">
        <v>8.0079999999999991</v>
      </c>
      <c r="N655" s="7">
        <f t="shared" si="97"/>
        <v>160</v>
      </c>
      <c r="O655" s="1">
        <v>0</v>
      </c>
      <c r="P655" s="1" t="str">
        <f t="shared" si="94"/>
        <v>160,0</v>
      </c>
      <c r="Q655" s="6" t="s">
        <v>10</v>
      </c>
      <c r="R655" s="1">
        <v>90</v>
      </c>
      <c r="S655" s="1">
        <v>2.5</v>
      </c>
      <c r="T655" s="1" t="str">
        <f t="shared" si="96"/>
        <v>-text 160,0 2.5 90 1155070.8</v>
      </c>
      <c r="U655" s="7"/>
      <c r="V655" s="7"/>
      <c r="W655" s="7"/>
      <c r="X655" s="7"/>
    </row>
    <row r="656" spans="1:24" x14ac:dyDescent="0.35">
      <c r="A656" s="1">
        <v>265680</v>
      </c>
      <c r="B656" s="7">
        <v>1155090.8</v>
      </c>
      <c r="C656" s="2">
        <v>270.32100000000003</v>
      </c>
      <c r="D656" s="2">
        <v>270.89100000000002</v>
      </c>
      <c r="E656" s="2">
        <v>0.56999999999999995</v>
      </c>
      <c r="F656" s="2">
        <v>269.649</v>
      </c>
      <c r="G656" s="2">
        <v>270.178</v>
      </c>
      <c r="H656" s="2">
        <v>0.52900000000000003</v>
      </c>
      <c r="I656" s="2">
        <v>268.464</v>
      </c>
      <c r="J656" s="2">
        <v>268.92500000000001</v>
      </c>
      <c r="K656" s="15">
        <v>1.2529999999999999</v>
      </c>
      <c r="L656" s="2">
        <v>7.9820000000000002</v>
      </c>
      <c r="N656" s="7">
        <f t="shared" si="97"/>
        <v>180</v>
      </c>
      <c r="O656" s="1">
        <v>0</v>
      </c>
      <c r="P656" s="1" t="str">
        <f t="shared" si="94"/>
        <v>180,0</v>
      </c>
      <c r="Q656" s="6" t="s">
        <v>10</v>
      </c>
      <c r="R656" s="1">
        <v>90</v>
      </c>
      <c r="S656" s="1">
        <v>2.5</v>
      </c>
      <c r="T656" s="1" t="str">
        <f t="shared" si="96"/>
        <v>-text 180,0 2.5 90 1155090.8</v>
      </c>
      <c r="U656" s="7"/>
      <c r="V656" s="7"/>
      <c r="W656" s="7"/>
      <c r="X656" s="7"/>
    </row>
    <row r="657" spans="1:24" x14ac:dyDescent="0.35">
      <c r="A657" s="1">
        <v>265700</v>
      </c>
      <c r="B657" s="7">
        <v>1155110.8</v>
      </c>
      <c r="C657" s="2">
        <v>270.3</v>
      </c>
      <c r="D657" s="2">
        <v>270.904</v>
      </c>
      <c r="E657" s="2">
        <v>0.60399999999999998</v>
      </c>
      <c r="F657" s="2">
        <v>269.62799999999999</v>
      </c>
      <c r="G657" s="2">
        <v>270.19099999999997</v>
      </c>
      <c r="H657" s="2">
        <v>0.56299999999999994</v>
      </c>
      <c r="I657" s="2">
        <v>268.74400000000003</v>
      </c>
      <c r="J657" s="2">
        <v>268.92</v>
      </c>
      <c r="K657" s="15">
        <v>1.2709999999999999</v>
      </c>
      <c r="L657" s="2">
        <v>7.9880000000000004</v>
      </c>
      <c r="N657" s="7">
        <f t="shared" si="97"/>
        <v>200</v>
      </c>
      <c r="O657" s="1">
        <v>0</v>
      </c>
      <c r="P657" s="1" t="str">
        <f t="shared" si="94"/>
        <v>200,0</v>
      </c>
      <c r="Q657" s="6" t="s">
        <v>10</v>
      </c>
      <c r="R657" s="1">
        <v>90</v>
      </c>
      <c r="S657" s="1">
        <v>2.5</v>
      </c>
      <c r="T657" s="1" t="str">
        <f t="shared" si="96"/>
        <v>-text 200,0 2.5 90 1155110.8</v>
      </c>
      <c r="U657" s="7"/>
      <c r="V657" s="7"/>
      <c r="W657" s="7"/>
      <c r="X657" s="7"/>
    </row>
    <row r="658" spans="1:24" x14ac:dyDescent="0.35">
      <c r="A658" s="1">
        <v>265720</v>
      </c>
      <c r="B658" s="7">
        <v>1155130.8</v>
      </c>
      <c r="C658" s="2">
        <v>270.27699999999999</v>
      </c>
      <c r="D658" s="2">
        <v>270.91699999999997</v>
      </c>
      <c r="E658" s="2">
        <v>0.64</v>
      </c>
      <c r="F658" s="2">
        <v>269.60500000000002</v>
      </c>
      <c r="G658" s="2">
        <v>270.20400000000001</v>
      </c>
      <c r="H658" s="2">
        <v>0.59899999999999998</v>
      </c>
      <c r="I658" s="2">
        <v>269.173</v>
      </c>
      <c r="J658" s="2">
        <v>268.93299999999999</v>
      </c>
      <c r="K658" s="15">
        <v>1.2709999999999999</v>
      </c>
      <c r="L658" s="2">
        <v>8.0510000000000002</v>
      </c>
      <c r="N658" s="7">
        <f t="shared" si="97"/>
        <v>220</v>
      </c>
      <c r="O658" s="1">
        <v>0</v>
      </c>
      <c r="P658" s="1" t="str">
        <f t="shared" si="94"/>
        <v>220,0</v>
      </c>
      <c r="Q658" s="6" t="s">
        <v>10</v>
      </c>
      <c r="R658" s="1">
        <v>90</v>
      </c>
      <c r="S658" s="1">
        <v>2.5</v>
      </c>
      <c r="T658" s="1" t="str">
        <f t="shared" si="96"/>
        <v>-text 220,0 2.5 90 1155130.8</v>
      </c>
      <c r="U658" s="7"/>
      <c r="V658" s="7"/>
      <c r="W658" s="7"/>
      <c r="X658" s="7"/>
    </row>
    <row r="659" spans="1:24" x14ac:dyDescent="0.35">
      <c r="A659" s="1">
        <v>265740</v>
      </c>
      <c r="B659" s="7">
        <v>1155150.8</v>
      </c>
      <c r="C659" s="2">
        <v>270.25</v>
      </c>
      <c r="D659" s="2">
        <v>270.92899999999997</v>
      </c>
      <c r="E659" s="2">
        <v>0.67900000000000005</v>
      </c>
      <c r="F659" s="2">
        <v>269.57799999999997</v>
      </c>
      <c r="G659" s="2">
        <v>270.21600000000001</v>
      </c>
      <c r="H659" s="2">
        <v>0.63800000000000001</v>
      </c>
      <c r="I659" s="2">
        <v>268.92399999999998</v>
      </c>
      <c r="J659" s="2">
        <v>268.99599999999998</v>
      </c>
      <c r="K659" s="15">
        <v>1.22</v>
      </c>
      <c r="L659" s="2">
        <v>8.234</v>
      </c>
      <c r="N659" s="7">
        <f t="shared" si="97"/>
        <v>240</v>
      </c>
      <c r="O659" s="1">
        <v>0</v>
      </c>
      <c r="P659" s="1" t="str">
        <f t="shared" si="94"/>
        <v>240,0</v>
      </c>
      <c r="Q659" s="6" t="s">
        <v>10</v>
      </c>
      <c r="R659" s="1">
        <v>90</v>
      </c>
      <c r="S659" s="1">
        <v>2.5</v>
      </c>
      <c r="T659" s="1" t="str">
        <f t="shared" si="96"/>
        <v>-text 240,0 2.5 90 1155150.8</v>
      </c>
      <c r="U659" s="7"/>
      <c r="V659" s="7"/>
      <c r="W659" s="7"/>
      <c r="X659" s="7"/>
    </row>
    <row r="660" spans="1:24" x14ac:dyDescent="0.35">
      <c r="A660" s="1">
        <v>265760</v>
      </c>
      <c r="B660" s="7">
        <v>1155170.8</v>
      </c>
      <c r="C660" s="2">
        <v>270.22300000000001</v>
      </c>
      <c r="D660" s="2">
        <v>270.94200000000001</v>
      </c>
      <c r="E660" s="2">
        <v>0.71899999999999997</v>
      </c>
      <c r="F660" s="2">
        <v>269.55099999999999</v>
      </c>
      <c r="G660" s="2">
        <v>270.22899999999998</v>
      </c>
      <c r="H660" s="2">
        <v>0.67800000000000005</v>
      </c>
      <c r="I660" s="2">
        <v>268.74400000000003</v>
      </c>
      <c r="J660" s="2">
        <v>268.93</v>
      </c>
      <c r="K660" s="15">
        <v>1.2989999999999999</v>
      </c>
      <c r="L660" s="2">
        <v>8.5809999999999995</v>
      </c>
      <c r="N660" s="7">
        <f t="shared" si="97"/>
        <v>260</v>
      </c>
      <c r="O660" s="1">
        <v>0</v>
      </c>
      <c r="P660" s="1" t="str">
        <f t="shared" si="94"/>
        <v>260,0</v>
      </c>
      <c r="Q660" s="6" t="s">
        <v>10</v>
      </c>
      <c r="R660" s="1">
        <v>90</v>
      </c>
      <c r="S660" s="1">
        <v>2.5</v>
      </c>
      <c r="T660" s="1" t="str">
        <f t="shared" si="96"/>
        <v>-text 260,0 2.5 90 1155170.8</v>
      </c>
      <c r="U660" s="7"/>
      <c r="V660" s="7"/>
      <c r="W660" s="7"/>
      <c r="X660" s="7"/>
    </row>
    <row r="661" spans="1:24" x14ac:dyDescent="0.35">
      <c r="A661" s="1">
        <v>265780</v>
      </c>
      <c r="B661" s="7">
        <v>1155190.8</v>
      </c>
      <c r="C661" s="2">
        <v>270.197</v>
      </c>
      <c r="D661" s="2">
        <v>270.95499999999998</v>
      </c>
      <c r="E661" s="2">
        <v>0.75800000000000001</v>
      </c>
      <c r="F661" s="2">
        <v>269.52499999999998</v>
      </c>
      <c r="G661" s="2">
        <v>270.24200000000002</v>
      </c>
      <c r="H661" s="2">
        <v>0.71699999999999997</v>
      </c>
      <c r="I661" s="2">
        <v>268.76299999999998</v>
      </c>
      <c r="J661" s="2">
        <v>268.85899999999998</v>
      </c>
      <c r="K661" s="15">
        <v>1.383</v>
      </c>
      <c r="L661" s="2">
        <v>9.0890000000000004</v>
      </c>
      <c r="N661" s="7">
        <f t="shared" si="97"/>
        <v>280</v>
      </c>
      <c r="O661" s="1">
        <v>0</v>
      </c>
      <c r="P661" s="1" t="str">
        <f t="shared" si="94"/>
        <v>280,0</v>
      </c>
      <c r="Q661" s="6" t="s">
        <v>10</v>
      </c>
      <c r="R661" s="1">
        <v>90</v>
      </c>
      <c r="S661" s="1">
        <v>2.5</v>
      </c>
      <c r="T661" s="1" t="str">
        <f t="shared" si="96"/>
        <v>-text 280,0 2.5 90 1155190.8</v>
      </c>
      <c r="U661" s="7"/>
      <c r="V661" s="7"/>
      <c r="W661" s="7"/>
      <c r="X661" s="7"/>
    </row>
    <row r="662" spans="1:24" x14ac:dyDescent="0.35">
      <c r="A662" s="1">
        <v>265800</v>
      </c>
      <c r="B662" s="7">
        <v>1155210.8</v>
      </c>
      <c r="C662" s="2">
        <v>270.17099999999999</v>
      </c>
      <c r="D662" s="2">
        <v>270.96699999999998</v>
      </c>
      <c r="E662" s="2">
        <v>0.79600000000000004</v>
      </c>
      <c r="F662" s="2">
        <v>269.49900000000002</v>
      </c>
      <c r="G662" s="2">
        <v>270.25400000000002</v>
      </c>
      <c r="H662" s="2">
        <v>0.755</v>
      </c>
      <c r="I662" s="2">
        <v>268.49400000000003</v>
      </c>
      <c r="J662" s="2">
        <v>268.71499999999997</v>
      </c>
      <c r="K662" s="15">
        <v>1.5389999999999999</v>
      </c>
      <c r="L662" s="2">
        <v>9.6969999999999992</v>
      </c>
      <c r="N662" s="7">
        <f t="shared" si="97"/>
        <v>300</v>
      </c>
      <c r="O662" s="1">
        <v>0</v>
      </c>
      <c r="P662" s="1" t="str">
        <f t="shared" si="94"/>
        <v>300,0</v>
      </c>
      <c r="Q662" s="6" t="s">
        <v>10</v>
      </c>
      <c r="R662" s="1">
        <v>90</v>
      </c>
      <c r="S662" s="1">
        <v>2.5</v>
      </c>
      <c r="T662" s="1" t="str">
        <f t="shared" si="96"/>
        <v>-text 300,0 2.5 90 1155210.8</v>
      </c>
      <c r="U662" s="7"/>
      <c r="V662" s="7"/>
      <c r="W662" s="7"/>
      <c r="X662" s="7"/>
    </row>
    <row r="663" spans="1:24" x14ac:dyDescent="0.35">
      <c r="A663" s="1">
        <v>265820</v>
      </c>
      <c r="B663" s="7">
        <v>1155230.8</v>
      </c>
      <c r="C663" s="2">
        <v>270.14800000000002</v>
      </c>
      <c r="D663" s="2">
        <v>270.98</v>
      </c>
      <c r="E663" s="2">
        <v>0.83199999999999996</v>
      </c>
      <c r="F663" s="2">
        <v>269.476</v>
      </c>
      <c r="G663" s="2">
        <v>270.267</v>
      </c>
      <c r="H663" s="2">
        <v>0.79100000000000004</v>
      </c>
      <c r="I663" s="2">
        <v>268.22800000000001</v>
      </c>
      <c r="J663" s="2">
        <v>268.541</v>
      </c>
      <c r="K663" s="15">
        <v>1.7250000000000001</v>
      </c>
      <c r="L663" s="2">
        <v>10.34</v>
      </c>
      <c r="N663" s="7">
        <f t="shared" si="97"/>
        <v>320</v>
      </c>
      <c r="O663" s="1">
        <v>0</v>
      </c>
      <c r="P663" s="1" t="str">
        <f t="shared" si="94"/>
        <v>320,0</v>
      </c>
      <c r="Q663" s="6" t="s">
        <v>10</v>
      </c>
      <c r="R663" s="1">
        <v>90</v>
      </c>
      <c r="S663" s="1">
        <v>2.5</v>
      </c>
      <c r="T663" s="1" t="str">
        <f t="shared" si="96"/>
        <v>-text 320,0 2.5 90 1155230.8</v>
      </c>
      <c r="U663" s="7"/>
      <c r="V663" s="7"/>
      <c r="W663" s="7"/>
      <c r="X663" s="7"/>
    </row>
    <row r="664" spans="1:24" x14ac:dyDescent="0.35">
      <c r="A664" s="1">
        <v>265840</v>
      </c>
      <c r="B664" s="7">
        <v>1155250.8</v>
      </c>
      <c r="C664" s="2">
        <v>270.12799999999999</v>
      </c>
      <c r="D664" s="2">
        <v>270.99299999999999</v>
      </c>
      <c r="E664" s="2">
        <v>0.86499999999999999</v>
      </c>
      <c r="F664" s="2">
        <v>269.45600000000002</v>
      </c>
      <c r="G664" s="2">
        <v>270.27999999999997</v>
      </c>
      <c r="H664" s="2">
        <v>0.82399999999999995</v>
      </c>
      <c r="I664" s="2">
        <v>267.94400000000002</v>
      </c>
      <c r="J664" s="2">
        <v>268.04199999999997</v>
      </c>
      <c r="K664" s="15">
        <v>2.2370000000000001</v>
      </c>
      <c r="L664" s="2">
        <v>10.978999999999999</v>
      </c>
      <c r="N664" s="7">
        <f t="shared" si="97"/>
        <v>340</v>
      </c>
      <c r="O664" s="1">
        <v>0</v>
      </c>
      <c r="P664" s="1" t="str">
        <f t="shared" si="94"/>
        <v>340,0</v>
      </c>
      <c r="Q664" s="6" t="s">
        <v>10</v>
      </c>
      <c r="R664" s="1">
        <v>90</v>
      </c>
      <c r="S664" s="1">
        <v>2.5</v>
      </c>
      <c r="T664" s="1" t="str">
        <f t="shared" si="96"/>
        <v>-text 340,0 2.5 90 1155250.8</v>
      </c>
      <c r="U664" s="7"/>
      <c r="V664" s="7"/>
      <c r="W664" s="7"/>
      <c r="X664" s="7"/>
    </row>
    <row r="665" spans="1:24" x14ac:dyDescent="0.35">
      <c r="A665" s="1">
        <v>265860</v>
      </c>
      <c r="B665" s="7">
        <v>1155270.8999999999</v>
      </c>
      <c r="C665" s="2">
        <v>270.11200000000002</v>
      </c>
      <c r="D665" s="2">
        <v>271.005</v>
      </c>
      <c r="E665" s="2">
        <v>0.89400000000000002</v>
      </c>
      <c r="F665" s="2">
        <v>269.44</v>
      </c>
      <c r="G665" s="2">
        <v>270.29199999999997</v>
      </c>
      <c r="H665" s="2">
        <v>0.85299999999999998</v>
      </c>
      <c r="I665" s="2">
        <v>267.77100000000002</v>
      </c>
      <c r="J665" s="2">
        <v>267.76799999999997</v>
      </c>
      <c r="K665" s="15">
        <v>2.5249999999999999</v>
      </c>
      <c r="L665" s="2">
        <v>11.612</v>
      </c>
      <c r="N665" s="7">
        <f t="shared" si="97"/>
        <v>360.0999999998603</v>
      </c>
      <c r="O665" s="1">
        <v>0</v>
      </c>
      <c r="P665" s="1" t="str">
        <f t="shared" si="94"/>
        <v>360.09999999986,0</v>
      </c>
      <c r="Q665" s="6" t="s">
        <v>10</v>
      </c>
      <c r="R665" s="1">
        <v>90</v>
      </c>
      <c r="S665" s="1">
        <v>2.5</v>
      </c>
      <c r="T665" s="1" t="str">
        <f t="shared" si="96"/>
        <v>-text 360.09999999986,0 2.5 90 1155270.9</v>
      </c>
      <c r="U665" s="7"/>
      <c r="V665" s="7"/>
      <c r="W665" s="7"/>
      <c r="X665" s="7"/>
    </row>
    <row r="666" spans="1:24" x14ac:dyDescent="0.35">
      <c r="A666" s="1">
        <v>265880</v>
      </c>
      <c r="B666" s="7">
        <v>1155290.8999999999</v>
      </c>
      <c r="C666" s="2">
        <v>270.10899999999998</v>
      </c>
      <c r="D666" s="2">
        <v>271.01799999999997</v>
      </c>
      <c r="E666" s="2">
        <v>0.90900000000000003</v>
      </c>
      <c r="F666" s="2">
        <v>269.43700000000001</v>
      </c>
      <c r="G666" s="2">
        <v>270.30500000000001</v>
      </c>
      <c r="H666" s="2">
        <v>0.86799999999999999</v>
      </c>
      <c r="I666" s="2">
        <v>267.65600000000001</v>
      </c>
      <c r="J666" s="2">
        <v>267.56200000000001</v>
      </c>
      <c r="K666" s="15">
        <v>2.7429999999999999</v>
      </c>
      <c r="L666" s="2">
        <v>12.268000000000001</v>
      </c>
      <c r="N666" s="7">
        <f t="shared" si="97"/>
        <v>380.0999999998603</v>
      </c>
      <c r="O666" s="1">
        <v>0</v>
      </c>
      <c r="P666" s="1" t="str">
        <f t="shared" si="94"/>
        <v>380.09999999986,0</v>
      </c>
      <c r="Q666" s="6" t="s">
        <v>10</v>
      </c>
      <c r="R666" s="1">
        <v>90</v>
      </c>
      <c r="S666" s="1">
        <v>2.5</v>
      </c>
      <c r="T666" s="1" t="str">
        <f t="shared" si="96"/>
        <v>-text 380.09999999986,0 2.5 90 1155290.9</v>
      </c>
      <c r="U666" s="7"/>
      <c r="V666" s="7"/>
      <c r="W666" s="7"/>
      <c r="X666" s="7"/>
    </row>
    <row r="667" spans="1:24" x14ac:dyDescent="0.35">
      <c r="A667" s="1">
        <v>265900</v>
      </c>
      <c r="B667" s="7">
        <v>1155310.8999999999</v>
      </c>
      <c r="C667" s="2">
        <v>270.12099999999998</v>
      </c>
      <c r="D667" s="2">
        <v>271.03100000000001</v>
      </c>
      <c r="E667" s="2">
        <v>0.90900000000000003</v>
      </c>
      <c r="F667" s="2">
        <v>269.44900000000001</v>
      </c>
      <c r="G667" s="2">
        <v>270.31799999999998</v>
      </c>
      <c r="H667" s="2">
        <v>0.86799999999999999</v>
      </c>
      <c r="I667" s="2">
        <v>266.935</v>
      </c>
      <c r="J667" s="2">
        <v>267.83300000000003</v>
      </c>
      <c r="K667" s="15">
        <v>2.4849999999999999</v>
      </c>
      <c r="L667" s="2">
        <v>12.936</v>
      </c>
      <c r="N667" s="7">
        <f t="shared" si="97"/>
        <v>400.0999999998603</v>
      </c>
      <c r="O667" s="1">
        <v>0</v>
      </c>
      <c r="P667" s="1" t="str">
        <f t="shared" si="94"/>
        <v>400.09999999986,0</v>
      </c>
      <c r="Q667" s="6" t="s">
        <v>10</v>
      </c>
      <c r="R667" s="1">
        <v>90</v>
      </c>
      <c r="S667" s="1">
        <v>2.5</v>
      </c>
      <c r="T667" s="1" t="str">
        <f t="shared" si="96"/>
        <v>-text 400.09999999986,0 2.5 90 1155310.9</v>
      </c>
      <c r="U667" s="7"/>
      <c r="V667" s="7"/>
      <c r="W667" s="7"/>
      <c r="X667" s="7"/>
    </row>
    <row r="668" spans="1:24" x14ac:dyDescent="0.35">
      <c r="A668" s="1">
        <v>265920</v>
      </c>
      <c r="B668" s="7">
        <v>1155330.8999999999</v>
      </c>
      <c r="C668" s="2">
        <v>270.14299999999997</v>
      </c>
      <c r="D668" s="2">
        <v>271.04300000000001</v>
      </c>
      <c r="E668" s="2">
        <v>0.90100000000000002</v>
      </c>
      <c r="F668" s="2">
        <v>269.471</v>
      </c>
      <c r="G668" s="2">
        <v>270.33</v>
      </c>
      <c r="H668" s="2">
        <v>0.86</v>
      </c>
      <c r="I668" s="2">
        <v>266.91899999999998</v>
      </c>
      <c r="J668" s="2">
        <v>266.85399999999998</v>
      </c>
      <c r="K668" s="15">
        <v>3.476</v>
      </c>
      <c r="L668" s="2">
        <v>13.542999999999999</v>
      </c>
      <c r="N668" s="7">
        <f t="shared" si="97"/>
        <v>420.0999999998603</v>
      </c>
      <c r="O668" s="1">
        <v>0</v>
      </c>
      <c r="P668" s="1" t="str">
        <f t="shared" si="94"/>
        <v>420.09999999986,0</v>
      </c>
      <c r="Q668" s="6" t="s">
        <v>10</v>
      </c>
      <c r="R668" s="1">
        <v>90</v>
      </c>
      <c r="S668" s="1">
        <v>2.5</v>
      </c>
      <c r="T668" s="1" t="str">
        <f t="shared" si="96"/>
        <v>-text 420.09999999986,0 2.5 90 1155330.9</v>
      </c>
      <c r="U668" s="7"/>
      <c r="V668" s="7"/>
      <c r="W668" s="7"/>
      <c r="X668" s="7"/>
    </row>
    <row r="669" spans="1:24" x14ac:dyDescent="0.35">
      <c r="A669" s="1">
        <v>265940</v>
      </c>
      <c r="B669" s="7">
        <v>1155350.8999999999</v>
      </c>
      <c r="C669" s="2">
        <v>270.17099999999999</v>
      </c>
      <c r="D669" s="2">
        <v>271.05599999999998</v>
      </c>
      <c r="E669" s="2">
        <v>0.88400000000000001</v>
      </c>
      <c r="F669" s="2">
        <v>269.49900000000002</v>
      </c>
      <c r="G669" s="2">
        <v>270.34300000000002</v>
      </c>
      <c r="H669" s="2">
        <v>0.84299999999999997</v>
      </c>
      <c r="I669" s="2">
        <v>266.81099999999998</v>
      </c>
      <c r="J669" s="2">
        <v>267.09100000000001</v>
      </c>
      <c r="K669" s="15">
        <v>3.2519999999999998</v>
      </c>
      <c r="L669" s="2">
        <v>14.016</v>
      </c>
      <c r="N669" s="7">
        <f t="shared" si="97"/>
        <v>440.0999999998603</v>
      </c>
      <c r="O669" s="1">
        <v>0</v>
      </c>
      <c r="P669" s="1" t="str">
        <f t="shared" si="94"/>
        <v>440.09999999986,0</v>
      </c>
      <c r="Q669" s="6" t="s">
        <v>10</v>
      </c>
      <c r="R669" s="1">
        <v>90</v>
      </c>
      <c r="S669" s="1">
        <v>2.5</v>
      </c>
      <c r="T669" s="1" t="str">
        <f t="shared" si="96"/>
        <v>-text 440.09999999986,0 2.5 90 1155350.9</v>
      </c>
      <c r="U669" s="7"/>
      <c r="V669" s="7"/>
      <c r="W669" s="7"/>
      <c r="X669" s="7"/>
    </row>
    <row r="670" spans="1:24" x14ac:dyDescent="0.35">
      <c r="A670" s="1">
        <v>265960</v>
      </c>
      <c r="B670" s="7">
        <v>1155370.8999999999</v>
      </c>
      <c r="C670" s="2">
        <v>270.20400000000001</v>
      </c>
      <c r="D670" s="2">
        <v>271.06799999999998</v>
      </c>
      <c r="E670" s="2">
        <v>0.86399999999999999</v>
      </c>
      <c r="F670" s="2">
        <v>269.53199999999998</v>
      </c>
      <c r="G670" s="2">
        <v>270.35500000000002</v>
      </c>
      <c r="H670" s="2">
        <v>0.82299999999999995</v>
      </c>
      <c r="I670" s="2">
        <v>266.78399999999999</v>
      </c>
      <c r="J670" s="2">
        <v>267.03199999999998</v>
      </c>
      <c r="K670" s="15">
        <v>3.323</v>
      </c>
      <c r="L670" s="2">
        <v>14.250999999999999</v>
      </c>
      <c r="N670" s="7">
        <f t="shared" si="97"/>
        <v>460.0999999998603</v>
      </c>
      <c r="O670" s="1">
        <v>0</v>
      </c>
      <c r="P670" s="1" t="str">
        <f t="shared" si="94"/>
        <v>460.09999999986,0</v>
      </c>
      <c r="Q670" s="6" t="s">
        <v>10</v>
      </c>
      <c r="R670" s="1">
        <v>90</v>
      </c>
      <c r="S670" s="1">
        <v>2.5</v>
      </c>
      <c r="T670" s="1" t="str">
        <f t="shared" si="96"/>
        <v>-text 460.09999999986,0 2.5 90 1155370.9</v>
      </c>
      <c r="U670" s="7"/>
      <c r="V670" s="7"/>
      <c r="W670" s="7"/>
      <c r="X670" s="7"/>
    </row>
    <row r="671" spans="1:24" x14ac:dyDescent="0.35">
      <c r="A671" s="1">
        <v>265980</v>
      </c>
      <c r="B671" s="7">
        <v>1155390.8999999999</v>
      </c>
      <c r="C671" s="2">
        <v>270.238</v>
      </c>
      <c r="D671" s="2">
        <v>271.08100000000002</v>
      </c>
      <c r="E671" s="2">
        <v>0.84299999999999997</v>
      </c>
      <c r="F671" s="2">
        <v>269.56599999999997</v>
      </c>
      <c r="G671" s="2">
        <v>270.36799999999999</v>
      </c>
      <c r="H671" s="2">
        <v>0.80200000000000005</v>
      </c>
      <c r="I671" s="2">
        <v>266.74299999999999</v>
      </c>
      <c r="J671" s="2">
        <v>267.12299999999999</v>
      </c>
      <c r="K671" s="15">
        <v>3.2450000000000001</v>
      </c>
      <c r="L671" s="2">
        <v>14.295</v>
      </c>
      <c r="N671" s="7">
        <f t="shared" si="97"/>
        <v>480.0999999998603</v>
      </c>
      <c r="O671" s="1">
        <v>0</v>
      </c>
      <c r="P671" s="1" t="str">
        <f t="shared" si="94"/>
        <v>480.09999999986,0</v>
      </c>
      <c r="Q671" s="6" t="s">
        <v>10</v>
      </c>
      <c r="R671" s="1">
        <v>90</v>
      </c>
      <c r="S671" s="1">
        <v>2.5</v>
      </c>
      <c r="T671" s="1" t="str">
        <f t="shared" si="96"/>
        <v>-text 480.09999999986,0 2.5 90 1155390.9</v>
      </c>
      <c r="U671" s="7"/>
      <c r="V671" s="7"/>
      <c r="W671" s="7"/>
      <c r="X671" s="7"/>
    </row>
    <row r="672" spans="1:24" x14ac:dyDescent="0.35">
      <c r="A672" s="1">
        <v>266000</v>
      </c>
      <c r="B672" s="7">
        <v>1155410.8999999999</v>
      </c>
      <c r="C672" s="2">
        <v>270.25</v>
      </c>
      <c r="D672" s="2">
        <v>271.09399999999999</v>
      </c>
      <c r="E672" s="2">
        <v>0.84299999999999997</v>
      </c>
      <c r="F672" s="2">
        <v>269.57799999999997</v>
      </c>
      <c r="G672" s="2">
        <v>270.38099999999997</v>
      </c>
      <c r="H672" s="2">
        <v>0.80200000000000005</v>
      </c>
      <c r="I672" s="2">
        <v>266.66500000000002</v>
      </c>
      <c r="J672" s="2">
        <v>266.714</v>
      </c>
      <c r="K672" s="15">
        <v>3.6669999999999998</v>
      </c>
      <c r="L672" s="2">
        <v>14.34</v>
      </c>
      <c r="N672" s="7">
        <f t="shared" si="97"/>
        <v>500.0999999998603</v>
      </c>
      <c r="O672" s="1">
        <v>0</v>
      </c>
      <c r="P672" s="1" t="str">
        <f t="shared" si="94"/>
        <v>500.09999999986,0</v>
      </c>
      <c r="Q672" s="6" t="s">
        <v>10</v>
      </c>
      <c r="R672" s="1">
        <v>90</v>
      </c>
      <c r="S672" s="1">
        <v>2.5</v>
      </c>
      <c r="T672" s="1" t="str">
        <f t="shared" si="96"/>
        <v>-text 500.09999999986,0 2.5 90 1155410.9</v>
      </c>
      <c r="U672" s="7"/>
      <c r="V672" s="7"/>
      <c r="W672" s="7"/>
      <c r="X672" s="7"/>
    </row>
    <row r="673" spans="1:20" s="23" customFormat="1" x14ac:dyDescent="0.35">
      <c r="B673" s="24"/>
      <c r="C673" s="25"/>
      <c r="D673" s="25"/>
      <c r="E673" s="25"/>
      <c r="F673" s="25"/>
      <c r="G673" s="25"/>
      <c r="H673" s="25"/>
      <c r="I673" s="25"/>
      <c r="J673" s="25"/>
      <c r="K673" s="26"/>
      <c r="L673" s="25"/>
      <c r="M673" s="25"/>
    </row>
    <row r="674" spans="1:20" x14ac:dyDescent="0.35">
      <c r="A674" s="1">
        <v>266000</v>
      </c>
      <c r="B674" s="7">
        <v>1155410.8999999999</v>
      </c>
      <c r="C674" s="2">
        <v>270.25</v>
      </c>
      <c r="D674" s="2">
        <v>271.09399999999999</v>
      </c>
      <c r="E674" s="2">
        <v>0.84299999999999997</v>
      </c>
      <c r="F674" s="2">
        <v>269.57799999999997</v>
      </c>
      <c r="G674" s="2">
        <v>270.38099999999997</v>
      </c>
      <c r="H674" s="2">
        <v>0.80200000000000005</v>
      </c>
      <c r="I674" s="2">
        <v>266.66500000000002</v>
      </c>
      <c r="J674" s="2">
        <v>266.714</v>
      </c>
      <c r="K674" s="15">
        <v>3.6669999999999998</v>
      </c>
      <c r="L674" s="2">
        <v>14.34</v>
      </c>
      <c r="N674" s="7">
        <v>0</v>
      </c>
      <c r="O674" s="1">
        <v>0</v>
      </c>
      <c r="P674" s="1" t="str">
        <f t="shared" ref="P674:P675" si="98">CONCATENATE(N674,",",O674)</f>
        <v>0,0</v>
      </c>
      <c r="Q674" s="6" t="s">
        <v>10</v>
      </c>
      <c r="R674" s="1">
        <v>90</v>
      </c>
      <c r="S674" s="1">
        <v>2.5</v>
      </c>
      <c r="T674" s="1" t="str">
        <f t="shared" ref="T674:T699" si="99">$Q674&amp;" "&amp;$P674&amp;" "&amp;$S674&amp;" "&amp;$R674&amp;" "&amp;$B674</f>
        <v>-text 0,0 2.5 90 1155410.9</v>
      </c>
    </row>
    <row r="675" spans="1:20" x14ac:dyDescent="0.35">
      <c r="A675" s="1">
        <v>266020</v>
      </c>
      <c r="B675" s="7">
        <v>1155431</v>
      </c>
      <c r="C675" s="2">
        <v>270.20100000000002</v>
      </c>
      <c r="D675" s="2">
        <v>271.10599999999999</v>
      </c>
      <c r="E675" s="2">
        <v>0.90500000000000003</v>
      </c>
      <c r="F675" s="2">
        <v>269.529</v>
      </c>
      <c r="G675" s="2">
        <v>270.39299999999997</v>
      </c>
      <c r="H675" s="2">
        <v>0.86399999999999999</v>
      </c>
      <c r="I675" s="2">
        <v>266.56900000000002</v>
      </c>
      <c r="J675" s="2">
        <v>266.61399999999998</v>
      </c>
      <c r="K675" s="15">
        <v>3.7789999999999999</v>
      </c>
      <c r="L675" s="2">
        <v>14.444000000000001</v>
      </c>
      <c r="N675" s="7">
        <f t="shared" ref="N675:N699" si="100">N674+(B675-B674)</f>
        <v>20.100000000093132</v>
      </c>
      <c r="O675" s="1">
        <v>0</v>
      </c>
      <c r="P675" s="1" t="str">
        <f t="shared" si="98"/>
        <v>20.1000000000931,0</v>
      </c>
      <c r="Q675" s="6" t="s">
        <v>10</v>
      </c>
      <c r="R675" s="1">
        <v>90</v>
      </c>
      <c r="S675" s="1">
        <v>2.5</v>
      </c>
      <c r="T675" s="1" t="str">
        <f t="shared" si="99"/>
        <v>-text 20.1000000000931,0 2.5 90 1155431</v>
      </c>
    </row>
    <row r="676" spans="1:20" x14ac:dyDescent="0.35">
      <c r="A676" s="1">
        <v>266040</v>
      </c>
      <c r="B676" s="7">
        <v>1155450.8</v>
      </c>
      <c r="C676" s="2">
        <v>270.25400000000002</v>
      </c>
      <c r="D676" s="2">
        <v>271.11900000000003</v>
      </c>
      <c r="E676" s="2">
        <v>0.86499999999999999</v>
      </c>
      <c r="F676" s="2">
        <v>269.58199999999999</v>
      </c>
      <c r="G676" s="2">
        <v>270.40600000000001</v>
      </c>
      <c r="H676" s="2">
        <v>0.82399999999999995</v>
      </c>
      <c r="I676" s="2">
        <v>266.50599999999997</v>
      </c>
      <c r="J676" s="2">
        <v>266.44400000000002</v>
      </c>
      <c r="K676" s="15">
        <v>3.9620000000000002</v>
      </c>
      <c r="L676" s="2">
        <v>14.372</v>
      </c>
      <c r="N676" s="7">
        <f t="shared" si="100"/>
        <v>39.900000000139698</v>
      </c>
      <c r="O676" s="1">
        <v>0</v>
      </c>
      <c r="P676" s="1" t="str">
        <f t="shared" ref="P676:P699" si="101">CONCATENATE(N676,",",O676)</f>
        <v>39.9000000001397,0</v>
      </c>
      <c r="Q676" s="6" t="s">
        <v>10</v>
      </c>
      <c r="R676" s="1">
        <v>90</v>
      </c>
      <c r="S676" s="1">
        <v>2.5</v>
      </c>
      <c r="T676" s="1" t="str">
        <f t="shared" si="99"/>
        <v>-text 39.9000000001397,0 2.5 90 1155450.8</v>
      </c>
    </row>
    <row r="677" spans="1:20" x14ac:dyDescent="0.35">
      <c r="A677" s="1">
        <v>266060</v>
      </c>
      <c r="B677" s="7">
        <v>1155470.8999999999</v>
      </c>
      <c r="C677" s="2">
        <v>270.274</v>
      </c>
      <c r="D677" s="2">
        <v>271.13200000000001</v>
      </c>
      <c r="E677" s="2">
        <v>0.85699999999999998</v>
      </c>
      <c r="F677" s="2">
        <v>269.60199999999998</v>
      </c>
      <c r="G677" s="2">
        <v>270.41899999999998</v>
      </c>
      <c r="H677" s="2">
        <v>0.81599999999999995</v>
      </c>
      <c r="I677" s="2">
        <v>266.52</v>
      </c>
      <c r="J677" s="2">
        <v>266.245</v>
      </c>
      <c r="K677" s="15">
        <v>4.1740000000000004</v>
      </c>
      <c r="L677" s="2">
        <v>14.324999999999999</v>
      </c>
      <c r="N677" s="7">
        <f t="shared" si="100"/>
        <v>60</v>
      </c>
      <c r="O677" s="1">
        <v>0</v>
      </c>
      <c r="P677" s="1" t="str">
        <f t="shared" si="101"/>
        <v>60,0</v>
      </c>
      <c r="Q677" s="6" t="s">
        <v>10</v>
      </c>
      <c r="R677" s="1">
        <v>90</v>
      </c>
      <c r="S677" s="1">
        <v>2.5</v>
      </c>
      <c r="T677" s="1" t="str">
        <f t="shared" si="99"/>
        <v>-text 60,0 2.5 90 1155470.9</v>
      </c>
    </row>
    <row r="678" spans="1:20" x14ac:dyDescent="0.35">
      <c r="A678" s="1">
        <v>266080</v>
      </c>
      <c r="B678" s="7">
        <v>1155490.8999999999</v>
      </c>
      <c r="C678" s="2">
        <v>270.34399999999999</v>
      </c>
      <c r="D678" s="2">
        <v>271.14400000000001</v>
      </c>
      <c r="E678" s="2">
        <v>0.80100000000000005</v>
      </c>
      <c r="F678" s="2">
        <v>269.67200000000003</v>
      </c>
      <c r="G678" s="2">
        <v>270.43099999999998</v>
      </c>
      <c r="H678" s="2">
        <v>0.76</v>
      </c>
      <c r="I678" s="2">
        <v>266.721</v>
      </c>
      <c r="J678" s="2">
        <v>266.553</v>
      </c>
      <c r="K678" s="15">
        <v>3.8780000000000001</v>
      </c>
      <c r="L678" s="2">
        <v>14.305</v>
      </c>
      <c r="N678" s="7">
        <f t="shared" si="100"/>
        <v>80</v>
      </c>
      <c r="O678" s="1">
        <v>0</v>
      </c>
      <c r="P678" s="1" t="str">
        <f t="shared" si="101"/>
        <v>80,0</v>
      </c>
      <c r="Q678" s="6" t="s">
        <v>10</v>
      </c>
      <c r="R678" s="1">
        <v>90</v>
      </c>
      <c r="S678" s="1">
        <v>2.5</v>
      </c>
      <c r="T678" s="1" t="str">
        <f t="shared" si="99"/>
        <v>-text 80,0 2.5 90 1155490.9</v>
      </c>
    </row>
    <row r="679" spans="1:20" s="10" customFormat="1" x14ac:dyDescent="0.35">
      <c r="A679" s="10">
        <v>266100</v>
      </c>
      <c r="B679" s="11">
        <v>1155510.8999999999</v>
      </c>
      <c r="C679" s="9">
        <v>270.39600000000002</v>
      </c>
      <c r="D679" s="9">
        <v>271.15699999999998</v>
      </c>
      <c r="E679" s="9">
        <v>0.76100000000000001</v>
      </c>
      <c r="F679" s="9">
        <v>269.72399999999999</v>
      </c>
      <c r="G679" s="9">
        <v>270.44400000000002</v>
      </c>
      <c r="H679" s="9">
        <v>0.72</v>
      </c>
      <c r="I679" s="9">
        <v>266.947</v>
      </c>
      <c r="J679" s="9">
        <v>266.661</v>
      </c>
      <c r="K679" s="16">
        <v>3.7829999999999999</v>
      </c>
      <c r="L679" s="9">
        <v>14.311999999999999</v>
      </c>
      <c r="M679" s="9"/>
      <c r="N679" s="7">
        <f t="shared" si="100"/>
        <v>100</v>
      </c>
      <c r="O679" s="1">
        <v>0</v>
      </c>
      <c r="P679" s="1" t="str">
        <f t="shared" si="101"/>
        <v>100,0</v>
      </c>
      <c r="Q679" s="6" t="s">
        <v>10</v>
      </c>
      <c r="R679" s="1">
        <v>90</v>
      </c>
      <c r="S679" s="1">
        <v>2.5</v>
      </c>
      <c r="T679" s="1" t="str">
        <f t="shared" si="99"/>
        <v>-text 100,0 2.5 90 1155510.9</v>
      </c>
    </row>
    <row r="680" spans="1:20" x14ac:dyDescent="0.35">
      <c r="A680" s="1">
        <v>266120</v>
      </c>
      <c r="B680" s="7">
        <v>1155530.8999999999</v>
      </c>
      <c r="C680" s="2">
        <v>270.41399999999999</v>
      </c>
      <c r="D680" s="2">
        <v>271.17</v>
      </c>
      <c r="E680" s="2">
        <v>0.75600000000000001</v>
      </c>
      <c r="F680" s="2">
        <v>269.74200000000002</v>
      </c>
      <c r="G680" s="2">
        <v>270.45699999999999</v>
      </c>
      <c r="H680" s="2">
        <v>0.71499999999999997</v>
      </c>
      <c r="I680" s="2">
        <v>266.84300000000002</v>
      </c>
      <c r="J680" s="2">
        <v>266.68</v>
      </c>
      <c r="K680" s="15">
        <v>3.7759999999999998</v>
      </c>
      <c r="L680" s="2">
        <v>14.337999999999999</v>
      </c>
      <c r="N680" s="7">
        <f t="shared" si="100"/>
        <v>120</v>
      </c>
      <c r="O680" s="1">
        <v>0</v>
      </c>
      <c r="P680" s="1" t="str">
        <f t="shared" si="101"/>
        <v>120,0</v>
      </c>
      <c r="Q680" s="6" t="s">
        <v>10</v>
      </c>
      <c r="R680" s="1">
        <v>90</v>
      </c>
      <c r="S680" s="1">
        <v>2.5</v>
      </c>
      <c r="T680" s="1" t="str">
        <f t="shared" si="99"/>
        <v>-text 120,0 2.5 90 1155530.9</v>
      </c>
    </row>
    <row r="681" spans="1:20" x14ac:dyDescent="0.35">
      <c r="A681" s="1">
        <v>266140</v>
      </c>
      <c r="B681" s="7">
        <v>1155550.8999999999</v>
      </c>
      <c r="C681" s="2">
        <v>270.42899999999997</v>
      </c>
      <c r="D681" s="2">
        <v>271.18200000000002</v>
      </c>
      <c r="E681" s="2">
        <v>0.754</v>
      </c>
      <c r="F681" s="2">
        <v>269.75700000000001</v>
      </c>
      <c r="G681" s="2">
        <v>270.46899999999999</v>
      </c>
      <c r="H681" s="2">
        <v>0.71299999999999997</v>
      </c>
      <c r="I681" s="2">
        <v>267.11</v>
      </c>
      <c r="J681" s="2">
        <v>266.81700000000001</v>
      </c>
      <c r="K681" s="15">
        <v>3.6520000000000001</v>
      </c>
      <c r="L681" s="2">
        <v>14.352</v>
      </c>
      <c r="N681" s="7">
        <f t="shared" si="100"/>
        <v>140</v>
      </c>
      <c r="O681" s="1">
        <v>0</v>
      </c>
      <c r="P681" s="1" t="str">
        <f t="shared" si="101"/>
        <v>140,0</v>
      </c>
      <c r="Q681" s="6" t="s">
        <v>10</v>
      </c>
      <c r="R681" s="1">
        <v>90</v>
      </c>
      <c r="S681" s="1">
        <v>2.5</v>
      </c>
      <c r="T681" s="1" t="str">
        <f t="shared" si="99"/>
        <v>-text 140,0 2.5 90 1155550.9</v>
      </c>
    </row>
    <row r="682" spans="1:20" x14ac:dyDescent="0.35">
      <c r="A682" s="1">
        <v>266160</v>
      </c>
      <c r="B682" s="7">
        <v>1155570.8999999999</v>
      </c>
      <c r="C682" s="2">
        <v>270.44200000000001</v>
      </c>
      <c r="D682" s="2">
        <v>271.19499999999999</v>
      </c>
      <c r="E682" s="2">
        <v>0.753</v>
      </c>
      <c r="F682" s="2">
        <v>269.77</v>
      </c>
      <c r="G682" s="2">
        <v>270.48200000000003</v>
      </c>
      <c r="H682" s="2">
        <v>0.71199999999999997</v>
      </c>
      <c r="I682" s="2">
        <v>266.83</v>
      </c>
      <c r="J682" s="2">
        <v>266.83800000000002</v>
      </c>
      <c r="K682" s="15">
        <v>3.6440000000000001</v>
      </c>
      <c r="L682" s="2">
        <v>14.362</v>
      </c>
      <c r="N682" s="7">
        <f t="shared" si="100"/>
        <v>160</v>
      </c>
      <c r="O682" s="1">
        <v>0</v>
      </c>
      <c r="P682" s="1" t="str">
        <f t="shared" si="101"/>
        <v>160,0</v>
      </c>
      <c r="Q682" s="6" t="s">
        <v>10</v>
      </c>
      <c r="R682" s="1">
        <v>90</v>
      </c>
      <c r="S682" s="1">
        <v>2.5</v>
      </c>
      <c r="T682" s="1" t="str">
        <f t="shared" si="99"/>
        <v>-text 160,0 2.5 90 1155570.9</v>
      </c>
    </row>
    <row r="683" spans="1:20" x14ac:dyDescent="0.35">
      <c r="A683" s="1">
        <v>266180</v>
      </c>
      <c r="B683" s="7">
        <v>1155590.8999999999</v>
      </c>
      <c r="C683" s="2">
        <v>270.44799999999998</v>
      </c>
      <c r="D683" s="2">
        <v>271.20699999999999</v>
      </c>
      <c r="E683" s="2">
        <v>0.75900000000000001</v>
      </c>
      <c r="F683" s="2">
        <v>269.77600000000001</v>
      </c>
      <c r="G683" s="2">
        <v>270.49400000000003</v>
      </c>
      <c r="H683" s="2">
        <v>0.71799999999999997</v>
      </c>
      <c r="I683" s="2">
        <v>266.54899999999998</v>
      </c>
      <c r="J683" s="2">
        <v>266.83499999999998</v>
      </c>
      <c r="K683" s="15">
        <v>3.66</v>
      </c>
      <c r="L683" s="2">
        <v>14.336</v>
      </c>
      <c r="N683" s="7">
        <f t="shared" si="100"/>
        <v>180</v>
      </c>
      <c r="O683" s="1">
        <v>0</v>
      </c>
      <c r="P683" s="1" t="str">
        <f t="shared" si="101"/>
        <v>180,0</v>
      </c>
      <c r="Q683" s="6" t="s">
        <v>10</v>
      </c>
      <c r="R683" s="1">
        <v>90</v>
      </c>
      <c r="S683" s="1">
        <v>2.5</v>
      </c>
      <c r="T683" s="1" t="str">
        <f t="shared" si="99"/>
        <v>-text 180,0 2.5 90 1155590.9</v>
      </c>
    </row>
    <row r="684" spans="1:20" s="10" customFormat="1" x14ac:dyDescent="0.35">
      <c r="A684" s="10">
        <v>266200</v>
      </c>
      <c r="B684" s="11">
        <v>1155610.8999999999</v>
      </c>
      <c r="C684" s="9">
        <v>270.45499999999998</v>
      </c>
      <c r="D684" s="9">
        <v>271.22000000000003</v>
      </c>
      <c r="E684" s="9">
        <v>0.76500000000000001</v>
      </c>
      <c r="F684" s="9">
        <v>269.78300000000002</v>
      </c>
      <c r="G684" s="9">
        <v>270.50700000000001</v>
      </c>
      <c r="H684" s="9">
        <v>0.72399999999999998</v>
      </c>
      <c r="I684" s="9">
        <v>266.565</v>
      </c>
      <c r="J684" s="9">
        <v>266.77300000000002</v>
      </c>
      <c r="K684" s="16">
        <v>3.734</v>
      </c>
      <c r="L684" s="9">
        <v>14.301</v>
      </c>
      <c r="M684" s="9"/>
      <c r="N684" s="7">
        <f t="shared" si="100"/>
        <v>200</v>
      </c>
      <c r="O684" s="1">
        <v>0</v>
      </c>
      <c r="P684" s="1" t="str">
        <f t="shared" si="101"/>
        <v>200,0</v>
      </c>
      <c r="Q684" s="6" t="s">
        <v>10</v>
      </c>
      <c r="R684" s="1">
        <v>90</v>
      </c>
      <c r="S684" s="1">
        <v>2.5</v>
      </c>
      <c r="T684" s="1" t="str">
        <f t="shared" si="99"/>
        <v>-text 200,0 2.5 90 1155610.9</v>
      </c>
    </row>
    <row r="685" spans="1:20" x14ac:dyDescent="0.35">
      <c r="A685" s="1">
        <v>266220</v>
      </c>
      <c r="B685" s="7">
        <v>1155630.8999999999</v>
      </c>
      <c r="C685" s="2">
        <v>270.48500000000001</v>
      </c>
      <c r="D685" s="2">
        <v>271.233</v>
      </c>
      <c r="E685" s="2">
        <v>0.748</v>
      </c>
      <c r="F685" s="2">
        <v>269.81299999999999</v>
      </c>
      <c r="G685" s="2">
        <v>270.52</v>
      </c>
      <c r="H685" s="2">
        <v>0.70699999999999996</v>
      </c>
      <c r="I685" s="2">
        <v>266.73</v>
      </c>
      <c r="J685" s="2">
        <v>266.71499999999997</v>
      </c>
      <c r="K685" s="15">
        <v>3.8039999999999998</v>
      </c>
      <c r="L685" s="2">
        <v>14.284000000000001</v>
      </c>
      <c r="N685" s="7">
        <f t="shared" si="100"/>
        <v>220</v>
      </c>
      <c r="O685" s="1">
        <v>0</v>
      </c>
      <c r="P685" s="1" t="str">
        <f t="shared" si="101"/>
        <v>220,0</v>
      </c>
      <c r="Q685" s="6" t="s">
        <v>10</v>
      </c>
      <c r="R685" s="1">
        <v>90</v>
      </c>
      <c r="S685" s="1">
        <v>2.5</v>
      </c>
      <c r="T685" s="1" t="str">
        <f t="shared" si="99"/>
        <v>-text 220,0 2.5 90 1155630.9</v>
      </c>
    </row>
    <row r="686" spans="1:20" x14ac:dyDescent="0.35">
      <c r="A686" s="1">
        <v>266240</v>
      </c>
      <c r="B686" s="7">
        <v>1155650.8999999999</v>
      </c>
      <c r="C686" s="2">
        <v>270.51900000000001</v>
      </c>
      <c r="D686" s="2">
        <v>271.245</v>
      </c>
      <c r="E686" s="2">
        <v>0.72699999999999998</v>
      </c>
      <c r="F686" s="2">
        <v>269.84699999999998</v>
      </c>
      <c r="G686" s="2">
        <v>270.53199999999998</v>
      </c>
      <c r="H686" s="2">
        <v>0.68600000000000005</v>
      </c>
      <c r="I686" s="2">
        <v>266.76499999999999</v>
      </c>
      <c r="J686" s="2">
        <v>266.70800000000003</v>
      </c>
      <c r="K686" s="15">
        <v>3.8250000000000002</v>
      </c>
      <c r="L686" s="2">
        <v>14.272</v>
      </c>
      <c r="N686" s="7">
        <f t="shared" si="100"/>
        <v>240</v>
      </c>
      <c r="O686" s="1">
        <v>0</v>
      </c>
      <c r="P686" s="1" t="str">
        <f t="shared" si="101"/>
        <v>240,0</v>
      </c>
      <c r="Q686" s="6" t="s">
        <v>10</v>
      </c>
      <c r="R686" s="1">
        <v>90</v>
      </c>
      <c r="S686" s="1">
        <v>2.5</v>
      </c>
      <c r="T686" s="1" t="str">
        <f t="shared" si="99"/>
        <v>-text 240,0 2.5 90 1155650.9</v>
      </c>
    </row>
    <row r="687" spans="1:20" x14ac:dyDescent="0.35">
      <c r="A687" s="1">
        <v>266260</v>
      </c>
      <c r="B687" s="7">
        <v>1155670.8999999999</v>
      </c>
      <c r="C687" s="2">
        <v>270.56599999999997</v>
      </c>
      <c r="D687" s="2">
        <v>271.25799999999998</v>
      </c>
      <c r="E687" s="2">
        <v>0.69199999999999995</v>
      </c>
      <c r="F687" s="2">
        <v>269.89400000000001</v>
      </c>
      <c r="G687" s="2">
        <v>270.54500000000002</v>
      </c>
      <c r="H687" s="2">
        <v>0.65100000000000002</v>
      </c>
      <c r="I687" s="2">
        <v>266.726</v>
      </c>
      <c r="J687" s="2">
        <v>266.79300000000001</v>
      </c>
      <c r="K687" s="15">
        <v>3.7519999999999998</v>
      </c>
      <c r="L687" s="2">
        <v>14.289</v>
      </c>
      <c r="N687" s="7">
        <f t="shared" si="100"/>
        <v>260</v>
      </c>
      <c r="O687" s="1">
        <v>0</v>
      </c>
      <c r="P687" s="1" t="str">
        <f t="shared" si="101"/>
        <v>260,0</v>
      </c>
      <c r="Q687" s="6" t="s">
        <v>10</v>
      </c>
      <c r="R687" s="1">
        <v>90</v>
      </c>
      <c r="S687" s="1">
        <v>2.5</v>
      </c>
      <c r="T687" s="1" t="str">
        <f t="shared" si="99"/>
        <v>-text 260,0 2.5 90 1155670.9</v>
      </c>
    </row>
    <row r="688" spans="1:20" x14ac:dyDescent="0.35">
      <c r="A688" s="1">
        <v>266280</v>
      </c>
      <c r="B688" s="7">
        <v>1155690.8999999999</v>
      </c>
      <c r="C688" s="2">
        <v>270.60500000000002</v>
      </c>
      <c r="D688" s="2">
        <v>271.27100000000002</v>
      </c>
      <c r="E688" s="2">
        <v>0.66500000000000004</v>
      </c>
      <c r="F688" s="2">
        <v>269.93299999999999</v>
      </c>
      <c r="G688" s="2">
        <v>270.55799999999999</v>
      </c>
      <c r="H688" s="2">
        <v>0.624</v>
      </c>
      <c r="I688" s="2">
        <v>266.58999999999997</v>
      </c>
      <c r="J688" s="2">
        <v>266.572</v>
      </c>
      <c r="K688" s="15">
        <v>3.9860000000000002</v>
      </c>
      <c r="L688" s="2">
        <v>14.281000000000001</v>
      </c>
      <c r="N688" s="7">
        <f t="shared" si="100"/>
        <v>280</v>
      </c>
      <c r="O688" s="1">
        <v>0</v>
      </c>
      <c r="P688" s="1" t="str">
        <f t="shared" si="101"/>
        <v>280,0</v>
      </c>
      <c r="Q688" s="6" t="s">
        <v>10</v>
      </c>
      <c r="R688" s="1">
        <v>90</v>
      </c>
      <c r="S688" s="1">
        <v>2.5</v>
      </c>
      <c r="T688" s="1" t="str">
        <f t="shared" si="99"/>
        <v>-text 280,0 2.5 90 1155690.9</v>
      </c>
    </row>
    <row r="689" spans="1:20" x14ac:dyDescent="0.35">
      <c r="A689" s="1">
        <v>266300</v>
      </c>
      <c r="B689" s="7">
        <v>1155710.8999999999</v>
      </c>
      <c r="C689" s="2">
        <v>270.63200000000001</v>
      </c>
      <c r="D689" s="2">
        <v>271.28300000000002</v>
      </c>
      <c r="E689" s="2">
        <v>0.65100000000000002</v>
      </c>
      <c r="F689" s="2">
        <v>269.95999999999998</v>
      </c>
      <c r="G689" s="2">
        <v>270.57</v>
      </c>
      <c r="H689" s="2">
        <v>0.61</v>
      </c>
      <c r="I689" s="2">
        <v>266.55599999999998</v>
      </c>
      <c r="J689" s="9">
        <v>266.91500000000002</v>
      </c>
      <c r="K689" s="16">
        <v>3.6560000000000001</v>
      </c>
      <c r="L689" s="9">
        <v>14.24</v>
      </c>
      <c r="N689" s="7">
        <f t="shared" si="100"/>
        <v>300</v>
      </c>
      <c r="O689" s="1">
        <v>0</v>
      </c>
      <c r="P689" s="1" t="str">
        <f t="shared" si="101"/>
        <v>300,0</v>
      </c>
      <c r="Q689" s="6" t="s">
        <v>10</v>
      </c>
      <c r="R689" s="1">
        <v>90</v>
      </c>
      <c r="S689" s="1">
        <v>2.5</v>
      </c>
      <c r="T689" s="1" t="str">
        <f t="shared" si="99"/>
        <v>-text 300,0 2.5 90 1155710.9</v>
      </c>
    </row>
    <row r="690" spans="1:20" x14ac:dyDescent="0.35">
      <c r="A690" s="1">
        <v>266320</v>
      </c>
      <c r="B690" s="7">
        <v>1155730.8999999999</v>
      </c>
      <c r="C690" s="2">
        <v>270.637</v>
      </c>
      <c r="D690" s="2">
        <v>271.29599999999999</v>
      </c>
      <c r="E690" s="2">
        <v>0.65900000000000003</v>
      </c>
      <c r="F690" s="2">
        <v>269.96499999999997</v>
      </c>
      <c r="G690" s="2">
        <v>270.58300000000003</v>
      </c>
      <c r="H690" s="2">
        <v>0.61799999999999999</v>
      </c>
      <c r="I690" s="2">
        <v>266.697</v>
      </c>
      <c r="J690" s="2">
        <v>267.27600000000001</v>
      </c>
      <c r="K690" s="15">
        <v>3.3069999999999999</v>
      </c>
      <c r="L690" s="2">
        <v>14.218</v>
      </c>
      <c r="N690" s="7">
        <f t="shared" si="100"/>
        <v>320</v>
      </c>
      <c r="O690" s="1">
        <v>0</v>
      </c>
      <c r="P690" s="1" t="str">
        <f t="shared" si="101"/>
        <v>320,0</v>
      </c>
      <c r="Q690" s="6" t="s">
        <v>10</v>
      </c>
      <c r="R690" s="1">
        <v>90</v>
      </c>
      <c r="S690" s="1">
        <v>2.5</v>
      </c>
      <c r="T690" s="1" t="str">
        <f t="shared" si="99"/>
        <v>-text 320,0 2.5 90 1155730.9</v>
      </c>
    </row>
    <row r="691" spans="1:20" x14ac:dyDescent="0.35">
      <c r="A691" s="1">
        <v>266340</v>
      </c>
      <c r="B691" s="7">
        <v>1155750.8999999999</v>
      </c>
      <c r="C691" s="2">
        <v>270.61799999999999</v>
      </c>
      <c r="D691" s="2">
        <v>271.30900000000003</v>
      </c>
      <c r="E691" s="2">
        <v>0.69099999999999995</v>
      </c>
      <c r="F691" s="2">
        <v>269.94600000000003</v>
      </c>
      <c r="G691" s="2">
        <v>270.596</v>
      </c>
      <c r="H691" s="2">
        <v>0.65</v>
      </c>
      <c r="I691" s="2">
        <v>266.81099999999998</v>
      </c>
      <c r="J691" s="2">
        <v>267.39600000000002</v>
      </c>
      <c r="K691" s="15">
        <v>3.2</v>
      </c>
      <c r="L691" s="2">
        <v>14.215999999999999</v>
      </c>
      <c r="N691" s="7">
        <f t="shared" si="100"/>
        <v>340</v>
      </c>
      <c r="O691" s="1">
        <v>0</v>
      </c>
      <c r="P691" s="1" t="str">
        <f t="shared" si="101"/>
        <v>340,0</v>
      </c>
      <c r="Q691" s="6" t="s">
        <v>10</v>
      </c>
      <c r="R691" s="1">
        <v>90</v>
      </c>
      <c r="S691" s="1">
        <v>2.5</v>
      </c>
      <c r="T691" s="1" t="str">
        <f t="shared" si="99"/>
        <v>-text 340,0 2.5 90 1155750.9</v>
      </c>
    </row>
    <row r="692" spans="1:20" x14ac:dyDescent="0.35">
      <c r="A692" s="1">
        <v>266360</v>
      </c>
      <c r="B692" s="7">
        <v>1155770.8999999999</v>
      </c>
      <c r="C692" s="2">
        <v>270.63499999999999</v>
      </c>
      <c r="D692" s="2">
        <v>271.32100000000003</v>
      </c>
      <c r="E692" s="2">
        <v>0.68700000000000006</v>
      </c>
      <c r="F692" s="2">
        <v>269.96300000000002</v>
      </c>
      <c r="G692" s="2">
        <v>270.608</v>
      </c>
      <c r="H692" s="2">
        <v>0.64600000000000002</v>
      </c>
      <c r="I692" s="2">
        <v>266.88900000000001</v>
      </c>
      <c r="J692" s="2">
        <v>267.423</v>
      </c>
      <c r="K692" s="15">
        <v>3.1850000000000001</v>
      </c>
      <c r="L692" s="2">
        <v>14.202999999999999</v>
      </c>
      <c r="N692" s="7">
        <f t="shared" si="100"/>
        <v>360</v>
      </c>
      <c r="O692" s="1">
        <v>0</v>
      </c>
      <c r="P692" s="1" t="str">
        <f t="shared" si="101"/>
        <v>360,0</v>
      </c>
      <c r="Q692" s="6" t="s">
        <v>10</v>
      </c>
      <c r="R692" s="1">
        <v>90</v>
      </c>
      <c r="S692" s="1">
        <v>2.5</v>
      </c>
      <c r="T692" s="1" t="str">
        <f t="shared" si="99"/>
        <v>-text 360,0 2.5 90 1155770.9</v>
      </c>
    </row>
    <row r="693" spans="1:20" x14ac:dyDescent="0.35">
      <c r="A693" s="1">
        <v>266380</v>
      </c>
      <c r="B693" s="7">
        <v>1155790.8999999999</v>
      </c>
      <c r="C693" s="2">
        <v>270.68099999999998</v>
      </c>
      <c r="D693" s="2">
        <v>271.334</v>
      </c>
      <c r="E693" s="2">
        <v>0.65300000000000002</v>
      </c>
      <c r="F693" s="2">
        <v>270.00900000000001</v>
      </c>
      <c r="G693" s="2">
        <v>270.62099999999998</v>
      </c>
      <c r="H693" s="2">
        <v>0.61199999999999999</v>
      </c>
      <c r="I693" s="2">
        <v>266.952</v>
      </c>
      <c r="J693" s="2">
        <v>267.56900000000002</v>
      </c>
      <c r="K693" s="15">
        <v>3.052</v>
      </c>
      <c r="L693" s="2">
        <v>14.180999999999999</v>
      </c>
      <c r="N693" s="7">
        <f t="shared" si="100"/>
        <v>380</v>
      </c>
      <c r="O693" s="1">
        <v>0</v>
      </c>
      <c r="P693" s="1" t="str">
        <f t="shared" si="101"/>
        <v>380,0</v>
      </c>
      <c r="Q693" s="6" t="s">
        <v>10</v>
      </c>
      <c r="R693" s="1">
        <v>90</v>
      </c>
      <c r="S693" s="1">
        <v>2.5</v>
      </c>
      <c r="T693" s="1" t="str">
        <f t="shared" si="99"/>
        <v>-text 380,0 2.5 90 1155790.9</v>
      </c>
    </row>
    <row r="694" spans="1:20" x14ac:dyDescent="0.35">
      <c r="A694" s="1">
        <v>266400</v>
      </c>
      <c r="B694" s="7">
        <v>1155810.8999999999</v>
      </c>
      <c r="C694" s="2">
        <v>270.70999999999998</v>
      </c>
      <c r="D694" s="2">
        <v>271.34699999999998</v>
      </c>
      <c r="E694" s="2">
        <v>0.63700000000000001</v>
      </c>
      <c r="F694" s="2">
        <v>270.03800000000001</v>
      </c>
      <c r="G694" s="2">
        <v>270.63400000000001</v>
      </c>
      <c r="H694" s="2">
        <v>0.59599999999999997</v>
      </c>
      <c r="I694" s="2">
        <v>266.95600000000002</v>
      </c>
      <c r="J694" s="2">
        <v>267.52699999999999</v>
      </c>
      <c r="K694" s="15">
        <v>3.1070000000000002</v>
      </c>
      <c r="L694" s="2">
        <v>14.186999999999999</v>
      </c>
      <c r="N694" s="7">
        <f t="shared" si="100"/>
        <v>400</v>
      </c>
      <c r="O694" s="1">
        <v>0</v>
      </c>
      <c r="P694" s="1" t="str">
        <f t="shared" si="101"/>
        <v>400,0</v>
      </c>
      <c r="Q694" s="6" t="s">
        <v>10</v>
      </c>
      <c r="R694" s="1">
        <v>90</v>
      </c>
      <c r="S694" s="1">
        <v>2.5</v>
      </c>
      <c r="T694" s="1" t="str">
        <f t="shared" si="99"/>
        <v>-text 400,0 2.5 90 1155810.9</v>
      </c>
    </row>
    <row r="695" spans="1:20" x14ac:dyDescent="0.35">
      <c r="A695" s="1">
        <v>266420</v>
      </c>
      <c r="B695" s="7">
        <v>1155830.8999999999</v>
      </c>
      <c r="C695" s="2">
        <v>270.72800000000001</v>
      </c>
      <c r="D695" s="2">
        <v>271.35899999999998</v>
      </c>
      <c r="E695" s="2">
        <v>0.63100000000000001</v>
      </c>
      <c r="F695" s="2">
        <v>270.05599999999998</v>
      </c>
      <c r="G695" s="2">
        <v>270.64600000000002</v>
      </c>
      <c r="H695" s="2">
        <v>0.59</v>
      </c>
      <c r="I695" s="2">
        <v>266.92700000000002</v>
      </c>
      <c r="J695" s="2">
        <v>266.95699999999999</v>
      </c>
      <c r="K695" s="15">
        <v>3.69</v>
      </c>
      <c r="L695" s="2">
        <v>14.212999999999999</v>
      </c>
      <c r="N695" s="7">
        <f t="shared" si="100"/>
        <v>420</v>
      </c>
      <c r="O695" s="1">
        <v>0</v>
      </c>
      <c r="P695" s="1" t="str">
        <f t="shared" si="101"/>
        <v>420,0</v>
      </c>
      <c r="Q695" s="6" t="s">
        <v>10</v>
      </c>
      <c r="R695" s="1">
        <v>90</v>
      </c>
      <c r="S695" s="1">
        <v>2.5</v>
      </c>
      <c r="T695" s="1" t="str">
        <f t="shared" si="99"/>
        <v>-text 420,0 2.5 90 1155830.9</v>
      </c>
    </row>
    <row r="696" spans="1:20" x14ac:dyDescent="0.35">
      <c r="A696" s="1">
        <v>266440</v>
      </c>
      <c r="B696" s="7">
        <v>1155850.8999999999</v>
      </c>
      <c r="C696" s="2">
        <v>270.72899999999998</v>
      </c>
      <c r="D696" s="2">
        <v>271.37200000000001</v>
      </c>
      <c r="E696" s="2">
        <v>0.64300000000000002</v>
      </c>
      <c r="F696" s="2">
        <v>270.05700000000002</v>
      </c>
      <c r="G696" s="2">
        <v>270.65899999999999</v>
      </c>
      <c r="H696" s="2">
        <v>0.60199999999999998</v>
      </c>
      <c r="I696" s="2">
        <v>266.85599999999999</v>
      </c>
      <c r="J696" s="2">
        <v>266.89299999999997</v>
      </c>
      <c r="K696" s="15">
        <v>3.766</v>
      </c>
      <c r="L696" s="2">
        <v>14.214</v>
      </c>
      <c r="N696" s="7">
        <f t="shared" si="100"/>
        <v>440</v>
      </c>
      <c r="O696" s="1">
        <v>0</v>
      </c>
      <c r="P696" s="1" t="str">
        <f t="shared" si="101"/>
        <v>440,0</v>
      </c>
      <c r="Q696" s="6" t="s">
        <v>10</v>
      </c>
      <c r="R696" s="1">
        <v>90</v>
      </c>
      <c r="S696" s="1">
        <v>2.5</v>
      </c>
      <c r="T696" s="1" t="str">
        <f t="shared" si="99"/>
        <v>-text 440,0 2.5 90 1155850.9</v>
      </c>
    </row>
    <row r="697" spans="1:20" x14ac:dyDescent="0.35">
      <c r="A697" s="1">
        <v>266460</v>
      </c>
      <c r="B697" s="7">
        <v>1155870.8999999999</v>
      </c>
      <c r="C697" s="2">
        <v>270.72300000000001</v>
      </c>
      <c r="D697" s="2">
        <v>271.38400000000001</v>
      </c>
      <c r="E697" s="2">
        <v>0.66200000000000003</v>
      </c>
      <c r="F697" s="2">
        <v>270.05099999999999</v>
      </c>
      <c r="G697" s="2">
        <v>270.67099999999999</v>
      </c>
      <c r="H697" s="2">
        <v>0.621</v>
      </c>
      <c r="I697" s="2">
        <v>266.71699999999998</v>
      </c>
      <c r="J697" s="2">
        <v>266.71300000000002</v>
      </c>
      <c r="K697" s="15">
        <v>3.9580000000000002</v>
      </c>
      <c r="L697" s="2">
        <v>14.205</v>
      </c>
      <c r="N697" s="7">
        <f t="shared" si="100"/>
        <v>460</v>
      </c>
      <c r="O697" s="1">
        <v>0</v>
      </c>
      <c r="P697" s="1" t="str">
        <f t="shared" si="101"/>
        <v>460,0</v>
      </c>
      <c r="Q697" s="6" t="s">
        <v>10</v>
      </c>
      <c r="R697" s="1">
        <v>90</v>
      </c>
      <c r="S697" s="1">
        <v>2.5</v>
      </c>
      <c r="T697" s="1" t="str">
        <f t="shared" si="99"/>
        <v>-text 460,0 2.5 90 1155870.9</v>
      </c>
    </row>
    <row r="698" spans="1:20" x14ac:dyDescent="0.35">
      <c r="A698" s="1">
        <v>266480</v>
      </c>
      <c r="B698" s="7">
        <v>1155890.8999999999</v>
      </c>
      <c r="C698" s="2">
        <v>270.77800000000002</v>
      </c>
      <c r="D698" s="2">
        <v>271.39699999999999</v>
      </c>
      <c r="E698" s="2">
        <v>0.61899999999999999</v>
      </c>
      <c r="F698" s="2">
        <v>270.10599999999999</v>
      </c>
      <c r="G698" s="2">
        <v>270.68400000000003</v>
      </c>
      <c r="H698" s="2">
        <v>0.57799999999999996</v>
      </c>
      <c r="I698" s="2">
        <v>266.65699999999998</v>
      </c>
      <c r="J698" s="2">
        <v>266.49599999999998</v>
      </c>
      <c r="K698" s="15">
        <v>4.1879999999999997</v>
      </c>
      <c r="L698" s="2">
        <v>14.228999999999999</v>
      </c>
      <c r="N698" s="7">
        <f t="shared" si="100"/>
        <v>480</v>
      </c>
      <c r="O698" s="1">
        <v>0</v>
      </c>
      <c r="P698" s="1" t="str">
        <f t="shared" si="101"/>
        <v>480,0</v>
      </c>
      <c r="Q698" s="6" t="s">
        <v>10</v>
      </c>
      <c r="R698" s="1">
        <v>90</v>
      </c>
      <c r="S698" s="1">
        <v>2.5</v>
      </c>
      <c r="T698" s="1" t="str">
        <f t="shared" si="99"/>
        <v>-text 480,0 2.5 90 1155890.9</v>
      </c>
    </row>
    <row r="699" spans="1:20" x14ac:dyDescent="0.35">
      <c r="A699" s="1">
        <v>266500</v>
      </c>
      <c r="B699" s="7">
        <v>1155910.8999999999</v>
      </c>
      <c r="C699" s="2">
        <v>270.839</v>
      </c>
      <c r="D699" s="2">
        <v>271.40499999999997</v>
      </c>
      <c r="E699" s="2">
        <v>0.56599999999999995</v>
      </c>
      <c r="F699" s="2">
        <v>270.16699999999997</v>
      </c>
      <c r="G699" s="2">
        <v>270.69200000000001</v>
      </c>
      <c r="H699" s="2">
        <v>0.52500000000000002</v>
      </c>
      <c r="I699" s="2">
        <v>266.73200000000003</v>
      </c>
      <c r="J699" s="2">
        <v>266.40100000000001</v>
      </c>
      <c r="K699" s="15">
        <v>4.2910000000000004</v>
      </c>
      <c r="L699" s="2">
        <v>14.253</v>
      </c>
      <c r="N699" s="7">
        <f t="shared" si="100"/>
        <v>500</v>
      </c>
      <c r="O699" s="1">
        <v>0</v>
      </c>
      <c r="P699" s="1" t="str">
        <f t="shared" si="101"/>
        <v>500,0</v>
      </c>
      <c r="Q699" s="6" t="s">
        <v>10</v>
      </c>
      <c r="R699" s="1">
        <v>90</v>
      </c>
      <c r="S699" s="1">
        <v>2.5</v>
      </c>
      <c r="T699" s="1" t="str">
        <f t="shared" si="99"/>
        <v>-text 500,0 2.5 90 1155910.9</v>
      </c>
    </row>
    <row r="700" spans="1:20" s="10" customFormat="1" x14ac:dyDescent="0.35">
      <c r="B700" s="11"/>
      <c r="C700" s="9"/>
      <c r="D700" s="9"/>
      <c r="E700" s="9"/>
      <c r="F700" s="9"/>
      <c r="G700" s="9"/>
      <c r="H700" s="9"/>
      <c r="I700" s="9"/>
      <c r="J700" s="9"/>
      <c r="K700" s="16"/>
      <c r="L700" s="9"/>
      <c r="M700" s="9"/>
      <c r="N700" s="11"/>
      <c r="Q700" s="12"/>
    </row>
    <row r="701" spans="1:20" x14ac:dyDescent="0.35">
      <c r="A701" s="1">
        <v>266500</v>
      </c>
      <c r="B701" s="7">
        <v>1155910.8999999999</v>
      </c>
      <c r="C701" s="2">
        <v>270.839</v>
      </c>
      <c r="D701" s="2">
        <v>271.40499999999997</v>
      </c>
      <c r="E701" s="2">
        <v>0.56599999999999995</v>
      </c>
      <c r="F701" s="2">
        <v>270.16699999999997</v>
      </c>
      <c r="G701" s="2">
        <v>270.69200000000001</v>
      </c>
      <c r="H701" s="2">
        <v>0.52500000000000002</v>
      </c>
      <c r="I701" s="2">
        <v>266.73200000000003</v>
      </c>
      <c r="J701" s="2">
        <v>266.40100000000001</v>
      </c>
      <c r="K701" s="15">
        <v>4.2910000000000004</v>
      </c>
      <c r="L701" s="2">
        <v>14.253</v>
      </c>
      <c r="N701" s="7">
        <v>0</v>
      </c>
      <c r="O701" s="1">
        <v>0</v>
      </c>
      <c r="P701" s="1" t="str">
        <f t="shared" ref="P701:P742" si="102">CONCATENATE(N701,",",O701)</f>
        <v>0,0</v>
      </c>
      <c r="Q701" s="6" t="s">
        <v>10</v>
      </c>
      <c r="R701" s="1">
        <v>90</v>
      </c>
      <c r="S701" s="1">
        <v>2.5</v>
      </c>
      <c r="T701" s="1" t="str">
        <f t="shared" ref="T701:T726" si="103">$Q701&amp;" "&amp;$P701&amp;" "&amp;$S701&amp;" "&amp;$R701&amp;" "&amp;$B701</f>
        <v>-text 0,0 2.5 90 1155910.9</v>
      </c>
    </row>
    <row r="702" spans="1:20" x14ac:dyDescent="0.35">
      <c r="A702" s="1">
        <v>266520</v>
      </c>
      <c r="B702" s="7">
        <v>1155930.8999999999</v>
      </c>
      <c r="C702" s="2">
        <v>270.87400000000002</v>
      </c>
      <c r="D702" s="2">
        <v>271.40499999999997</v>
      </c>
      <c r="E702" s="2">
        <v>0.53100000000000003</v>
      </c>
      <c r="F702" s="2">
        <v>270.202</v>
      </c>
      <c r="G702" s="2">
        <v>270.69200000000001</v>
      </c>
      <c r="H702" s="2">
        <v>0.49</v>
      </c>
      <c r="I702" s="2">
        <v>266.56700000000001</v>
      </c>
      <c r="J702" s="2">
        <v>266.48700000000002</v>
      </c>
      <c r="K702" s="15">
        <v>4.2050000000000001</v>
      </c>
      <c r="L702" s="2">
        <v>14.263</v>
      </c>
      <c r="N702" s="7">
        <f t="shared" ref="N702:N725" si="104">N701+(B702-B701)</f>
        <v>20</v>
      </c>
      <c r="O702" s="1">
        <v>0</v>
      </c>
      <c r="P702" s="1" t="str">
        <f t="shared" si="102"/>
        <v>20,0</v>
      </c>
      <c r="Q702" s="6" t="s">
        <v>10</v>
      </c>
      <c r="R702" s="1">
        <v>90</v>
      </c>
      <c r="S702" s="1">
        <v>2.5</v>
      </c>
      <c r="T702" s="1" t="str">
        <f t="shared" si="103"/>
        <v>-text 20,0 2.5 90 1155930.9</v>
      </c>
    </row>
    <row r="703" spans="1:20" x14ac:dyDescent="0.35">
      <c r="A703" s="1">
        <v>266540</v>
      </c>
      <c r="B703" s="7">
        <v>1155950.8999999999</v>
      </c>
      <c r="C703" s="2">
        <v>270.90800000000002</v>
      </c>
      <c r="D703" s="2">
        <v>271.40499999999997</v>
      </c>
      <c r="E703" s="2">
        <v>0.497</v>
      </c>
      <c r="F703" s="2">
        <v>270.23599999999999</v>
      </c>
      <c r="G703" s="2">
        <v>270.69200000000001</v>
      </c>
      <c r="H703" s="2">
        <v>0.45600000000000002</v>
      </c>
      <c r="I703" s="2">
        <v>266.32</v>
      </c>
      <c r="J703" s="2">
        <v>266.38299999999998</v>
      </c>
      <c r="K703" s="15">
        <v>4.3090000000000002</v>
      </c>
      <c r="L703" s="2">
        <v>14.272</v>
      </c>
      <c r="N703" s="7">
        <f t="shared" si="104"/>
        <v>40</v>
      </c>
      <c r="O703" s="1">
        <v>0</v>
      </c>
      <c r="P703" s="1" t="str">
        <f t="shared" si="102"/>
        <v>40,0</v>
      </c>
      <c r="Q703" s="6" t="s">
        <v>10</v>
      </c>
      <c r="R703" s="1">
        <v>90</v>
      </c>
      <c r="S703" s="1">
        <v>2.5</v>
      </c>
      <c r="T703" s="1" t="str">
        <f t="shared" si="103"/>
        <v>-text 40,0 2.5 90 1155950.9</v>
      </c>
    </row>
    <row r="704" spans="1:20" x14ac:dyDescent="0.35">
      <c r="A704" s="1">
        <v>266560</v>
      </c>
      <c r="B704" s="7">
        <v>1155970.8999999999</v>
      </c>
      <c r="C704" s="2">
        <v>270.92700000000002</v>
      </c>
      <c r="D704" s="2">
        <v>271.40499999999997</v>
      </c>
      <c r="E704" s="2">
        <v>0.47799999999999998</v>
      </c>
      <c r="F704" s="2">
        <v>270.255</v>
      </c>
      <c r="G704" s="2">
        <v>270.69200000000001</v>
      </c>
      <c r="H704" s="2">
        <v>0.437</v>
      </c>
      <c r="I704" s="2">
        <v>266.178</v>
      </c>
      <c r="J704" s="2">
        <v>266.14999999999998</v>
      </c>
      <c r="K704" s="15">
        <v>4.5419999999999998</v>
      </c>
      <c r="L704" s="2">
        <v>14.271000000000001</v>
      </c>
      <c r="N704" s="7">
        <f t="shared" si="104"/>
        <v>60</v>
      </c>
      <c r="O704" s="1">
        <v>0</v>
      </c>
      <c r="P704" s="1" t="str">
        <f t="shared" si="102"/>
        <v>60,0</v>
      </c>
      <c r="Q704" s="6" t="s">
        <v>10</v>
      </c>
      <c r="R704" s="1">
        <v>90</v>
      </c>
      <c r="S704" s="1">
        <v>2.5</v>
      </c>
      <c r="T704" s="1" t="str">
        <f t="shared" si="103"/>
        <v>-text 60,0 2.5 90 1155970.9</v>
      </c>
    </row>
    <row r="705" spans="1:20" x14ac:dyDescent="0.35">
      <c r="A705" s="1">
        <v>266580</v>
      </c>
      <c r="B705" s="7">
        <v>1155990.8999999999</v>
      </c>
      <c r="C705" s="2">
        <v>270.94600000000003</v>
      </c>
      <c r="D705" s="2">
        <v>271.40499999999997</v>
      </c>
      <c r="E705" s="2">
        <v>0.45900000000000002</v>
      </c>
      <c r="F705" s="2">
        <v>270.274</v>
      </c>
      <c r="G705" s="2">
        <v>270.69200000000001</v>
      </c>
      <c r="H705" s="2">
        <v>0.41799999999999998</v>
      </c>
      <c r="I705" s="2">
        <v>266.41500000000002</v>
      </c>
      <c r="J705" s="2">
        <v>266.17200000000003</v>
      </c>
      <c r="K705" s="15">
        <v>4.5199999999999996</v>
      </c>
      <c r="L705" s="2">
        <v>14.271000000000001</v>
      </c>
      <c r="N705" s="7">
        <f t="shared" si="104"/>
        <v>80</v>
      </c>
      <c r="O705" s="1">
        <v>0</v>
      </c>
      <c r="P705" s="1" t="str">
        <f t="shared" si="102"/>
        <v>80,0</v>
      </c>
      <c r="Q705" s="6" t="s">
        <v>10</v>
      </c>
      <c r="R705" s="1">
        <v>90</v>
      </c>
      <c r="S705" s="1">
        <v>2.5</v>
      </c>
      <c r="T705" s="1" t="str">
        <f t="shared" si="103"/>
        <v>-text 80,0 2.5 90 1155990.9</v>
      </c>
    </row>
    <row r="706" spans="1:20" x14ac:dyDescent="0.35">
      <c r="A706" s="1">
        <v>266600</v>
      </c>
      <c r="B706" s="7">
        <v>1156010.8999999999</v>
      </c>
      <c r="C706" s="2">
        <v>270.96899999999999</v>
      </c>
      <c r="D706" s="2">
        <v>271.40499999999997</v>
      </c>
      <c r="E706" s="2">
        <v>0.436</v>
      </c>
      <c r="F706" s="2">
        <v>270.29700000000003</v>
      </c>
      <c r="G706" s="2">
        <v>270.69200000000001</v>
      </c>
      <c r="H706" s="2">
        <v>0.39500000000000002</v>
      </c>
      <c r="I706" s="2">
        <v>266.63900000000001</v>
      </c>
      <c r="J706" s="2">
        <v>266.19499999999999</v>
      </c>
      <c r="K706" s="15">
        <v>4.4969999999999999</v>
      </c>
      <c r="L706" s="2">
        <v>14.279</v>
      </c>
      <c r="N706" s="7">
        <f t="shared" si="104"/>
        <v>100</v>
      </c>
      <c r="O706" s="1">
        <v>0</v>
      </c>
      <c r="P706" s="1" t="str">
        <f t="shared" si="102"/>
        <v>100,0</v>
      </c>
      <c r="Q706" s="6" t="s">
        <v>10</v>
      </c>
      <c r="R706" s="1">
        <v>90</v>
      </c>
      <c r="S706" s="1">
        <v>2.5</v>
      </c>
      <c r="T706" s="1" t="str">
        <f t="shared" si="103"/>
        <v>-text 100,0 2.5 90 1156010.9</v>
      </c>
    </row>
    <row r="707" spans="1:20" x14ac:dyDescent="0.35">
      <c r="A707" s="1">
        <v>266620</v>
      </c>
      <c r="B707" s="7">
        <v>1156030.8999999999</v>
      </c>
      <c r="C707" s="2">
        <v>270.98399999999998</v>
      </c>
      <c r="D707" s="2">
        <v>271.40499999999997</v>
      </c>
      <c r="E707" s="2">
        <v>0.42099999999999999</v>
      </c>
      <c r="F707" s="2">
        <v>270.31200000000001</v>
      </c>
      <c r="G707" s="2">
        <v>270.69200000000001</v>
      </c>
      <c r="H707" s="2">
        <v>0.38</v>
      </c>
      <c r="I707" s="2">
        <v>267.024</v>
      </c>
      <c r="J707" s="2">
        <v>266.63200000000001</v>
      </c>
      <c r="K707" s="15">
        <v>4.0599999999999996</v>
      </c>
      <c r="L707" s="2">
        <v>14.292999999999999</v>
      </c>
      <c r="N707" s="7">
        <f t="shared" si="104"/>
        <v>120</v>
      </c>
      <c r="O707" s="1">
        <v>0</v>
      </c>
      <c r="P707" s="1" t="str">
        <f t="shared" si="102"/>
        <v>120,0</v>
      </c>
      <c r="Q707" s="6" t="s">
        <v>10</v>
      </c>
      <c r="R707" s="1">
        <v>90</v>
      </c>
      <c r="S707" s="1">
        <v>2.5</v>
      </c>
      <c r="T707" s="1" t="str">
        <f t="shared" si="103"/>
        <v>-text 120,0 2.5 90 1156030.9</v>
      </c>
    </row>
    <row r="708" spans="1:20" x14ac:dyDescent="0.35">
      <c r="A708" s="1">
        <v>266640</v>
      </c>
      <c r="B708" s="7">
        <v>1156050.8999999999</v>
      </c>
      <c r="C708" s="2">
        <v>270.98</v>
      </c>
      <c r="D708" s="2">
        <v>271.40499999999997</v>
      </c>
      <c r="E708" s="2">
        <v>0.42499999999999999</v>
      </c>
      <c r="F708" s="2">
        <v>270.30799999999999</v>
      </c>
      <c r="G708" s="2">
        <v>270.69200000000001</v>
      </c>
      <c r="H708" s="2">
        <v>0.38400000000000001</v>
      </c>
      <c r="I708" s="2">
        <v>267.52300000000002</v>
      </c>
      <c r="J708" s="2">
        <v>267.36700000000002</v>
      </c>
      <c r="K708" s="15">
        <v>3.3250000000000002</v>
      </c>
      <c r="L708" s="2">
        <v>14.317</v>
      </c>
      <c r="N708" s="7">
        <f t="shared" si="104"/>
        <v>140</v>
      </c>
      <c r="O708" s="1">
        <v>0</v>
      </c>
      <c r="P708" s="1" t="str">
        <f t="shared" si="102"/>
        <v>140,0</v>
      </c>
      <c r="Q708" s="6" t="s">
        <v>10</v>
      </c>
      <c r="R708" s="1">
        <v>90</v>
      </c>
      <c r="S708" s="1">
        <v>2.5</v>
      </c>
      <c r="T708" s="1" t="str">
        <f t="shared" si="103"/>
        <v>-text 140,0 2.5 90 1156050.9</v>
      </c>
    </row>
    <row r="709" spans="1:20" x14ac:dyDescent="0.35">
      <c r="A709" s="1">
        <v>266660</v>
      </c>
      <c r="B709" s="7">
        <v>1156070.8999999999</v>
      </c>
      <c r="C709" s="2">
        <v>270.971</v>
      </c>
      <c r="D709" s="2">
        <v>271.40499999999997</v>
      </c>
      <c r="E709" s="2">
        <v>0.434</v>
      </c>
      <c r="F709" s="2">
        <v>270.29899999999998</v>
      </c>
      <c r="G709" s="2">
        <v>270.69200000000001</v>
      </c>
      <c r="H709" s="2">
        <v>0.39300000000000002</v>
      </c>
      <c r="I709" s="2">
        <v>267.565</v>
      </c>
      <c r="J709" s="2">
        <v>266.98099999999999</v>
      </c>
      <c r="K709" s="15">
        <v>3.7109999999999999</v>
      </c>
      <c r="L709" s="2">
        <v>14.335000000000001</v>
      </c>
      <c r="N709" s="7">
        <f t="shared" si="104"/>
        <v>160</v>
      </c>
      <c r="O709" s="1">
        <v>0</v>
      </c>
      <c r="P709" s="1" t="str">
        <f t="shared" si="102"/>
        <v>160,0</v>
      </c>
      <c r="Q709" s="6" t="s">
        <v>10</v>
      </c>
      <c r="R709" s="1">
        <v>90</v>
      </c>
      <c r="S709" s="1">
        <v>2.5</v>
      </c>
      <c r="T709" s="1" t="str">
        <f t="shared" si="103"/>
        <v>-text 160,0 2.5 90 1156070.9</v>
      </c>
    </row>
    <row r="710" spans="1:20" x14ac:dyDescent="0.35">
      <c r="A710" s="1">
        <v>266680</v>
      </c>
      <c r="B710" s="7">
        <v>1156090.8999999999</v>
      </c>
      <c r="C710" s="2">
        <v>270.95699999999999</v>
      </c>
      <c r="D710" s="2">
        <v>271.40499999999997</v>
      </c>
      <c r="E710" s="2">
        <v>0.44800000000000001</v>
      </c>
      <c r="F710" s="2">
        <v>270.28500000000003</v>
      </c>
      <c r="G710" s="2">
        <v>270.69200000000001</v>
      </c>
      <c r="H710" s="2">
        <v>0.40699999999999997</v>
      </c>
      <c r="I710" s="2">
        <v>267.54599999999999</v>
      </c>
      <c r="J710" s="2">
        <v>267.08100000000002</v>
      </c>
      <c r="K710" s="15">
        <v>3.6110000000000002</v>
      </c>
      <c r="L710" s="2">
        <v>14.346</v>
      </c>
      <c r="N710" s="7">
        <f t="shared" si="104"/>
        <v>180</v>
      </c>
      <c r="O710" s="1">
        <v>0</v>
      </c>
      <c r="P710" s="1" t="str">
        <f t="shared" si="102"/>
        <v>180,0</v>
      </c>
      <c r="Q710" s="6" t="s">
        <v>10</v>
      </c>
      <c r="R710" s="1">
        <v>90</v>
      </c>
      <c r="S710" s="1">
        <v>2.5</v>
      </c>
      <c r="T710" s="1" t="str">
        <f t="shared" si="103"/>
        <v>-text 180,0 2.5 90 1156090.9</v>
      </c>
    </row>
    <row r="711" spans="1:20" x14ac:dyDescent="0.35">
      <c r="A711" s="1">
        <v>266700</v>
      </c>
      <c r="B711" s="7">
        <v>1156110.8999999999</v>
      </c>
      <c r="C711" s="2">
        <v>270.94099999999997</v>
      </c>
      <c r="D711" s="2">
        <v>271.40499999999997</v>
      </c>
      <c r="E711" s="2">
        <v>0.46400000000000002</v>
      </c>
      <c r="F711" s="2">
        <v>270.26900000000001</v>
      </c>
      <c r="G711" s="2">
        <v>270.69200000000001</v>
      </c>
      <c r="H711" s="2">
        <v>0.42299999999999999</v>
      </c>
      <c r="I711" s="2">
        <v>267.60700000000003</v>
      </c>
      <c r="J711" s="2">
        <v>267.64800000000002</v>
      </c>
      <c r="K711" s="15">
        <v>3.044</v>
      </c>
      <c r="L711" s="2">
        <v>14.349</v>
      </c>
      <c r="N711" s="7">
        <f t="shared" si="104"/>
        <v>200</v>
      </c>
      <c r="O711" s="1">
        <v>0</v>
      </c>
      <c r="P711" s="1" t="str">
        <f t="shared" si="102"/>
        <v>200,0</v>
      </c>
      <c r="Q711" s="6" t="s">
        <v>10</v>
      </c>
      <c r="R711" s="1">
        <v>90</v>
      </c>
      <c r="S711" s="1">
        <v>2.5</v>
      </c>
      <c r="T711" s="1" t="str">
        <f t="shared" si="103"/>
        <v>-text 200,0 2.5 90 1156110.9</v>
      </c>
    </row>
    <row r="712" spans="1:20" x14ac:dyDescent="0.35">
      <c r="A712" s="1">
        <v>266720</v>
      </c>
      <c r="B712" s="7">
        <v>1156130.8999999999</v>
      </c>
      <c r="C712" s="2">
        <v>270.92200000000003</v>
      </c>
      <c r="D712" s="2">
        <v>271.40499999999997</v>
      </c>
      <c r="E712" s="2">
        <v>0.48299999999999998</v>
      </c>
      <c r="F712" s="2">
        <v>270.25</v>
      </c>
      <c r="G712" s="2">
        <v>270.69200000000001</v>
      </c>
      <c r="H712" s="2">
        <v>0.442</v>
      </c>
      <c r="I712" s="2">
        <v>267.46100000000001</v>
      </c>
      <c r="J712" s="2">
        <v>268.23099999999999</v>
      </c>
      <c r="K712" s="15">
        <v>2.4609999999999999</v>
      </c>
      <c r="L712" s="2">
        <v>14.34</v>
      </c>
      <c r="N712" s="7">
        <f t="shared" si="104"/>
        <v>220</v>
      </c>
      <c r="O712" s="1">
        <v>0</v>
      </c>
      <c r="P712" s="1" t="str">
        <f t="shared" si="102"/>
        <v>220,0</v>
      </c>
      <c r="Q712" s="6" t="s">
        <v>10</v>
      </c>
      <c r="R712" s="1">
        <v>90</v>
      </c>
      <c r="S712" s="1">
        <v>2.5</v>
      </c>
      <c r="T712" s="1" t="str">
        <f t="shared" si="103"/>
        <v>-text 220,0 2.5 90 1156130.9</v>
      </c>
    </row>
    <row r="713" spans="1:20" x14ac:dyDescent="0.35">
      <c r="A713" s="1">
        <v>266740</v>
      </c>
      <c r="B713" s="7">
        <v>1156150.8999999999</v>
      </c>
      <c r="C713" s="2">
        <v>270.89299999999997</v>
      </c>
      <c r="D713" s="2">
        <v>271.40499999999997</v>
      </c>
      <c r="E713" s="2">
        <v>0.51200000000000001</v>
      </c>
      <c r="F713" s="2">
        <v>270.221</v>
      </c>
      <c r="G713" s="2">
        <v>270.69200000000001</v>
      </c>
      <c r="H713" s="2">
        <v>0.47099999999999997</v>
      </c>
      <c r="I713" s="2">
        <v>267.40100000000001</v>
      </c>
      <c r="J713" s="2">
        <v>267.995</v>
      </c>
      <c r="K713" s="15">
        <v>2.6970000000000001</v>
      </c>
      <c r="L713" s="2">
        <v>14.351000000000001</v>
      </c>
      <c r="N713" s="7">
        <f t="shared" si="104"/>
        <v>240</v>
      </c>
      <c r="O713" s="1">
        <v>0</v>
      </c>
      <c r="P713" s="1" t="str">
        <f t="shared" si="102"/>
        <v>240,0</v>
      </c>
      <c r="Q713" s="6" t="s">
        <v>10</v>
      </c>
      <c r="R713" s="1">
        <v>90</v>
      </c>
      <c r="S713" s="1">
        <v>2.5</v>
      </c>
      <c r="T713" s="1" t="str">
        <f t="shared" si="103"/>
        <v>-text 240,0 2.5 90 1156150.9</v>
      </c>
    </row>
    <row r="714" spans="1:20" x14ac:dyDescent="0.35">
      <c r="A714" s="1">
        <v>266760</v>
      </c>
      <c r="B714" s="7">
        <v>1156170.8999999999</v>
      </c>
      <c r="C714" s="2">
        <v>270.85899999999998</v>
      </c>
      <c r="D714" s="2">
        <v>271.404</v>
      </c>
      <c r="E714" s="2">
        <v>0.54500000000000004</v>
      </c>
      <c r="F714" s="2">
        <v>270.18700000000001</v>
      </c>
      <c r="G714" s="2">
        <v>270.69099999999997</v>
      </c>
      <c r="H714" s="2">
        <v>0.504</v>
      </c>
      <c r="I714" s="2">
        <v>267.51499999999999</v>
      </c>
      <c r="J714" s="2">
        <v>267.49799999999999</v>
      </c>
      <c r="K714" s="15">
        <v>3.194</v>
      </c>
      <c r="L714" s="2">
        <v>14.378</v>
      </c>
      <c r="N714" s="7">
        <f t="shared" si="104"/>
        <v>260</v>
      </c>
      <c r="O714" s="1">
        <v>0</v>
      </c>
      <c r="P714" s="1" t="str">
        <f t="shared" si="102"/>
        <v>260,0</v>
      </c>
      <c r="Q714" s="6" t="s">
        <v>10</v>
      </c>
      <c r="R714" s="1">
        <v>90</v>
      </c>
      <c r="S714" s="1">
        <v>2.5</v>
      </c>
      <c r="T714" s="1" t="str">
        <f t="shared" si="103"/>
        <v>-text 260,0 2.5 90 1156170.9</v>
      </c>
    </row>
    <row r="715" spans="1:20" x14ac:dyDescent="0.35">
      <c r="A715" s="1">
        <v>266780</v>
      </c>
      <c r="B715" s="7">
        <v>1156190.8999999999</v>
      </c>
      <c r="C715" s="2">
        <v>270.822</v>
      </c>
      <c r="D715" s="2">
        <v>271.38</v>
      </c>
      <c r="E715" s="2">
        <v>0.55700000000000005</v>
      </c>
      <c r="F715" s="2">
        <v>270.14999999999998</v>
      </c>
      <c r="G715" s="2">
        <v>270.66699999999997</v>
      </c>
      <c r="H715" s="2">
        <v>0.51600000000000001</v>
      </c>
      <c r="I715" s="2">
        <v>267.33199999999999</v>
      </c>
      <c r="J715" s="2">
        <v>267.32</v>
      </c>
      <c r="K715" s="15">
        <v>3.347</v>
      </c>
      <c r="L715" s="2">
        <v>14.404999999999999</v>
      </c>
      <c r="N715" s="7">
        <f t="shared" si="104"/>
        <v>280</v>
      </c>
      <c r="O715" s="1">
        <v>0</v>
      </c>
      <c r="P715" s="1" t="str">
        <f t="shared" si="102"/>
        <v>280,0</v>
      </c>
      <c r="Q715" s="6" t="s">
        <v>10</v>
      </c>
      <c r="R715" s="1">
        <v>90</v>
      </c>
      <c r="S715" s="1">
        <v>2.5</v>
      </c>
      <c r="T715" s="1" t="str">
        <f t="shared" si="103"/>
        <v>-text 280,0 2.5 90 1156190.9</v>
      </c>
    </row>
    <row r="716" spans="1:20" x14ac:dyDescent="0.35">
      <c r="A716" s="1">
        <v>266800</v>
      </c>
      <c r="B716" s="7">
        <v>1156210.8999999999</v>
      </c>
      <c r="C716" s="2">
        <v>270.81099999999998</v>
      </c>
      <c r="D716" s="2">
        <v>271.35500000000002</v>
      </c>
      <c r="E716" s="2">
        <v>0.54400000000000004</v>
      </c>
      <c r="F716" s="2">
        <v>270.13900000000001</v>
      </c>
      <c r="G716" s="2">
        <v>270.642</v>
      </c>
      <c r="H716" s="2">
        <v>0.503</v>
      </c>
      <c r="I716" s="2">
        <v>267.15800000000002</v>
      </c>
      <c r="J716" s="2">
        <v>267.161</v>
      </c>
      <c r="K716" s="15">
        <v>3.4809999999999999</v>
      </c>
      <c r="L716" s="2">
        <v>14.43</v>
      </c>
      <c r="N716" s="7">
        <f t="shared" si="104"/>
        <v>300</v>
      </c>
      <c r="O716" s="1">
        <v>0</v>
      </c>
      <c r="P716" s="1" t="str">
        <f t="shared" si="102"/>
        <v>300,0</v>
      </c>
      <c r="Q716" s="6" t="s">
        <v>10</v>
      </c>
      <c r="R716" s="1">
        <v>90</v>
      </c>
      <c r="S716" s="1">
        <v>2.5</v>
      </c>
      <c r="T716" s="1" t="str">
        <f t="shared" si="103"/>
        <v>-text 300,0 2.5 90 1156210.9</v>
      </c>
    </row>
    <row r="717" spans="1:20" x14ac:dyDescent="0.35">
      <c r="A717" s="1">
        <v>266820</v>
      </c>
      <c r="B717" s="7">
        <v>1156230.8999999999</v>
      </c>
      <c r="C717" s="2">
        <v>270.79899999999998</v>
      </c>
      <c r="D717" s="2">
        <v>271.33100000000002</v>
      </c>
      <c r="E717" s="2">
        <v>0.53100000000000003</v>
      </c>
      <c r="F717" s="2">
        <v>270.12700000000001</v>
      </c>
      <c r="G717" s="2">
        <v>270.61799999999999</v>
      </c>
      <c r="H717" s="2">
        <v>0.49</v>
      </c>
      <c r="I717" s="2">
        <v>267.23200000000003</v>
      </c>
      <c r="J717" s="2">
        <v>267.01400000000001</v>
      </c>
      <c r="K717" s="15">
        <v>3.6040000000000001</v>
      </c>
      <c r="L717" s="2">
        <v>14.455</v>
      </c>
      <c r="N717" s="7">
        <f t="shared" si="104"/>
        <v>320</v>
      </c>
      <c r="O717" s="1">
        <v>0</v>
      </c>
      <c r="P717" s="1" t="str">
        <f t="shared" si="102"/>
        <v>320,0</v>
      </c>
      <c r="Q717" s="6" t="s">
        <v>10</v>
      </c>
      <c r="R717" s="1">
        <v>90</v>
      </c>
      <c r="S717" s="1">
        <v>2.5</v>
      </c>
      <c r="T717" s="1" t="str">
        <f t="shared" si="103"/>
        <v>-text 320,0 2.5 90 1156230.9</v>
      </c>
    </row>
    <row r="718" spans="1:20" x14ac:dyDescent="0.35">
      <c r="A718" s="1">
        <v>266840</v>
      </c>
      <c r="B718" s="7">
        <v>1156250.8999999999</v>
      </c>
      <c r="C718" s="2">
        <v>270.79300000000001</v>
      </c>
      <c r="D718" s="2">
        <v>271.30599999999998</v>
      </c>
      <c r="E718" s="2">
        <v>0.51300000000000001</v>
      </c>
      <c r="F718" s="2">
        <v>270.12099999999998</v>
      </c>
      <c r="G718" s="2">
        <v>270.59300000000002</v>
      </c>
      <c r="H718" s="2">
        <v>0.47199999999999998</v>
      </c>
      <c r="I718" s="2">
        <v>267.411</v>
      </c>
      <c r="J718" s="2">
        <v>267.00799999999998</v>
      </c>
      <c r="K718" s="15">
        <v>3.5859999999999999</v>
      </c>
      <c r="L718" s="2">
        <v>14.462999999999999</v>
      </c>
      <c r="N718" s="7">
        <f t="shared" si="104"/>
        <v>340</v>
      </c>
      <c r="O718" s="1">
        <v>0</v>
      </c>
      <c r="P718" s="1" t="str">
        <f t="shared" si="102"/>
        <v>340,0</v>
      </c>
      <c r="Q718" s="6" t="s">
        <v>10</v>
      </c>
      <c r="R718" s="1">
        <v>90</v>
      </c>
      <c r="S718" s="1">
        <v>2.5</v>
      </c>
      <c r="T718" s="1" t="str">
        <f t="shared" si="103"/>
        <v>-text 340,0 2.5 90 1156250.9</v>
      </c>
    </row>
    <row r="719" spans="1:20" x14ac:dyDescent="0.35">
      <c r="A719" s="1">
        <v>266860</v>
      </c>
      <c r="B719" s="7">
        <v>1156270.8999999999</v>
      </c>
      <c r="C719" s="2">
        <v>270.78699999999998</v>
      </c>
      <c r="D719" s="2">
        <v>271.28199999999998</v>
      </c>
      <c r="E719" s="2">
        <v>0.49399999999999999</v>
      </c>
      <c r="F719" s="2">
        <v>270.11500000000001</v>
      </c>
      <c r="G719" s="2">
        <v>270.56900000000002</v>
      </c>
      <c r="H719" s="2">
        <v>0.45300000000000001</v>
      </c>
      <c r="I719" s="2">
        <v>267.28300000000002</v>
      </c>
      <c r="J719" s="2">
        <v>267.12200000000001</v>
      </c>
      <c r="K719" s="15">
        <v>3.4470000000000001</v>
      </c>
      <c r="L719" s="2">
        <v>14.468999999999999</v>
      </c>
      <c r="N719" s="7">
        <f t="shared" si="104"/>
        <v>360</v>
      </c>
      <c r="O719" s="1">
        <v>0</v>
      </c>
      <c r="P719" s="1" t="str">
        <f t="shared" si="102"/>
        <v>360,0</v>
      </c>
      <c r="Q719" s="6" t="s">
        <v>10</v>
      </c>
      <c r="R719" s="1">
        <v>90</v>
      </c>
      <c r="S719" s="1">
        <v>2.5</v>
      </c>
      <c r="T719" s="1" t="str">
        <f t="shared" si="103"/>
        <v>-text 360,0 2.5 90 1156270.9</v>
      </c>
    </row>
    <row r="720" spans="1:20" x14ac:dyDescent="0.35">
      <c r="A720" s="1">
        <v>266880</v>
      </c>
      <c r="B720" s="7">
        <v>1156290.8999999999</v>
      </c>
      <c r="C720" s="2">
        <v>270.77100000000002</v>
      </c>
      <c r="D720" s="2">
        <v>271.25700000000001</v>
      </c>
      <c r="E720" s="2">
        <v>0.48599999999999999</v>
      </c>
      <c r="F720" s="2">
        <v>270.09899999999999</v>
      </c>
      <c r="G720" s="2">
        <v>270.54399999999998</v>
      </c>
      <c r="H720" s="2">
        <v>0.44500000000000001</v>
      </c>
      <c r="I720" s="2">
        <v>267.23399999999998</v>
      </c>
      <c r="J720" s="2">
        <v>267.11700000000002</v>
      </c>
      <c r="K720" s="15">
        <v>3.427</v>
      </c>
      <c r="L720" s="2">
        <v>14.484</v>
      </c>
      <c r="N720" s="7">
        <f t="shared" si="104"/>
        <v>380</v>
      </c>
      <c r="O720" s="1">
        <v>0</v>
      </c>
      <c r="P720" s="1" t="str">
        <f t="shared" si="102"/>
        <v>380,0</v>
      </c>
      <c r="Q720" s="6" t="s">
        <v>10</v>
      </c>
      <c r="R720" s="1">
        <v>90</v>
      </c>
      <c r="S720" s="1">
        <v>2.5</v>
      </c>
      <c r="T720" s="1" t="str">
        <f t="shared" si="103"/>
        <v>-text 380,0 2.5 90 1156290.9</v>
      </c>
    </row>
    <row r="721" spans="1:20" x14ac:dyDescent="0.35">
      <c r="A721" s="1">
        <v>266900</v>
      </c>
      <c r="B721" s="7">
        <v>1156310.8999999999</v>
      </c>
      <c r="C721" s="2">
        <v>270.75</v>
      </c>
      <c r="D721" s="2">
        <v>271.233</v>
      </c>
      <c r="E721" s="2">
        <v>0.48199999999999998</v>
      </c>
      <c r="F721" s="2">
        <v>270.07799999999997</v>
      </c>
      <c r="G721" s="2">
        <v>270.52</v>
      </c>
      <c r="H721" s="2">
        <v>0.441</v>
      </c>
      <c r="I721" s="2">
        <v>267.24200000000002</v>
      </c>
      <c r="J721" s="2">
        <v>266.983</v>
      </c>
      <c r="K721" s="15">
        <v>3.536</v>
      </c>
      <c r="L721" s="2">
        <v>14.505000000000001</v>
      </c>
      <c r="N721" s="7">
        <f t="shared" si="104"/>
        <v>400</v>
      </c>
      <c r="O721" s="1">
        <v>0</v>
      </c>
      <c r="P721" s="1" t="str">
        <f t="shared" si="102"/>
        <v>400,0</v>
      </c>
      <c r="Q721" s="6" t="s">
        <v>10</v>
      </c>
      <c r="R721" s="1">
        <v>90</v>
      </c>
      <c r="S721" s="1">
        <v>2.5</v>
      </c>
      <c r="T721" s="1" t="str">
        <f t="shared" si="103"/>
        <v>-text 400,0 2.5 90 1156310.9</v>
      </c>
    </row>
    <row r="722" spans="1:20" x14ac:dyDescent="0.35">
      <c r="A722" s="1">
        <v>266920</v>
      </c>
      <c r="B722" s="7">
        <v>1156330.8999999999</v>
      </c>
      <c r="C722" s="2">
        <v>270.69799999999998</v>
      </c>
      <c r="D722" s="2">
        <v>271.20800000000003</v>
      </c>
      <c r="E722" s="2">
        <v>0.51</v>
      </c>
      <c r="F722" s="2">
        <v>270.02600000000001</v>
      </c>
      <c r="G722" s="2">
        <v>270.495</v>
      </c>
      <c r="H722" s="2">
        <v>0.46899999999999997</v>
      </c>
      <c r="I722" s="2">
        <v>267.12099999999998</v>
      </c>
      <c r="J722" s="2">
        <v>266.85000000000002</v>
      </c>
      <c r="K722" s="15">
        <v>3.645</v>
      </c>
      <c r="L722" s="2">
        <v>14.509</v>
      </c>
      <c r="N722" s="7">
        <f t="shared" si="104"/>
        <v>420</v>
      </c>
      <c r="O722" s="1">
        <v>0</v>
      </c>
      <c r="P722" s="1" t="str">
        <f t="shared" si="102"/>
        <v>420,0</v>
      </c>
      <c r="Q722" s="6" t="s">
        <v>10</v>
      </c>
      <c r="R722" s="1">
        <v>90</v>
      </c>
      <c r="S722" s="1">
        <v>2.5</v>
      </c>
      <c r="T722" s="1" t="str">
        <f t="shared" si="103"/>
        <v>-text 420,0 2.5 90 1156330.9</v>
      </c>
    </row>
    <row r="723" spans="1:20" x14ac:dyDescent="0.35">
      <c r="A723" s="1">
        <v>266940</v>
      </c>
      <c r="B723" s="7">
        <v>1156350.8999999999</v>
      </c>
      <c r="C723" s="2">
        <v>270.649</v>
      </c>
      <c r="D723" s="2">
        <v>271.18299999999999</v>
      </c>
      <c r="E723" s="2">
        <v>0.53400000000000003</v>
      </c>
      <c r="F723" s="2">
        <v>269.97699999999998</v>
      </c>
      <c r="G723" s="2">
        <v>270.47000000000003</v>
      </c>
      <c r="H723" s="2">
        <v>0.49299999999999999</v>
      </c>
      <c r="I723" s="2">
        <v>267.00700000000001</v>
      </c>
      <c r="J723" s="2">
        <v>266.81599999999997</v>
      </c>
      <c r="K723" s="15">
        <v>3.6549999999999998</v>
      </c>
      <c r="L723" s="2">
        <v>14.516</v>
      </c>
      <c r="N723" s="7">
        <f t="shared" si="104"/>
        <v>440</v>
      </c>
      <c r="O723" s="1">
        <v>0</v>
      </c>
      <c r="P723" s="1" t="str">
        <f t="shared" si="102"/>
        <v>440,0</v>
      </c>
      <c r="Q723" s="6" t="s">
        <v>10</v>
      </c>
      <c r="R723" s="1">
        <v>90</v>
      </c>
      <c r="S723" s="1">
        <v>2.5</v>
      </c>
      <c r="T723" s="1" t="str">
        <f t="shared" si="103"/>
        <v>-text 440,0 2.5 90 1156350.9</v>
      </c>
    </row>
    <row r="724" spans="1:20" x14ac:dyDescent="0.35">
      <c r="A724" s="1">
        <v>266960</v>
      </c>
      <c r="B724" s="7">
        <v>1156370.8999999999</v>
      </c>
      <c r="C724" s="2">
        <v>270.61</v>
      </c>
      <c r="D724" s="2">
        <v>271.15899999999999</v>
      </c>
      <c r="E724" s="2">
        <v>0.54900000000000004</v>
      </c>
      <c r="F724" s="2">
        <v>269.93799999999999</v>
      </c>
      <c r="G724" s="2">
        <v>270.44600000000003</v>
      </c>
      <c r="H724" s="2">
        <v>0.50800000000000001</v>
      </c>
      <c r="I724" s="2">
        <v>266.98399999999998</v>
      </c>
      <c r="J724" s="2">
        <v>266.83499999999998</v>
      </c>
      <c r="K724" s="15">
        <v>3.6110000000000002</v>
      </c>
      <c r="L724" s="2">
        <v>14.531000000000001</v>
      </c>
      <c r="N724" s="7">
        <f t="shared" si="104"/>
        <v>460</v>
      </c>
      <c r="O724" s="1">
        <v>0</v>
      </c>
      <c r="P724" s="1" t="str">
        <f t="shared" si="102"/>
        <v>460,0</v>
      </c>
      <c r="Q724" s="6" t="s">
        <v>10</v>
      </c>
      <c r="R724" s="1">
        <v>90</v>
      </c>
      <c r="S724" s="1">
        <v>2.5</v>
      </c>
      <c r="T724" s="1" t="str">
        <f t="shared" si="103"/>
        <v>-text 460,0 2.5 90 1156370.9</v>
      </c>
    </row>
    <row r="725" spans="1:20" x14ac:dyDescent="0.35">
      <c r="A725" s="1">
        <v>266980</v>
      </c>
      <c r="B725" s="7">
        <v>1156390.8999999999</v>
      </c>
      <c r="C725" s="2">
        <v>270.57100000000003</v>
      </c>
      <c r="D725" s="2">
        <v>271.13400000000001</v>
      </c>
      <c r="E725" s="2">
        <v>0.56399999999999995</v>
      </c>
      <c r="F725" s="2">
        <v>269.899</v>
      </c>
      <c r="G725" s="2">
        <v>270.42099999999999</v>
      </c>
      <c r="H725" s="2">
        <v>0.52300000000000002</v>
      </c>
      <c r="I725" s="2">
        <v>267.02100000000002</v>
      </c>
      <c r="J725" s="2">
        <v>266.90600000000001</v>
      </c>
      <c r="K725" s="15">
        <v>3.5150000000000001</v>
      </c>
      <c r="L725" s="2">
        <v>14.545999999999999</v>
      </c>
      <c r="N725" s="7">
        <f t="shared" si="104"/>
        <v>480</v>
      </c>
      <c r="O725" s="1">
        <v>0</v>
      </c>
      <c r="P725" s="1" t="str">
        <f t="shared" si="102"/>
        <v>480,0</v>
      </c>
      <c r="Q725" s="6" t="s">
        <v>10</v>
      </c>
      <c r="R725" s="1">
        <v>90</v>
      </c>
      <c r="S725" s="1">
        <v>2.5</v>
      </c>
      <c r="T725" s="1" t="str">
        <f t="shared" si="103"/>
        <v>-text 480,0 2.5 90 1156390.9</v>
      </c>
    </row>
    <row r="726" spans="1:20" x14ac:dyDescent="0.35">
      <c r="A726" s="1">
        <v>267000</v>
      </c>
      <c r="B726" s="7">
        <v>1156410.8999999999</v>
      </c>
      <c r="C726" s="2">
        <v>270.55099999999999</v>
      </c>
      <c r="D726" s="2">
        <v>271.11</v>
      </c>
      <c r="E726" s="2">
        <v>0.55900000000000005</v>
      </c>
      <c r="F726" s="2">
        <v>269.87900000000002</v>
      </c>
      <c r="G726" s="2">
        <v>270.39699999999999</v>
      </c>
      <c r="H726" s="2">
        <v>0.51800000000000002</v>
      </c>
      <c r="I726" s="2">
        <v>267.12400000000002</v>
      </c>
      <c r="J726" s="2">
        <v>267.02699999999999</v>
      </c>
      <c r="K726" s="15">
        <v>3.37</v>
      </c>
      <c r="L726" s="2">
        <v>14.555</v>
      </c>
      <c r="N726" s="7">
        <f>N723+(B726-B723)</f>
        <v>500</v>
      </c>
      <c r="O726" s="1">
        <v>0</v>
      </c>
      <c r="P726" s="1" t="str">
        <f t="shared" ref="P726" si="105">CONCATENATE(N726,",",O726)</f>
        <v>500,0</v>
      </c>
      <c r="Q726" s="6" t="s">
        <v>10</v>
      </c>
      <c r="R726" s="1">
        <v>90</v>
      </c>
      <c r="S726" s="1">
        <v>2.5</v>
      </c>
      <c r="T726" s="1" t="str">
        <f t="shared" si="103"/>
        <v>-text 500,0 2.5 90 1156410.9</v>
      </c>
    </row>
    <row r="727" spans="1:20" s="10" customFormat="1" x14ac:dyDescent="0.35">
      <c r="B727" s="11"/>
      <c r="C727" s="9"/>
      <c r="D727" s="9"/>
      <c r="E727" s="9"/>
      <c r="F727" s="9"/>
      <c r="G727" s="9"/>
      <c r="H727" s="9"/>
      <c r="I727" s="9"/>
      <c r="J727" s="9"/>
      <c r="K727" s="16"/>
      <c r="L727" s="9"/>
      <c r="M727" s="9"/>
      <c r="N727" s="11"/>
      <c r="Q727" s="12"/>
    </row>
    <row r="728" spans="1:20" x14ac:dyDescent="0.35">
      <c r="A728" s="1">
        <v>267000</v>
      </c>
      <c r="B728" s="7">
        <v>1156410.8999999999</v>
      </c>
      <c r="C728" s="2">
        <v>270.55099999999999</v>
      </c>
      <c r="D728" s="2">
        <v>271.11</v>
      </c>
      <c r="E728" s="2">
        <v>0.55900000000000005</v>
      </c>
      <c r="F728" s="2">
        <v>269.87900000000002</v>
      </c>
      <c r="G728" s="2">
        <v>270.39699999999999</v>
      </c>
      <c r="H728" s="2">
        <v>0.51800000000000002</v>
      </c>
      <c r="I728" s="2">
        <v>267.12400000000002</v>
      </c>
      <c r="J728" s="2">
        <v>267.02699999999999</v>
      </c>
      <c r="K728" s="15">
        <v>3.37</v>
      </c>
      <c r="L728" s="2">
        <v>14.555</v>
      </c>
      <c r="N728" s="7">
        <v>0</v>
      </c>
      <c r="O728" s="1">
        <v>0</v>
      </c>
      <c r="P728" s="1" t="str">
        <f t="shared" si="102"/>
        <v>0,0</v>
      </c>
      <c r="Q728" s="6" t="s">
        <v>10</v>
      </c>
      <c r="R728" s="1">
        <v>90</v>
      </c>
      <c r="S728" s="1">
        <v>2.5</v>
      </c>
      <c r="T728" s="1" t="str">
        <f t="shared" ref="T728:T753" si="106">$Q728&amp;" "&amp;$P728&amp;" "&amp;$S728&amp;" "&amp;$R728&amp;" "&amp;$B728</f>
        <v>-text 0,0 2.5 90 1156410.9</v>
      </c>
    </row>
    <row r="729" spans="1:20" x14ac:dyDescent="0.35">
      <c r="A729" s="1">
        <v>267020</v>
      </c>
      <c r="B729" s="7">
        <v>1156430.8999999999</v>
      </c>
      <c r="C729" s="2">
        <v>270.536</v>
      </c>
      <c r="D729" s="2">
        <v>271.08499999999998</v>
      </c>
      <c r="E729" s="2">
        <v>0.54900000000000004</v>
      </c>
      <c r="F729" s="2">
        <v>269.86399999999998</v>
      </c>
      <c r="G729" s="2">
        <v>270.37200000000001</v>
      </c>
      <c r="H729" s="2">
        <v>0.50800000000000001</v>
      </c>
      <c r="I729" s="2">
        <v>267.15499999999997</v>
      </c>
      <c r="J729" s="2">
        <v>267.12</v>
      </c>
      <c r="K729" s="15">
        <v>3.2519999999999998</v>
      </c>
      <c r="L729" s="2">
        <v>14.563000000000001</v>
      </c>
      <c r="N729" s="7">
        <f t="shared" ref="N729:N752" si="107">N728+(B729-B728)</f>
        <v>20</v>
      </c>
      <c r="O729" s="1">
        <v>0</v>
      </c>
      <c r="P729" s="1" t="str">
        <f t="shared" si="102"/>
        <v>20,0</v>
      </c>
      <c r="Q729" s="6" t="s">
        <v>10</v>
      </c>
      <c r="R729" s="1">
        <v>90</v>
      </c>
      <c r="S729" s="1">
        <v>2.5</v>
      </c>
      <c r="T729" s="1" t="str">
        <f t="shared" si="106"/>
        <v>-text 20,0 2.5 90 1156430.9</v>
      </c>
    </row>
    <row r="730" spans="1:20" x14ac:dyDescent="0.35">
      <c r="A730" s="1">
        <v>267040</v>
      </c>
      <c r="B730" s="7">
        <v>1156450.8999999999</v>
      </c>
      <c r="C730" s="2">
        <v>270.51499999999999</v>
      </c>
      <c r="D730" s="2">
        <v>271.06099999999998</v>
      </c>
      <c r="E730" s="2">
        <v>0.54600000000000004</v>
      </c>
      <c r="F730" s="2">
        <v>269.84300000000002</v>
      </c>
      <c r="G730" s="2">
        <v>270.34800000000001</v>
      </c>
      <c r="H730" s="2">
        <v>0.505</v>
      </c>
      <c r="I730" s="2">
        <v>267.02300000000002</v>
      </c>
      <c r="J730" s="2">
        <v>267.13900000000001</v>
      </c>
      <c r="K730" s="15">
        <v>3.2080000000000002</v>
      </c>
      <c r="L730" s="2">
        <v>14.565</v>
      </c>
      <c r="N730" s="7">
        <f t="shared" si="107"/>
        <v>40</v>
      </c>
      <c r="O730" s="1">
        <v>0</v>
      </c>
      <c r="P730" s="1" t="str">
        <f t="shared" si="102"/>
        <v>40,0</v>
      </c>
      <c r="Q730" s="6" t="s">
        <v>10</v>
      </c>
      <c r="R730" s="1">
        <v>90</v>
      </c>
      <c r="S730" s="1">
        <v>2.5</v>
      </c>
      <c r="T730" s="1" t="str">
        <f t="shared" si="106"/>
        <v>-text 40,0 2.5 90 1156450.9</v>
      </c>
    </row>
    <row r="731" spans="1:20" x14ac:dyDescent="0.35">
      <c r="A731" s="1">
        <v>267060</v>
      </c>
      <c r="B731" s="7">
        <v>1156470.8999999999</v>
      </c>
      <c r="C731" s="2">
        <v>270.48200000000003</v>
      </c>
      <c r="D731" s="2">
        <v>271.036</v>
      </c>
      <c r="E731" s="2">
        <v>0.55400000000000005</v>
      </c>
      <c r="F731" s="2">
        <v>269.81</v>
      </c>
      <c r="G731" s="2">
        <v>270.32299999999998</v>
      </c>
      <c r="H731" s="2">
        <v>0.51300000000000001</v>
      </c>
      <c r="I731" s="2">
        <v>266.90600000000001</v>
      </c>
      <c r="J731" s="2">
        <v>266.97300000000001</v>
      </c>
      <c r="K731" s="15">
        <v>3.35</v>
      </c>
      <c r="L731" s="2">
        <v>14.561</v>
      </c>
      <c r="N731" s="7">
        <f t="shared" si="107"/>
        <v>60</v>
      </c>
      <c r="O731" s="1">
        <v>0</v>
      </c>
      <c r="P731" s="1" t="str">
        <f t="shared" si="102"/>
        <v>60,0</v>
      </c>
      <c r="Q731" s="6" t="s">
        <v>10</v>
      </c>
      <c r="R731" s="1">
        <v>90</v>
      </c>
      <c r="S731" s="1">
        <v>2.5</v>
      </c>
      <c r="T731" s="1" t="str">
        <f t="shared" si="106"/>
        <v>-text 60,0 2.5 90 1156470.9</v>
      </c>
    </row>
    <row r="732" spans="1:20" x14ac:dyDescent="0.35">
      <c r="A732" s="1">
        <v>267080</v>
      </c>
      <c r="B732" s="7">
        <v>1156490.8999999999</v>
      </c>
      <c r="C732" s="2">
        <v>270.44499999999999</v>
      </c>
      <c r="D732" s="2">
        <v>271.012</v>
      </c>
      <c r="E732" s="2">
        <v>0.56699999999999995</v>
      </c>
      <c r="F732" s="2">
        <v>269.77300000000002</v>
      </c>
      <c r="G732" s="2">
        <v>270.29899999999998</v>
      </c>
      <c r="H732" s="2">
        <v>0.52600000000000002</v>
      </c>
      <c r="I732" s="2">
        <v>266.87299999999999</v>
      </c>
      <c r="J732" s="2">
        <v>266.928</v>
      </c>
      <c r="K732" s="15">
        <v>3.371</v>
      </c>
      <c r="L732" s="2">
        <v>14.558</v>
      </c>
      <c r="N732" s="7">
        <f t="shared" si="107"/>
        <v>80</v>
      </c>
      <c r="O732" s="1">
        <v>0</v>
      </c>
      <c r="P732" s="1" t="str">
        <f t="shared" si="102"/>
        <v>80,0</v>
      </c>
      <c r="Q732" s="6" t="s">
        <v>10</v>
      </c>
      <c r="R732" s="1">
        <v>90</v>
      </c>
      <c r="S732" s="1">
        <v>2.5</v>
      </c>
      <c r="T732" s="1" t="str">
        <f t="shared" si="106"/>
        <v>-text 80,0 2.5 90 1156490.9</v>
      </c>
    </row>
    <row r="733" spans="1:20" x14ac:dyDescent="0.35">
      <c r="A733" s="1">
        <v>267100</v>
      </c>
      <c r="B733" s="7">
        <v>1156510.8999999999</v>
      </c>
      <c r="C733" s="2">
        <v>270.40100000000001</v>
      </c>
      <c r="D733" s="2">
        <v>270.98700000000002</v>
      </c>
      <c r="E733" s="2">
        <v>0.58599999999999997</v>
      </c>
      <c r="F733" s="2">
        <v>269.72899999999998</v>
      </c>
      <c r="G733" s="2">
        <v>270.274</v>
      </c>
      <c r="H733" s="2">
        <v>0.54500000000000004</v>
      </c>
      <c r="I733" s="2">
        <v>266.89999999999998</v>
      </c>
      <c r="J733" s="2">
        <v>266.84199999999998</v>
      </c>
      <c r="K733" s="15">
        <v>3.4329999999999998</v>
      </c>
      <c r="L733" s="2">
        <v>14.558</v>
      </c>
      <c r="N733" s="7">
        <f t="shared" si="107"/>
        <v>100</v>
      </c>
      <c r="O733" s="1">
        <v>0</v>
      </c>
      <c r="P733" s="1" t="str">
        <f t="shared" si="102"/>
        <v>100,0</v>
      </c>
      <c r="Q733" s="6" t="s">
        <v>10</v>
      </c>
      <c r="R733" s="1">
        <v>90</v>
      </c>
      <c r="S733" s="1">
        <v>2.5</v>
      </c>
      <c r="T733" s="1" t="str">
        <f t="shared" si="106"/>
        <v>-text 100,0 2.5 90 1156510.9</v>
      </c>
    </row>
    <row r="734" spans="1:20" x14ac:dyDescent="0.35">
      <c r="A734" s="1">
        <v>267120</v>
      </c>
      <c r="B734" s="7">
        <v>1156530.8999999999</v>
      </c>
      <c r="C734" s="2">
        <v>270.36399999999998</v>
      </c>
      <c r="D734" s="2">
        <v>270.96300000000002</v>
      </c>
      <c r="E734" s="2">
        <v>0.59899999999999998</v>
      </c>
      <c r="F734" s="2">
        <v>269.69200000000001</v>
      </c>
      <c r="G734" s="2">
        <v>270.25</v>
      </c>
      <c r="H734" s="2">
        <v>0.55800000000000005</v>
      </c>
      <c r="I734" s="2">
        <v>266.98099999999999</v>
      </c>
      <c r="J734" s="2">
        <v>266.887</v>
      </c>
      <c r="K734" s="15">
        <v>3.363</v>
      </c>
      <c r="L734" s="2">
        <v>14.553000000000001</v>
      </c>
      <c r="N734" s="7">
        <f t="shared" si="107"/>
        <v>120</v>
      </c>
      <c r="O734" s="1">
        <v>0</v>
      </c>
      <c r="P734" s="1" t="str">
        <f t="shared" si="102"/>
        <v>120,0</v>
      </c>
      <c r="Q734" s="6" t="s">
        <v>10</v>
      </c>
      <c r="R734" s="1">
        <v>90</v>
      </c>
      <c r="S734" s="1">
        <v>2.5</v>
      </c>
      <c r="T734" s="1" t="str">
        <f t="shared" si="106"/>
        <v>-text 120,0 2.5 90 1156530.9</v>
      </c>
    </row>
    <row r="735" spans="1:20" x14ac:dyDescent="0.35">
      <c r="A735" s="1">
        <v>267140</v>
      </c>
      <c r="B735" s="7">
        <v>1156550.8999999999</v>
      </c>
      <c r="C735" s="2">
        <v>270.33800000000002</v>
      </c>
      <c r="D735" s="2">
        <v>270.93799999999999</v>
      </c>
      <c r="E735" s="2">
        <v>0.6</v>
      </c>
      <c r="F735" s="2">
        <v>269.666</v>
      </c>
      <c r="G735" s="2">
        <v>270.22500000000002</v>
      </c>
      <c r="H735" s="2">
        <v>0.55900000000000005</v>
      </c>
      <c r="I735" s="2">
        <v>267.05</v>
      </c>
      <c r="J735" s="2">
        <v>266.90699999999998</v>
      </c>
      <c r="K735" s="15">
        <v>3.3180000000000001</v>
      </c>
      <c r="L735" s="2">
        <v>14.542</v>
      </c>
      <c r="N735" s="7">
        <f t="shared" si="107"/>
        <v>140</v>
      </c>
      <c r="O735" s="1">
        <v>0</v>
      </c>
      <c r="P735" s="1" t="str">
        <f t="shared" si="102"/>
        <v>140,0</v>
      </c>
      <c r="Q735" s="6" t="s">
        <v>10</v>
      </c>
      <c r="R735" s="1">
        <v>90</v>
      </c>
      <c r="S735" s="1">
        <v>2.5</v>
      </c>
      <c r="T735" s="1" t="str">
        <f t="shared" si="106"/>
        <v>-text 140,0 2.5 90 1156550.9</v>
      </c>
    </row>
    <row r="736" spans="1:20" x14ac:dyDescent="0.35">
      <c r="A736" s="1">
        <v>267160</v>
      </c>
      <c r="B736" s="7">
        <v>1156570.8999999999</v>
      </c>
      <c r="C736" s="2">
        <v>270.30599999999998</v>
      </c>
      <c r="D736" s="2">
        <v>270.91399999999999</v>
      </c>
      <c r="E736" s="2">
        <v>0.60699999999999998</v>
      </c>
      <c r="F736" s="2">
        <v>269.63400000000001</v>
      </c>
      <c r="G736" s="2">
        <v>270.20100000000002</v>
      </c>
      <c r="H736" s="2">
        <v>0.56599999999999995</v>
      </c>
      <c r="I736" s="2">
        <v>267.065</v>
      </c>
      <c r="J736" s="2">
        <v>266.88799999999998</v>
      </c>
      <c r="K736" s="15">
        <v>3.3130000000000002</v>
      </c>
      <c r="L736" s="2">
        <v>14.532999999999999</v>
      </c>
      <c r="N736" s="7">
        <f t="shared" si="107"/>
        <v>160</v>
      </c>
      <c r="O736" s="1">
        <v>0</v>
      </c>
      <c r="P736" s="1" t="str">
        <f t="shared" si="102"/>
        <v>160,0</v>
      </c>
      <c r="Q736" s="6" t="s">
        <v>10</v>
      </c>
      <c r="R736" s="1">
        <v>90</v>
      </c>
      <c r="S736" s="1">
        <v>2.5</v>
      </c>
      <c r="T736" s="1" t="str">
        <f t="shared" si="106"/>
        <v>-text 160,0 2.5 90 1156570.9</v>
      </c>
    </row>
    <row r="737" spans="1:20" x14ac:dyDescent="0.35">
      <c r="A737" s="1">
        <v>267180</v>
      </c>
      <c r="B737" s="7">
        <v>1156590.8999999999</v>
      </c>
      <c r="C737" s="2">
        <v>270.26499999999999</v>
      </c>
      <c r="D737" s="2">
        <v>270.88900000000001</v>
      </c>
      <c r="E737" s="2">
        <v>0.624</v>
      </c>
      <c r="F737" s="2">
        <v>269.59300000000002</v>
      </c>
      <c r="G737" s="2">
        <v>270.17599999999999</v>
      </c>
      <c r="H737" s="2">
        <v>0.58299999999999996</v>
      </c>
      <c r="I737" s="2">
        <v>267.07400000000001</v>
      </c>
      <c r="J737" s="2">
        <v>266.88400000000001</v>
      </c>
      <c r="K737" s="15">
        <v>3.2919999999999998</v>
      </c>
      <c r="L737" s="2">
        <v>14.526999999999999</v>
      </c>
      <c r="N737" s="7">
        <f t="shared" si="107"/>
        <v>180</v>
      </c>
      <c r="O737" s="1">
        <v>0</v>
      </c>
      <c r="P737" s="1" t="str">
        <f t="shared" si="102"/>
        <v>180,0</v>
      </c>
      <c r="Q737" s="6" t="s">
        <v>10</v>
      </c>
      <c r="R737" s="1">
        <v>90</v>
      </c>
      <c r="S737" s="1">
        <v>2.5</v>
      </c>
      <c r="T737" s="1" t="str">
        <f t="shared" si="106"/>
        <v>-text 180,0 2.5 90 1156590.9</v>
      </c>
    </row>
    <row r="738" spans="1:20" x14ac:dyDescent="0.35">
      <c r="A738" s="1">
        <v>267200</v>
      </c>
      <c r="B738" s="7">
        <v>1156610.8999999999</v>
      </c>
      <c r="C738" s="2">
        <v>270.23200000000003</v>
      </c>
      <c r="D738" s="2">
        <v>270.86500000000001</v>
      </c>
      <c r="E738" s="2">
        <v>0.63300000000000001</v>
      </c>
      <c r="F738" s="2">
        <v>269.56</v>
      </c>
      <c r="G738" s="2">
        <v>270.15199999999999</v>
      </c>
      <c r="H738" s="2">
        <v>0.59199999999999997</v>
      </c>
      <c r="I738" s="2">
        <v>267.02600000000001</v>
      </c>
      <c r="J738" s="2">
        <v>266.88900000000001</v>
      </c>
      <c r="K738" s="15">
        <v>3.2629999999999999</v>
      </c>
      <c r="L738" s="2">
        <v>14.523999999999999</v>
      </c>
      <c r="N738" s="7">
        <f t="shared" si="107"/>
        <v>200</v>
      </c>
      <c r="O738" s="1">
        <v>0</v>
      </c>
      <c r="P738" s="1" t="str">
        <f t="shared" si="102"/>
        <v>200,0</v>
      </c>
      <c r="Q738" s="6" t="s">
        <v>10</v>
      </c>
      <c r="R738" s="1">
        <v>90</v>
      </c>
      <c r="S738" s="1">
        <v>2.5</v>
      </c>
      <c r="T738" s="1" t="str">
        <f t="shared" si="106"/>
        <v>-text 200,0 2.5 90 1156610.9</v>
      </c>
    </row>
    <row r="739" spans="1:20" x14ac:dyDescent="0.35">
      <c r="A739" s="1">
        <v>267220</v>
      </c>
      <c r="B739" s="7">
        <v>1156630.8999999999</v>
      </c>
      <c r="C739" s="2">
        <v>270.21800000000002</v>
      </c>
      <c r="D739" s="2">
        <v>270.83999999999997</v>
      </c>
      <c r="E739" s="2">
        <v>0.622</v>
      </c>
      <c r="F739" s="2">
        <v>269.54599999999999</v>
      </c>
      <c r="G739" s="2">
        <v>270.12700000000001</v>
      </c>
      <c r="H739" s="2">
        <v>0.58099999999999996</v>
      </c>
      <c r="I739" s="2">
        <v>266.97800000000001</v>
      </c>
      <c r="J739" s="2">
        <v>266.86500000000001</v>
      </c>
      <c r="K739" s="15">
        <v>3.2629999999999999</v>
      </c>
      <c r="L739" s="2">
        <v>14.526</v>
      </c>
      <c r="N739" s="7">
        <f t="shared" si="107"/>
        <v>220</v>
      </c>
      <c r="O739" s="1">
        <v>0</v>
      </c>
      <c r="P739" s="1" t="str">
        <f t="shared" si="102"/>
        <v>220,0</v>
      </c>
      <c r="Q739" s="6" t="s">
        <v>10</v>
      </c>
      <c r="R739" s="1">
        <v>90</v>
      </c>
      <c r="S739" s="1">
        <v>2.5</v>
      </c>
      <c r="T739" s="1" t="str">
        <f t="shared" si="106"/>
        <v>-text 220,0 2.5 90 1156630.9</v>
      </c>
    </row>
    <row r="740" spans="1:20" x14ac:dyDescent="0.35">
      <c r="A740" s="1">
        <v>267240</v>
      </c>
      <c r="B740" s="7">
        <v>1156650.8999999999</v>
      </c>
      <c r="C740" s="2">
        <v>270.20699999999999</v>
      </c>
      <c r="D740" s="2">
        <v>270.81599999999997</v>
      </c>
      <c r="E740" s="2">
        <v>0.60899999999999999</v>
      </c>
      <c r="F740" s="2">
        <v>269.53500000000003</v>
      </c>
      <c r="G740" s="2">
        <v>270.10300000000001</v>
      </c>
      <c r="H740" s="2">
        <v>0.56799999999999995</v>
      </c>
      <c r="I740" s="2">
        <v>266.98200000000003</v>
      </c>
      <c r="J740" s="2">
        <v>266.90100000000001</v>
      </c>
      <c r="K740" s="15">
        <v>3.202</v>
      </c>
      <c r="L740" s="2">
        <v>14.53</v>
      </c>
      <c r="N740" s="7">
        <f t="shared" si="107"/>
        <v>240</v>
      </c>
      <c r="O740" s="1">
        <v>0</v>
      </c>
      <c r="P740" s="1" t="str">
        <f t="shared" si="102"/>
        <v>240,0</v>
      </c>
      <c r="Q740" s="6" t="s">
        <v>10</v>
      </c>
      <c r="R740" s="1">
        <v>90</v>
      </c>
      <c r="S740" s="1">
        <v>2.5</v>
      </c>
      <c r="T740" s="1" t="str">
        <f t="shared" si="106"/>
        <v>-text 240,0 2.5 90 1156650.9</v>
      </c>
    </row>
    <row r="741" spans="1:20" x14ac:dyDescent="0.35">
      <c r="A741" s="1">
        <v>267260</v>
      </c>
      <c r="B741" s="7">
        <v>1156670.8999999999</v>
      </c>
      <c r="C741" s="2">
        <v>270.20100000000002</v>
      </c>
      <c r="D741" s="2">
        <v>270.791</v>
      </c>
      <c r="E741" s="2">
        <v>0.59</v>
      </c>
      <c r="F741" s="2">
        <v>269.529</v>
      </c>
      <c r="G741" s="2">
        <v>270.07799999999997</v>
      </c>
      <c r="H741" s="2">
        <v>0.54900000000000004</v>
      </c>
      <c r="I741" s="2">
        <v>266.97399999999999</v>
      </c>
      <c r="J741" s="2">
        <v>266.904</v>
      </c>
      <c r="K741" s="15">
        <v>3.1739999999999999</v>
      </c>
      <c r="L741" s="2">
        <v>14.535</v>
      </c>
      <c r="N741" s="7">
        <f t="shared" si="107"/>
        <v>260</v>
      </c>
      <c r="O741" s="1">
        <v>0</v>
      </c>
      <c r="P741" s="1" t="str">
        <f t="shared" si="102"/>
        <v>260,0</v>
      </c>
      <c r="Q741" s="6" t="s">
        <v>10</v>
      </c>
      <c r="R741" s="1">
        <v>90</v>
      </c>
      <c r="S741" s="1">
        <v>2.5</v>
      </c>
      <c r="T741" s="1" t="str">
        <f t="shared" si="106"/>
        <v>-text 260,0 2.5 90 1156670.9</v>
      </c>
    </row>
    <row r="742" spans="1:20" x14ac:dyDescent="0.35">
      <c r="A742" s="1">
        <v>267280</v>
      </c>
      <c r="B742" s="7">
        <v>1156690.8999999999</v>
      </c>
      <c r="C742" s="2">
        <v>270.19</v>
      </c>
      <c r="D742" s="2">
        <v>270.767</v>
      </c>
      <c r="E742" s="2">
        <v>0.57699999999999996</v>
      </c>
      <c r="F742" s="2">
        <v>269.51799999999997</v>
      </c>
      <c r="G742" s="2">
        <v>270.05399999999997</v>
      </c>
      <c r="H742" s="2">
        <v>0.53600000000000003</v>
      </c>
      <c r="I742" s="2">
        <v>266.89600000000002</v>
      </c>
      <c r="J742" s="2">
        <v>267.339</v>
      </c>
      <c r="K742" s="15">
        <v>2.714</v>
      </c>
      <c r="L742" s="2">
        <v>14.534000000000001</v>
      </c>
      <c r="N742" s="7">
        <f t="shared" si="107"/>
        <v>280</v>
      </c>
      <c r="O742" s="1">
        <v>0</v>
      </c>
      <c r="P742" s="1" t="str">
        <f t="shared" si="102"/>
        <v>280,0</v>
      </c>
      <c r="Q742" s="6" t="s">
        <v>10</v>
      </c>
      <c r="R742" s="1">
        <v>90</v>
      </c>
      <c r="S742" s="1">
        <v>2.5</v>
      </c>
      <c r="T742" s="1" t="str">
        <f t="shared" si="106"/>
        <v>-text 280,0 2.5 90 1156690.9</v>
      </c>
    </row>
    <row r="743" spans="1:20" x14ac:dyDescent="0.35">
      <c r="A743" s="1">
        <v>267300</v>
      </c>
      <c r="B743" s="7">
        <v>1156710.8999999999</v>
      </c>
      <c r="C743" s="2">
        <v>270.16500000000002</v>
      </c>
      <c r="D743" s="2">
        <v>270.74200000000002</v>
      </c>
      <c r="E743" s="2">
        <v>0.57699999999999996</v>
      </c>
      <c r="F743" s="2">
        <v>269.49299999999999</v>
      </c>
      <c r="G743" s="2">
        <v>270.029</v>
      </c>
      <c r="H743" s="2">
        <v>0.53600000000000003</v>
      </c>
      <c r="I743" s="2">
        <v>266.67500000000001</v>
      </c>
      <c r="J743" s="2">
        <v>266.91300000000001</v>
      </c>
      <c r="K743" s="15">
        <v>3.1160000000000001</v>
      </c>
      <c r="L743" s="2">
        <v>14.522</v>
      </c>
      <c r="N743" s="7">
        <f t="shared" si="107"/>
        <v>300</v>
      </c>
      <c r="O743" s="1">
        <v>0</v>
      </c>
      <c r="P743" s="1" t="str">
        <f t="shared" ref="P743:P811" si="108">CONCATENATE(N743,",",O743)</f>
        <v>300,0</v>
      </c>
      <c r="Q743" s="6" t="s">
        <v>10</v>
      </c>
      <c r="R743" s="1">
        <v>90</v>
      </c>
      <c r="S743" s="1">
        <v>2.5</v>
      </c>
      <c r="T743" s="1" t="str">
        <f t="shared" si="106"/>
        <v>-text 300,0 2.5 90 1156710.9</v>
      </c>
    </row>
    <row r="744" spans="1:20" x14ac:dyDescent="0.35">
      <c r="A744" s="1">
        <v>267320</v>
      </c>
      <c r="B744" s="7">
        <v>1156730.8999999999</v>
      </c>
      <c r="C744" s="2">
        <v>270.14100000000002</v>
      </c>
      <c r="D744" s="2">
        <v>270.71800000000002</v>
      </c>
      <c r="E744" s="2">
        <v>0.57599999999999996</v>
      </c>
      <c r="F744" s="2">
        <v>269.46899999999999</v>
      </c>
      <c r="G744" s="2">
        <v>270.005</v>
      </c>
      <c r="H744" s="2">
        <v>0.53500000000000003</v>
      </c>
      <c r="I744" s="2">
        <v>266.38299999999998</v>
      </c>
      <c r="J744" s="2">
        <v>266.87</v>
      </c>
      <c r="K744" s="15">
        <v>3.1349999999999998</v>
      </c>
      <c r="L744" s="2">
        <v>14.510999999999999</v>
      </c>
      <c r="N744" s="7">
        <f t="shared" si="107"/>
        <v>320</v>
      </c>
      <c r="O744" s="1">
        <v>0</v>
      </c>
      <c r="P744" s="1" t="str">
        <f t="shared" si="108"/>
        <v>320,0</v>
      </c>
      <c r="Q744" s="6" t="s">
        <v>10</v>
      </c>
      <c r="R744" s="1">
        <v>90</v>
      </c>
      <c r="S744" s="1">
        <v>2.5</v>
      </c>
      <c r="T744" s="1" t="str">
        <f t="shared" si="106"/>
        <v>-text 320,0 2.5 90 1156730.9</v>
      </c>
    </row>
    <row r="745" spans="1:20" x14ac:dyDescent="0.35">
      <c r="A745" s="1">
        <v>267340</v>
      </c>
      <c r="B745" s="7">
        <v>1156750.8999999999</v>
      </c>
      <c r="C745" s="2">
        <v>270.108</v>
      </c>
      <c r="D745" s="2">
        <v>270.69299999999998</v>
      </c>
      <c r="E745" s="2">
        <v>0.58499999999999996</v>
      </c>
      <c r="F745" s="2">
        <v>269.43599999999998</v>
      </c>
      <c r="G745" s="2">
        <v>269.98</v>
      </c>
      <c r="H745" s="2">
        <v>0.54400000000000004</v>
      </c>
      <c r="I745" s="2">
        <v>266.31099999999998</v>
      </c>
      <c r="J745" s="2">
        <v>266.84199999999998</v>
      </c>
      <c r="K745" s="15">
        <v>3.1379999999999999</v>
      </c>
      <c r="L745" s="2">
        <v>14.521000000000001</v>
      </c>
      <c r="N745" s="7">
        <f t="shared" si="107"/>
        <v>340</v>
      </c>
      <c r="O745" s="1">
        <v>0</v>
      </c>
      <c r="P745" s="1" t="str">
        <f t="shared" si="108"/>
        <v>340,0</v>
      </c>
      <c r="Q745" s="6" t="s">
        <v>10</v>
      </c>
      <c r="R745" s="1">
        <v>90</v>
      </c>
      <c r="S745" s="1">
        <v>2.5</v>
      </c>
      <c r="T745" s="1" t="str">
        <f t="shared" si="106"/>
        <v>-text 340,0 2.5 90 1156750.9</v>
      </c>
    </row>
    <row r="746" spans="1:20" x14ac:dyDescent="0.35">
      <c r="A746" s="1">
        <v>267360</v>
      </c>
      <c r="B746" s="7">
        <v>1156770.8999999999</v>
      </c>
      <c r="C746" s="2">
        <v>270.06700000000001</v>
      </c>
      <c r="D746" s="2">
        <v>270.66800000000001</v>
      </c>
      <c r="E746" s="2">
        <v>0.60099999999999998</v>
      </c>
      <c r="F746" s="2">
        <v>269.39499999999998</v>
      </c>
      <c r="G746" s="2">
        <v>269.95499999999998</v>
      </c>
      <c r="H746" s="2">
        <v>0.56000000000000005</v>
      </c>
      <c r="I746" s="2">
        <v>266.47000000000003</v>
      </c>
      <c r="J746" s="2">
        <v>266.91300000000001</v>
      </c>
      <c r="K746" s="15">
        <v>3.0419999999999998</v>
      </c>
      <c r="L746" s="2">
        <v>14.553000000000001</v>
      </c>
      <c r="N746" s="7">
        <f t="shared" si="107"/>
        <v>360</v>
      </c>
      <c r="O746" s="1">
        <v>0</v>
      </c>
      <c r="P746" s="1" t="str">
        <f t="shared" si="108"/>
        <v>360,0</v>
      </c>
      <c r="Q746" s="6" t="s">
        <v>10</v>
      </c>
      <c r="R746" s="1">
        <v>90</v>
      </c>
      <c r="S746" s="1">
        <v>2.5</v>
      </c>
      <c r="T746" s="1" t="str">
        <f t="shared" si="106"/>
        <v>-text 360,0 2.5 90 1156770.9</v>
      </c>
    </row>
    <row r="747" spans="1:20" x14ac:dyDescent="0.35">
      <c r="A747" s="1">
        <v>267380</v>
      </c>
      <c r="B747" s="7">
        <v>1156790.8999999999</v>
      </c>
      <c r="C747" s="2">
        <v>270.041</v>
      </c>
      <c r="D747" s="2">
        <v>270.64400000000001</v>
      </c>
      <c r="E747" s="2">
        <v>0.60299999999999998</v>
      </c>
      <c r="F747" s="2">
        <v>269.36900000000003</v>
      </c>
      <c r="G747" s="2">
        <v>269.93099999999998</v>
      </c>
      <c r="H747" s="2">
        <v>0.56200000000000006</v>
      </c>
      <c r="I747" s="2">
        <v>266.62099999999998</v>
      </c>
      <c r="J747" s="2">
        <v>267.065</v>
      </c>
      <c r="K747" s="15">
        <v>2.8660000000000001</v>
      </c>
      <c r="L747" s="2">
        <v>14.547000000000001</v>
      </c>
      <c r="N747" s="7">
        <f t="shared" si="107"/>
        <v>380</v>
      </c>
      <c r="O747" s="1">
        <v>0</v>
      </c>
      <c r="P747" s="1" t="str">
        <f t="shared" si="108"/>
        <v>380,0</v>
      </c>
      <c r="Q747" s="6" t="s">
        <v>10</v>
      </c>
      <c r="R747" s="1">
        <v>90</v>
      </c>
      <c r="S747" s="1">
        <v>2.5</v>
      </c>
      <c r="T747" s="1" t="str">
        <f t="shared" si="106"/>
        <v>-text 380,0 2.5 90 1156790.9</v>
      </c>
    </row>
    <row r="748" spans="1:20" x14ac:dyDescent="0.35">
      <c r="A748" s="1">
        <v>267400</v>
      </c>
      <c r="B748" s="7">
        <v>1156810.8999999999</v>
      </c>
      <c r="C748" s="2">
        <v>270.024</v>
      </c>
      <c r="D748" s="2">
        <v>270.61900000000003</v>
      </c>
      <c r="E748" s="2">
        <v>0.59599999999999997</v>
      </c>
      <c r="F748" s="2">
        <v>269.35199999999998</v>
      </c>
      <c r="G748" s="2">
        <v>269.90600000000001</v>
      </c>
      <c r="H748" s="2">
        <v>0.55500000000000005</v>
      </c>
      <c r="I748" s="2">
        <v>266.78699999999998</v>
      </c>
      <c r="J748" s="2">
        <v>267.29700000000003</v>
      </c>
      <c r="K748" s="15">
        <v>2.61</v>
      </c>
      <c r="L748" s="2">
        <v>14.526</v>
      </c>
      <c r="N748" s="7">
        <f t="shared" si="107"/>
        <v>400</v>
      </c>
      <c r="O748" s="1">
        <v>0</v>
      </c>
      <c r="P748" s="1" t="str">
        <f t="shared" si="108"/>
        <v>400,0</v>
      </c>
      <c r="Q748" s="6" t="s">
        <v>10</v>
      </c>
      <c r="R748" s="1">
        <v>90</v>
      </c>
      <c r="S748" s="1">
        <v>2.5</v>
      </c>
      <c r="T748" s="1" t="str">
        <f t="shared" si="106"/>
        <v>-text 400,0 2.5 90 1156810.9</v>
      </c>
    </row>
    <row r="749" spans="1:20" x14ac:dyDescent="0.35">
      <c r="A749" s="1">
        <v>267420</v>
      </c>
      <c r="B749" s="7">
        <v>1156830.8999999999</v>
      </c>
      <c r="C749" s="2">
        <v>270.00299999999999</v>
      </c>
      <c r="D749" s="2">
        <v>270.59500000000003</v>
      </c>
      <c r="E749" s="2">
        <v>0.59199999999999997</v>
      </c>
      <c r="F749" s="2">
        <v>269.33100000000002</v>
      </c>
      <c r="G749" s="2">
        <v>269.88200000000001</v>
      </c>
      <c r="H749" s="2">
        <v>0.55100000000000005</v>
      </c>
      <c r="I749" s="2">
        <v>266.86</v>
      </c>
      <c r="J749" s="2">
        <v>267.30399999999997</v>
      </c>
      <c r="K749" s="15">
        <v>2.5779999999999998</v>
      </c>
      <c r="L749" s="2">
        <v>14.518000000000001</v>
      </c>
      <c r="N749" s="7">
        <f t="shared" si="107"/>
        <v>420</v>
      </c>
      <c r="O749" s="1">
        <v>0</v>
      </c>
      <c r="P749" s="1" t="str">
        <f t="shared" si="108"/>
        <v>420,0</v>
      </c>
      <c r="Q749" s="6" t="s">
        <v>10</v>
      </c>
      <c r="R749" s="1">
        <v>90</v>
      </c>
      <c r="S749" s="1">
        <v>2.5</v>
      </c>
      <c r="T749" s="1" t="str">
        <f t="shared" si="106"/>
        <v>-text 420,0 2.5 90 1156830.9</v>
      </c>
    </row>
    <row r="750" spans="1:20" x14ac:dyDescent="0.35">
      <c r="A750" s="1">
        <v>267440</v>
      </c>
      <c r="B750" s="7">
        <v>1156850.8999999999</v>
      </c>
      <c r="C750" s="2">
        <v>269.98399999999998</v>
      </c>
      <c r="D750" s="2">
        <v>270.57</v>
      </c>
      <c r="E750" s="2">
        <v>0.58599999999999997</v>
      </c>
      <c r="F750" s="2">
        <v>269.31200000000001</v>
      </c>
      <c r="G750" s="2">
        <v>269.85700000000003</v>
      </c>
      <c r="H750" s="2">
        <v>0.54500000000000004</v>
      </c>
      <c r="I750" s="2">
        <v>266.84300000000002</v>
      </c>
      <c r="J750" s="2">
        <v>267.10700000000003</v>
      </c>
      <c r="K750" s="15">
        <v>2.75</v>
      </c>
      <c r="L750" s="2">
        <v>14.509</v>
      </c>
      <c r="N750" s="7">
        <f t="shared" si="107"/>
        <v>440</v>
      </c>
      <c r="O750" s="1">
        <v>0</v>
      </c>
      <c r="P750" s="1" t="str">
        <f t="shared" si="108"/>
        <v>440,0</v>
      </c>
      <c r="Q750" s="6" t="s">
        <v>10</v>
      </c>
      <c r="R750" s="1">
        <v>90</v>
      </c>
      <c r="S750" s="1">
        <v>2.5</v>
      </c>
      <c r="T750" s="1" t="str">
        <f t="shared" si="106"/>
        <v>-text 440,0 2.5 90 1156850.9</v>
      </c>
    </row>
    <row r="751" spans="1:20" x14ac:dyDescent="0.35">
      <c r="A751" s="1">
        <v>267460</v>
      </c>
      <c r="B751" s="7">
        <v>1156870.8999999999</v>
      </c>
      <c r="C751" s="2">
        <v>269.97000000000003</v>
      </c>
      <c r="D751" s="2">
        <v>270.54599999999999</v>
      </c>
      <c r="E751" s="2">
        <v>0.57599999999999996</v>
      </c>
      <c r="F751" s="2">
        <v>269.298</v>
      </c>
      <c r="G751" s="2">
        <v>269.83300000000003</v>
      </c>
      <c r="H751" s="2">
        <v>0.53500000000000003</v>
      </c>
      <c r="I751" s="2">
        <v>266.88</v>
      </c>
      <c r="J751" s="2">
        <v>266.84699999999998</v>
      </c>
      <c r="K751" s="15">
        <v>2.9860000000000002</v>
      </c>
      <c r="L751" s="2">
        <v>14.497999999999999</v>
      </c>
      <c r="N751" s="7">
        <f t="shared" si="107"/>
        <v>460</v>
      </c>
      <c r="O751" s="1">
        <v>0</v>
      </c>
      <c r="P751" s="1" t="str">
        <f t="shared" si="108"/>
        <v>460,0</v>
      </c>
      <c r="Q751" s="6" t="s">
        <v>10</v>
      </c>
      <c r="R751" s="1">
        <v>90</v>
      </c>
      <c r="S751" s="1">
        <v>2.5</v>
      </c>
      <c r="T751" s="1" t="str">
        <f t="shared" si="106"/>
        <v>-text 460,0 2.5 90 1156870.9</v>
      </c>
    </row>
    <row r="752" spans="1:20" x14ac:dyDescent="0.35">
      <c r="A752" s="1">
        <v>267480</v>
      </c>
      <c r="B752" s="7">
        <v>1156890.8999999999</v>
      </c>
      <c r="C752" s="2">
        <v>269.95299999999997</v>
      </c>
      <c r="D752" s="2">
        <v>270.52100000000002</v>
      </c>
      <c r="E752" s="2">
        <v>0.56899999999999995</v>
      </c>
      <c r="F752" s="2">
        <v>269.28100000000001</v>
      </c>
      <c r="G752" s="2">
        <v>269.80799999999999</v>
      </c>
      <c r="H752" s="2">
        <v>0.52800000000000002</v>
      </c>
      <c r="I752" s="2">
        <v>266.91000000000003</v>
      </c>
      <c r="J752" s="2">
        <v>266.84300000000002</v>
      </c>
      <c r="K752" s="15">
        <v>2.9660000000000002</v>
      </c>
      <c r="L752" s="2">
        <v>14.477</v>
      </c>
      <c r="N752" s="7">
        <f t="shared" si="107"/>
        <v>480</v>
      </c>
      <c r="O752" s="1">
        <v>0</v>
      </c>
      <c r="P752" s="1" t="str">
        <f t="shared" si="108"/>
        <v>480,0</v>
      </c>
      <c r="Q752" s="6" t="s">
        <v>10</v>
      </c>
      <c r="R752" s="1">
        <v>90</v>
      </c>
      <c r="S752" s="1">
        <v>2.5</v>
      </c>
      <c r="T752" s="1" t="str">
        <f t="shared" si="106"/>
        <v>-text 480,0 2.5 90 1156890.9</v>
      </c>
    </row>
    <row r="753" spans="1:20" x14ac:dyDescent="0.35">
      <c r="A753" s="1">
        <v>267500</v>
      </c>
      <c r="B753" s="7">
        <v>1156910.8999999999</v>
      </c>
      <c r="C753" s="2">
        <v>269.93400000000003</v>
      </c>
      <c r="D753" s="2">
        <v>270.49700000000001</v>
      </c>
      <c r="E753" s="2">
        <v>0.56299999999999994</v>
      </c>
      <c r="F753" s="2">
        <v>269.262</v>
      </c>
      <c r="G753" s="2">
        <v>269.78399999999999</v>
      </c>
      <c r="H753" s="2">
        <v>0.52200000000000002</v>
      </c>
      <c r="I753" s="2">
        <v>266.94600000000003</v>
      </c>
      <c r="J753" s="2">
        <v>266.92099999999999</v>
      </c>
      <c r="K753" s="15">
        <v>2.863</v>
      </c>
      <c r="L753" s="2">
        <v>14.446999999999999</v>
      </c>
      <c r="N753" s="7">
        <f>N750+(B753-B750)</f>
        <v>500</v>
      </c>
      <c r="O753" s="1">
        <v>0</v>
      </c>
      <c r="P753" s="1" t="str">
        <f t="shared" ref="P753" si="109">CONCATENATE(N753,",",O753)</f>
        <v>500,0</v>
      </c>
      <c r="Q753" s="6" t="s">
        <v>10</v>
      </c>
      <c r="R753" s="1">
        <v>90</v>
      </c>
      <c r="S753" s="1">
        <v>2.5</v>
      </c>
      <c r="T753" s="1" t="str">
        <f t="shared" si="106"/>
        <v>-text 500,0 2.5 90 1156910.9</v>
      </c>
    </row>
    <row r="754" spans="1:20" s="10" customFormat="1" x14ac:dyDescent="0.35">
      <c r="B754" s="11"/>
      <c r="C754" s="9"/>
      <c r="D754" s="9"/>
      <c r="E754" s="9"/>
      <c r="F754" s="9"/>
      <c r="G754" s="9"/>
      <c r="H754" s="9"/>
      <c r="I754" s="9"/>
      <c r="J754" s="9"/>
      <c r="K754" s="16"/>
      <c r="L754" s="9"/>
      <c r="M754" s="9"/>
      <c r="N754" s="11"/>
      <c r="Q754" s="12"/>
    </row>
    <row r="755" spans="1:20" x14ac:dyDescent="0.35">
      <c r="A755" s="1">
        <v>267500</v>
      </c>
      <c r="B755" s="7">
        <v>1156910.8999999999</v>
      </c>
      <c r="C755" s="2">
        <v>269.93400000000003</v>
      </c>
      <c r="D755" s="2">
        <v>270.49700000000001</v>
      </c>
      <c r="E755" s="2">
        <v>0.56299999999999994</v>
      </c>
      <c r="F755" s="2">
        <v>269.262</v>
      </c>
      <c r="G755" s="2">
        <v>269.78399999999999</v>
      </c>
      <c r="H755" s="2">
        <v>0.52200000000000002</v>
      </c>
      <c r="I755" s="2">
        <v>266.94600000000003</v>
      </c>
      <c r="J755" s="2">
        <v>266.92099999999999</v>
      </c>
      <c r="K755" s="15">
        <v>2.863</v>
      </c>
      <c r="L755" s="2">
        <v>14.446999999999999</v>
      </c>
      <c r="N755" s="7">
        <v>0</v>
      </c>
      <c r="O755" s="1">
        <v>0</v>
      </c>
      <c r="P755" s="1" t="str">
        <f t="shared" si="108"/>
        <v>0,0</v>
      </c>
      <c r="Q755" s="6" t="s">
        <v>10</v>
      </c>
      <c r="R755" s="1">
        <v>90</v>
      </c>
      <c r="S755" s="1">
        <v>2.5</v>
      </c>
      <c r="T755" s="1" t="str">
        <f t="shared" ref="T755:T781" si="110">$Q755&amp;" "&amp;$P755&amp;" "&amp;$S755&amp;" "&amp;$R755&amp;" "&amp;$B755</f>
        <v>-text 0,0 2.5 90 1156910.9</v>
      </c>
    </row>
    <row r="756" spans="1:20" x14ac:dyDescent="0.35">
      <c r="A756" s="1">
        <v>267520</v>
      </c>
      <c r="B756" s="7">
        <v>1156930.8999999999</v>
      </c>
      <c r="C756" s="2">
        <v>269.91699999999997</v>
      </c>
      <c r="D756" s="2">
        <v>270.47199999999998</v>
      </c>
      <c r="E756" s="2">
        <v>0.55500000000000005</v>
      </c>
      <c r="F756" s="2">
        <v>269.245</v>
      </c>
      <c r="G756" s="2">
        <v>269.75900000000001</v>
      </c>
      <c r="H756" s="2">
        <v>0.51400000000000001</v>
      </c>
      <c r="I756" s="2">
        <v>266.98899999999998</v>
      </c>
      <c r="J756" s="2">
        <v>267.00900000000001</v>
      </c>
      <c r="K756" s="15">
        <v>2.75</v>
      </c>
      <c r="L756" s="2">
        <v>14.454000000000001</v>
      </c>
      <c r="N756" s="7">
        <f t="shared" ref="N756:N781" si="111">N755+(B756-B755)</f>
        <v>20</v>
      </c>
      <c r="O756" s="1">
        <v>0</v>
      </c>
      <c r="P756" s="1" t="str">
        <f t="shared" si="108"/>
        <v>20,0</v>
      </c>
      <c r="Q756" s="6" t="s">
        <v>10</v>
      </c>
      <c r="R756" s="1">
        <v>90</v>
      </c>
      <c r="S756" s="1">
        <v>2.5</v>
      </c>
      <c r="T756" s="1" t="str">
        <f t="shared" si="110"/>
        <v>-text 20,0 2.5 90 1156930.9</v>
      </c>
    </row>
    <row r="757" spans="1:20" x14ac:dyDescent="0.35">
      <c r="A757" s="1">
        <v>267540</v>
      </c>
      <c r="B757" s="7">
        <v>1156950.8999999999</v>
      </c>
      <c r="C757" s="2">
        <v>269.90199999999999</v>
      </c>
      <c r="D757" s="2">
        <v>270.44799999999998</v>
      </c>
      <c r="E757" s="2">
        <v>0.54600000000000004</v>
      </c>
      <c r="F757" s="2">
        <v>269.23</v>
      </c>
      <c r="G757" s="2">
        <v>269.73500000000001</v>
      </c>
      <c r="H757" s="2">
        <v>0.505</v>
      </c>
      <c r="I757" s="2">
        <v>266.90800000000002</v>
      </c>
      <c r="J757" s="2">
        <v>266.91300000000001</v>
      </c>
      <c r="K757" s="15">
        <v>2.8220000000000001</v>
      </c>
      <c r="L757" s="2">
        <v>14.464</v>
      </c>
      <c r="N757" s="7">
        <f t="shared" si="111"/>
        <v>40</v>
      </c>
      <c r="O757" s="1">
        <v>0</v>
      </c>
      <c r="P757" s="1" t="str">
        <f t="shared" si="108"/>
        <v>40,0</v>
      </c>
      <c r="Q757" s="6" t="s">
        <v>10</v>
      </c>
      <c r="R757" s="1">
        <v>90</v>
      </c>
      <c r="S757" s="1">
        <v>2.5</v>
      </c>
      <c r="T757" s="1" t="str">
        <f t="shared" si="110"/>
        <v>-text 40,0 2.5 90 1156950.9</v>
      </c>
    </row>
    <row r="758" spans="1:20" x14ac:dyDescent="0.35">
      <c r="A758" s="1">
        <v>267560</v>
      </c>
      <c r="B758" s="7">
        <v>1156970.8999999999</v>
      </c>
      <c r="C758" s="2">
        <v>269.88799999999998</v>
      </c>
      <c r="D758" s="2">
        <v>270.423</v>
      </c>
      <c r="E758" s="2">
        <v>0.53500000000000003</v>
      </c>
      <c r="F758" s="2">
        <v>269.21600000000001</v>
      </c>
      <c r="G758" s="2">
        <v>269.70999999999998</v>
      </c>
      <c r="H758" s="2">
        <v>0.49399999999999999</v>
      </c>
      <c r="I758" s="2">
        <v>266.97300000000001</v>
      </c>
      <c r="J758" s="2">
        <v>267.20299999999997</v>
      </c>
      <c r="K758" s="15">
        <v>2.5070000000000001</v>
      </c>
      <c r="L758" s="2">
        <v>14.462</v>
      </c>
      <c r="N758" s="7">
        <f t="shared" si="111"/>
        <v>60</v>
      </c>
      <c r="O758" s="1">
        <v>0</v>
      </c>
      <c r="P758" s="1" t="str">
        <f t="shared" si="108"/>
        <v>60,0</v>
      </c>
      <c r="Q758" s="6" t="s">
        <v>10</v>
      </c>
      <c r="R758" s="1">
        <v>90</v>
      </c>
      <c r="S758" s="1">
        <v>2.5</v>
      </c>
      <c r="T758" s="1" t="str">
        <f t="shared" si="110"/>
        <v>-text 60,0 2.5 90 1156970.9</v>
      </c>
    </row>
    <row r="759" spans="1:20" x14ac:dyDescent="0.35">
      <c r="A759" s="1">
        <v>267580</v>
      </c>
      <c r="B759" s="7">
        <v>1156990.8999999999</v>
      </c>
      <c r="C759" s="2">
        <v>269.875</v>
      </c>
      <c r="D759" s="2">
        <v>270.399</v>
      </c>
      <c r="E759" s="2">
        <v>0.52400000000000002</v>
      </c>
      <c r="F759" s="2">
        <v>269.20299999999997</v>
      </c>
      <c r="G759" s="2">
        <v>269.68599999999998</v>
      </c>
      <c r="H759" s="2">
        <v>0.48299999999999998</v>
      </c>
      <c r="I759" s="2">
        <v>267.19200000000001</v>
      </c>
      <c r="J759" s="2">
        <v>267.3</v>
      </c>
      <c r="K759" s="15">
        <v>2.3860000000000001</v>
      </c>
      <c r="L759" s="2">
        <v>14.459</v>
      </c>
      <c r="N759" s="7">
        <f t="shared" si="111"/>
        <v>80</v>
      </c>
      <c r="O759" s="1">
        <v>0</v>
      </c>
      <c r="P759" s="1" t="str">
        <f t="shared" si="108"/>
        <v>80,0</v>
      </c>
      <c r="Q759" s="6" t="s">
        <v>10</v>
      </c>
      <c r="R759" s="1">
        <v>90</v>
      </c>
      <c r="S759" s="1">
        <v>2.5</v>
      </c>
      <c r="T759" s="1" t="str">
        <f t="shared" si="110"/>
        <v>-text 80,0 2.5 90 1156990.9</v>
      </c>
    </row>
    <row r="760" spans="1:20" x14ac:dyDescent="0.35">
      <c r="A760" s="1">
        <v>267600</v>
      </c>
      <c r="B760" s="7">
        <v>1157010.8999999999</v>
      </c>
      <c r="C760" s="2">
        <v>269.86399999999998</v>
      </c>
      <c r="D760" s="2">
        <v>270.37400000000002</v>
      </c>
      <c r="E760" s="2">
        <v>0.51</v>
      </c>
      <c r="F760" s="2">
        <v>269.19200000000001</v>
      </c>
      <c r="G760" s="2">
        <v>269.661</v>
      </c>
      <c r="H760" s="2">
        <v>0.46899999999999997</v>
      </c>
      <c r="I760" s="2">
        <v>267.05700000000002</v>
      </c>
      <c r="J760" s="2">
        <v>267.017</v>
      </c>
      <c r="K760" s="15">
        <v>2.6440000000000001</v>
      </c>
      <c r="L760" s="2">
        <v>14.44</v>
      </c>
      <c r="N760" s="7">
        <f t="shared" si="111"/>
        <v>100</v>
      </c>
      <c r="O760" s="1">
        <v>0</v>
      </c>
      <c r="P760" s="1" t="str">
        <f t="shared" si="108"/>
        <v>100,0</v>
      </c>
      <c r="Q760" s="6" t="s">
        <v>10</v>
      </c>
      <c r="R760" s="1">
        <v>90</v>
      </c>
      <c r="S760" s="1">
        <v>2.5</v>
      </c>
      <c r="T760" s="1" t="str">
        <f t="shared" si="110"/>
        <v>-text 100,0 2.5 90 1157010.9</v>
      </c>
    </row>
    <row r="761" spans="1:20" x14ac:dyDescent="0.35">
      <c r="A761" s="1">
        <v>267620</v>
      </c>
      <c r="B761" s="7">
        <v>1157030.8999999999</v>
      </c>
      <c r="C761" s="2">
        <v>269.85599999999999</v>
      </c>
      <c r="D761" s="2">
        <v>270.35000000000002</v>
      </c>
      <c r="E761" s="2">
        <v>0.49299999999999999</v>
      </c>
      <c r="F761" s="2">
        <v>269.18400000000003</v>
      </c>
      <c r="G761" s="2">
        <v>269.637</v>
      </c>
      <c r="H761" s="2">
        <v>0.45200000000000001</v>
      </c>
      <c r="I761" s="2">
        <v>267.06799999999998</v>
      </c>
      <c r="J761" s="2">
        <v>266.84899999999999</v>
      </c>
      <c r="K761" s="15">
        <v>2.7869999999999999</v>
      </c>
      <c r="L761" s="2">
        <v>14.414999999999999</v>
      </c>
      <c r="N761" s="7">
        <f t="shared" si="111"/>
        <v>120</v>
      </c>
      <c r="O761" s="1">
        <v>0</v>
      </c>
      <c r="P761" s="1" t="str">
        <f t="shared" si="108"/>
        <v>120,0</v>
      </c>
      <c r="Q761" s="6" t="s">
        <v>10</v>
      </c>
      <c r="R761" s="1">
        <v>90</v>
      </c>
      <c r="S761" s="1">
        <v>2.5</v>
      </c>
      <c r="T761" s="1" t="str">
        <f t="shared" si="110"/>
        <v>-text 120,0 2.5 90 1157030.9</v>
      </c>
    </row>
    <row r="762" spans="1:20" x14ac:dyDescent="0.35">
      <c r="A762" s="1">
        <v>267640</v>
      </c>
      <c r="B762" s="7">
        <v>1157050.8999999999</v>
      </c>
      <c r="C762" s="2">
        <v>269.85399999999998</v>
      </c>
      <c r="D762" s="2">
        <v>270.32499999999999</v>
      </c>
      <c r="E762" s="2">
        <v>0.47199999999999998</v>
      </c>
      <c r="F762" s="2">
        <v>269.18200000000002</v>
      </c>
      <c r="G762" s="2">
        <v>269.61200000000002</v>
      </c>
      <c r="H762" s="2">
        <v>0.43099999999999999</v>
      </c>
      <c r="I762" s="2">
        <v>267.16300000000001</v>
      </c>
      <c r="J762" s="2">
        <v>266.721</v>
      </c>
      <c r="K762" s="15">
        <v>2.8919999999999999</v>
      </c>
      <c r="L762" s="2">
        <v>14.444000000000001</v>
      </c>
      <c r="N762" s="7">
        <f t="shared" si="111"/>
        <v>140</v>
      </c>
      <c r="O762" s="1">
        <v>0</v>
      </c>
      <c r="P762" s="1" t="str">
        <f t="shared" si="108"/>
        <v>140,0</v>
      </c>
      <c r="Q762" s="6" t="s">
        <v>10</v>
      </c>
      <c r="R762" s="1">
        <v>90</v>
      </c>
      <c r="S762" s="1">
        <v>2.5</v>
      </c>
      <c r="T762" s="1" t="str">
        <f t="shared" si="110"/>
        <v>-text 140,0 2.5 90 1157050.9</v>
      </c>
    </row>
    <row r="763" spans="1:20" x14ac:dyDescent="0.35">
      <c r="A763" s="1">
        <v>267660</v>
      </c>
      <c r="B763" s="7">
        <v>1157070.8999999999</v>
      </c>
      <c r="C763" s="2">
        <v>269.85500000000002</v>
      </c>
      <c r="D763" s="2">
        <v>270.30099999999999</v>
      </c>
      <c r="E763" s="2">
        <v>0.44600000000000001</v>
      </c>
      <c r="F763" s="2">
        <v>269.18299999999999</v>
      </c>
      <c r="G763" s="2">
        <v>269.58800000000002</v>
      </c>
      <c r="H763" s="2">
        <v>0.40500000000000003</v>
      </c>
      <c r="I763" s="2">
        <v>267.161</v>
      </c>
      <c r="J763" s="2">
        <v>266.78800000000001</v>
      </c>
      <c r="K763" s="15">
        <v>2.8</v>
      </c>
      <c r="L763" s="2">
        <v>14.468</v>
      </c>
      <c r="N763" s="7">
        <f t="shared" si="111"/>
        <v>160</v>
      </c>
      <c r="O763" s="1">
        <v>0</v>
      </c>
      <c r="P763" s="1" t="str">
        <f t="shared" si="108"/>
        <v>160,0</v>
      </c>
      <c r="Q763" s="6" t="s">
        <v>10</v>
      </c>
      <c r="R763" s="1">
        <v>90</v>
      </c>
      <c r="S763" s="1">
        <v>2.5</v>
      </c>
      <c r="T763" s="1" t="str">
        <f t="shared" si="110"/>
        <v>-text 160,0 2.5 90 1157070.9</v>
      </c>
    </row>
    <row r="764" spans="1:20" x14ac:dyDescent="0.35">
      <c r="A764" s="1">
        <v>267680</v>
      </c>
      <c r="B764" s="7">
        <v>1157090.8999999999</v>
      </c>
      <c r="C764" s="2">
        <v>269.87299999999999</v>
      </c>
      <c r="D764" s="2">
        <v>270.27600000000001</v>
      </c>
      <c r="E764" s="2">
        <v>0.40300000000000002</v>
      </c>
      <c r="F764" s="2">
        <v>269.20100000000002</v>
      </c>
      <c r="G764" s="2">
        <v>269.56299999999999</v>
      </c>
      <c r="H764" s="2">
        <v>0.36199999999999999</v>
      </c>
      <c r="I764" s="2">
        <v>267.15899999999999</v>
      </c>
      <c r="J764" s="2">
        <v>266.77</v>
      </c>
      <c r="K764" s="15">
        <v>2.7930000000000001</v>
      </c>
      <c r="L764" s="2">
        <v>14.467000000000001</v>
      </c>
      <c r="N764" s="7">
        <f t="shared" si="111"/>
        <v>180</v>
      </c>
      <c r="O764" s="1">
        <v>0</v>
      </c>
      <c r="P764" s="1" t="str">
        <f t="shared" si="108"/>
        <v>180,0</v>
      </c>
      <c r="Q764" s="6" t="s">
        <v>10</v>
      </c>
      <c r="R764" s="1">
        <v>90</v>
      </c>
      <c r="S764" s="1">
        <v>2.5</v>
      </c>
      <c r="T764" s="1" t="str">
        <f t="shared" si="110"/>
        <v>-text 180,0 2.5 90 1157090.9</v>
      </c>
    </row>
    <row r="765" spans="1:20" x14ac:dyDescent="0.35">
      <c r="A765" s="1">
        <v>267700</v>
      </c>
      <c r="B765" s="7">
        <v>1157110.8999999999</v>
      </c>
      <c r="C765" s="2">
        <v>269.88499999999999</v>
      </c>
      <c r="D765" s="2">
        <v>270.25200000000001</v>
      </c>
      <c r="E765" s="2">
        <v>0.36599999999999999</v>
      </c>
      <c r="F765" s="2">
        <v>269.21300000000002</v>
      </c>
      <c r="G765" s="2">
        <v>269.53899999999999</v>
      </c>
      <c r="H765" s="2">
        <v>0.32500000000000001</v>
      </c>
      <c r="I765" s="2">
        <v>267.20600000000002</v>
      </c>
      <c r="J765" s="2">
        <v>266.721</v>
      </c>
      <c r="K765" s="15">
        <v>2.8180000000000001</v>
      </c>
      <c r="L765" s="2">
        <v>14.462999999999999</v>
      </c>
      <c r="N765" s="7">
        <f t="shared" si="111"/>
        <v>200</v>
      </c>
      <c r="O765" s="1">
        <v>0</v>
      </c>
      <c r="P765" s="1" t="str">
        <f t="shared" si="108"/>
        <v>200,0</v>
      </c>
      <c r="Q765" s="6" t="s">
        <v>10</v>
      </c>
      <c r="R765" s="1">
        <v>90</v>
      </c>
      <c r="S765" s="1">
        <v>2.5</v>
      </c>
      <c r="T765" s="1" t="str">
        <f t="shared" si="110"/>
        <v>-text 200,0 2.5 90 1157110.9</v>
      </c>
    </row>
    <row r="766" spans="1:20" x14ac:dyDescent="0.35">
      <c r="A766" s="1">
        <v>267720</v>
      </c>
      <c r="B766" s="7">
        <v>1157130.8999999999</v>
      </c>
      <c r="C766" s="2">
        <v>269.88600000000002</v>
      </c>
      <c r="D766" s="2">
        <v>270.22699999999998</v>
      </c>
      <c r="E766" s="2">
        <v>0.34100000000000003</v>
      </c>
      <c r="F766" s="2">
        <v>269.214</v>
      </c>
      <c r="G766" s="2">
        <v>269.51400000000001</v>
      </c>
      <c r="H766" s="2">
        <v>0.3</v>
      </c>
      <c r="I766" s="2">
        <v>267.238</v>
      </c>
      <c r="J766" s="2">
        <v>266.58499999999998</v>
      </c>
      <c r="K766" s="15">
        <v>2.93</v>
      </c>
      <c r="L766" s="2">
        <v>14.452</v>
      </c>
      <c r="N766" s="7">
        <f t="shared" si="111"/>
        <v>220</v>
      </c>
      <c r="O766" s="1">
        <v>0</v>
      </c>
      <c r="P766" s="1" t="str">
        <f t="shared" si="108"/>
        <v>220,0</v>
      </c>
      <c r="Q766" s="6" t="s">
        <v>10</v>
      </c>
      <c r="R766" s="1">
        <v>90</v>
      </c>
      <c r="S766" s="1">
        <v>2.5</v>
      </c>
      <c r="T766" s="1" t="str">
        <f t="shared" si="110"/>
        <v>-text 220,0 2.5 90 1157130.9</v>
      </c>
    </row>
    <row r="767" spans="1:20" x14ac:dyDescent="0.35">
      <c r="A767" s="1">
        <v>267740</v>
      </c>
      <c r="B767" s="7">
        <v>1157150.8999999999</v>
      </c>
      <c r="C767" s="2">
        <v>269.89600000000002</v>
      </c>
      <c r="D767" s="2">
        <v>270.20299999999997</v>
      </c>
      <c r="E767" s="2">
        <v>0.307</v>
      </c>
      <c r="F767" s="2">
        <v>269.22399999999999</v>
      </c>
      <c r="G767" s="2">
        <v>269.49</v>
      </c>
      <c r="H767" s="2">
        <v>0.26600000000000001</v>
      </c>
      <c r="I767" s="2">
        <v>267.20600000000002</v>
      </c>
      <c r="J767" s="2">
        <v>266.71199999999999</v>
      </c>
      <c r="K767" s="15">
        <v>2.7770000000000001</v>
      </c>
      <c r="L767" s="2">
        <v>14.436999999999999</v>
      </c>
      <c r="N767" s="7">
        <f t="shared" si="111"/>
        <v>240</v>
      </c>
      <c r="O767" s="1">
        <v>0</v>
      </c>
      <c r="P767" s="1" t="str">
        <f t="shared" si="108"/>
        <v>240,0</v>
      </c>
      <c r="Q767" s="6" t="s">
        <v>10</v>
      </c>
      <c r="R767" s="1">
        <v>90</v>
      </c>
      <c r="S767" s="1">
        <v>2.5</v>
      </c>
      <c r="T767" s="1" t="str">
        <f t="shared" si="110"/>
        <v>-text 240,0 2.5 90 1157150.9</v>
      </c>
    </row>
    <row r="768" spans="1:20" x14ac:dyDescent="0.35">
      <c r="A768" s="1">
        <v>267760</v>
      </c>
      <c r="B768" s="7">
        <v>1157170.8999999999</v>
      </c>
      <c r="C768" s="2">
        <v>269.916</v>
      </c>
      <c r="D768" s="2">
        <v>270.178</v>
      </c>
      <c r="E768" s="2">
        <v>0.26200000000000001</v>
      </c>
      <c r="F768" s="2">
        <v>269.24400000000003</v>
      </c>
      <c r="G768" s="2">
        <v>269.46499999999997</v>
      </c>
      <c r="H768" s="2">
        <v>0.221</v>
      </c>
      <c r="I768" s="2">
        <v>267.06</v>
      </c>
      <c r="J768" s="2">
        <v>266.64699999999999</v>
      </c>
      <c r="K768" s="15">
        <v>2.8180000000000001</v>
      </c>
      <c r="L768" s="2">
        <v>14.417999999999999</v>
      </c>
      <c r="N768" s="7">
        <f t="shared" si="111"/>
        <v>260</v>
      </c>
      <c r="O768" s="1">
        <v>0</v>
      </c>
      <c r="P768" s="1" t="str">
        <f t="shared" si="108"/>
        <v>260,0</v>
      </c>
      <c r="Q768" s="6" t="s">
        <v>10</v>
      </c>
      <c r="R768" s="1">
        <v>90</v>
      </c>
      <c r="S768" s="1">
        <v>2.5</v>
      </c>
      <c r="T768" s="1" t="str">
        <f t="shared" si="110"/>
        <v>-text 260,0 2.5 90 1157170.9</v>
      </c>
    </row>
    <row r="769" spans="1:20" x14ac:dyDescent="0.35">
      <c r="A769" s="1">
        <v>267780</v>
      </c>
      <c r="B769" s="7">
        <v>1157190.8999999999</v>
      </c>
      <c r="C769" s="2">
        <v>269.935</v>
      </c>
      <c r="D769" s="2">
        <v>270.15300000000002</v>
      </c>
      <c r="E769" s="2">
        <v>0.218</v>
      </c>
      <c r="F769" s="2">
        <v>269.26299999999998</v>
      </c>
      <c r="G769" s="2">
        <v>269.44</v>
      </c>
      <c r="H769" s="2">
        <v>0.17699999999999999</v>
      </c>
      <c r="I769" s="2">
        <v>266.79199999999997</v>
      </c>
      <c r="J769" s="2">
        <v>266.70499999999998</v>
      </c>
      <c r="K769" s="15">
        <v>2.7349999999999999</v>
      </c>
      <c r="L769" s="2">
        <v>14.407999999999999</v>
      </c>
      <c r="N769" s="7">
        <f t="shared" si="111"/>
        <v>280</v>
      </c>
      <c r="O769" s="1">
        <v>0</v>
      </c>
      <c r="P769" s="1" t="str">
        <f t="shared" si="108"/>
        <v>280,0</v>
      </c>
      <c r="Q769" s="6" t="s">
        <v>10</v>
      </c>
      <c r="R769" s="1">
        <v>90</v>
      </c>
      <c r="S769" s="1">
        <v>2.5</v>
      </c>
      <c r="T769" s="1" t="str">
        <f t="shared" si="110"/>
        <v>-text 280,0 2.5 90 1157190.9</v>
      </c>
    </row>
    <row r="770" spans="1:20" x14ac:dyDescent="0.35">
      <c r="A770" s="1">
        <v>267800</v>
      </c>
      <c r="B770" s="7">
        <v>1157210.8999999999</v>
      </c>
      <c r="C770" s="2">
        <v>269.95499999999998</v>
      </c>
      <c r="D770" s="2">
        <v>270.12900000000002</v>
      </c>
      <c r="E770" s="2">
        <v>0.17399999999999999</v>
      </c>
      <c r="F770" s="2">
        <v>269.28300000000002</v>
      </c>
      <c r="G770" s="2">
        <v>269.416</v>
      </c>
      <c r="H770" s="2">
        <v>0.13300000000000001</v>
      </c>
      <c r="I770" s="2">
        <v>266.738</v>
      </c>
      <c r="J770" s="2">
        <v>266.62900000000002</v>
      </c>
      <c r="K770" s="15">
        <v>2.7869999999999999</v>
      </c>
      <c r="L770" s="2">
        <v>14.401999999999999</v>
      </c>
      <c r="N770" s="7">
        <f t="shared" si="111"/>
        <v>300</v>
      </c>
      <c r="O770" s="1">
        <v>0</v>
      </c>
      <c r="P770" s="1" t="str">
        <f t="shared" si="108"/>
        <v>300,0</v>
      </c>
      <c r="Q770" s="6" t="s">
        <v>10</v>
      </c>
      <c r="R770" s="1">
        <v>90</v>
      </c>
      <c r="S770" s="1">
        <v>2.5</v>
      </c>
      <c r="T770" s="1" t="str">
        <f t="shared" si="110"/>
        <v>-text 300,0 2.5 90 1157210.9</v>
      </c>
    </row>
    <row r="771" spans="1:20" x14ac:dyDescent="0.35">
      <c r="A771" s="1">
        <v>267820</v>
      </c>
      <c r="B771" s="7">
        <v>1157230.8999999999</v>
      </c>
      <c r="C771" s="2">
        <v>269.95699999999999</v>
      </c>
      <c r="D771" s="2">
        <v>270.10399999999998</v>
      </c>
      <c r="E771" s="2">
        <v>0.14699999999999999</v>
      </c>
      <c r="F771" s="2">
        <v>269.28500000000003</v>
      </c>
      <c r="G771" s="2">
        <v>269.39100000000002</v>
      </c>
      <c r="H771" s="2">
        <v>0.106</v>
      </c>
      <c r="I771" s="2">
        <v>266.90499999999997</v>
      </c>
      <c r="J771" s="2">
        <v>266.64</v>
      </c>
      <c r="K771" s="15">
        <v>2.7509999999999999</v>
      </c>
      <c r="L771" s="2">
        <v>14.404999999999999</v>
      </c>
      <c r="N771" s="7">
        <f t="shared" si="111"/>
        <v>320</v>
      </c>
      <c r="O771" s="1">
        <v>0</v>
      </c>
      <c r="P771" s="1" t="str">
        <f t="shared" si="108"/>
        <v>320,0</v>
      </c>
      <c r="Q771" s="6" t="s">
        <v>10</v>
      </c>
      <c r="R771" s="1">
        <v>90</v>
      </c>
      <c r="S771" s="1">
        <v>2.5</v>
      </c>
      <c r="T771" s="1" t="str">
        <f t="shared" si="110"/>
        <v>-text 320,0 2.5 90 1157230.9</v>
      </c>
    </row>
    <row r="772" spans="1:20" x14ac:dyDescent="0.35">
      <c r="A772" s="1">
        <v>267840</v>
      </c>
      <c r="B772" s="7">
        <v>1157250.8999999999</v>
      </c>
      <c r="C772" s="2">
        <v>269.952</v>
      </c>
      <c r="D772" s="2">
        <v>270.08</v>
      </c>
      <c r="E772" s="2">
        <v>0.127</v>
      </c>
      <c r="F772" s="2">
        <v>269.27999999999997</v>
      </c>
      <c r="G772" s="2">
        <v>269.36700000000002</v>
      </c>
      <c r="H772" s="2">
        <v>8.5999999999999993E-2</v>
      </c>
      <c r="I772" s="2">
        <v>267.14699999999999</v>
      </c>
      <c r="J772" s="2">
        <v>266.863</v>
      </c>
      <c r="K772" s="15">
        <v>2.5030000000000001</v>
      </c>
      <c r="L772" s="2">
        <v>14.413</v>
      </c>
      <c r="N772" s="7">
        <f t="shared" si="111"/>
        <v>340</v>
      </c>
      <c r="O772" s="1">
        <v>0</v>
      </c>
      <c r="P772" s="1" t="str">
        <f t="shared" si="108"/>
        <v>340,0</v>
      </c>
      <c r="Q772" s="6" t="s">
        <v>10</v>
      </c>
      <c r="R772" s="1">
        <v>90</v>
      </c>
      <c r="S772" s="1">
        <v>2.5</v>
      </c>
      <c r="T772" s="1" t="str">
        <f t="shared" si="110"/>
        <v>-text 340,0 2.5 90 1157250.9</v>
      </c>
    </row>
    <row r="773" spans="1:20" x14ac:dyDescent="0.35">
      <c r="A773" s="1">
        <v>267860</v>
      </c>
      <c r="B773" s="7">
        <v>1157270.8999999999</v>
      </c>
      <c r="C773" s="2">
        <v>269.96699999999998</v>
      </c>
      <c r="D773" s="2">
        <v>270.05500000000001</v>
      </c>
      <c r="E773" s="2">
        <v>8.7999999999999995E-2</v>
      </c>
      <c r="F773" s="2">
        <v>269.29500000000002</v>
      </c>
      <c r="G773" s="2">
        <v>269.34199999999998</v>
      </c>
      <c r="H773" s="2">
        <v>4.7E-2</v>
      </c>
      <c r="I773" s="2">
        <v>267.28399999999999</v>
      </c>
      <c r="J773" s="2">
        <v>267.06700000000001</v>
      </c>
      <c r="K773" s="15">
        <v>2.2759999999999998</v>
      </c>
      <c r="L773" s="2">
        <v>14.414999999999999</v>
      </c>
      <c r="N773" s="7">
        <f t="shared" si="111"/>
        <v>360</v>
      </c>
      <c r="O773" s="1">
        <v>0</v>
      </c>
      <c r="P773" s="1" t="str">
        <f t="shared" si="108"/>
        <v>360,0</v>
      </c>
      <c r="Q773" s="6" t="s">
        <v>10</v>
      </c>
      <c r="R773" s="1">
        <v>90</v>
      </c>
      <c r="S773" s="1">
        <v>2.5</v>
      </c>
      <c r="T773" s="1" t="str">
        <f t="shared" si="110"/>
        <v>-text 360,0 2.5 90 1157270.9</v>
      </c>
    </row>
    <row r="774" spans="1:20" x14ac:dyDescent="0.35">
      <c r="A774" s="1">
        <v>267880</v>
      </c>
      <c r="B774" s="7">
        <v>1157290.8999999999</v>
      </c>
      <c r="C774" s="2">
        <v>269.98899999999998</v>
      </c>
      <c r="D774" s="2">
        <v>270.03100000000001</v>
      </c>
      <c r="E774" s="2">
        <v>4.2000000000000003E-2</v>
      </c>
      <c r="F774" s="2">
        <v>269.31700000000001</v>
      </c>
      <c r="G774" s="2">
        <v>269.31799999999998</v>
      </c>
      <c r="H774" s="2">
        <v>1E-3</v>
      </c>
      <c r="I774" s="2">
        <v>267.048</v>
      </c>
      <c r="J774" s="2">
        <v>267.05700000000002</v>
      </c>
      <c r="K774" s="15">
        <v>2.2610000000000001</v>
      </c>
      <c r="L774" s="2">
        <v>14.416</v>
      </c>
      <c r="N774" s="7">
        <f t="shared" si="111"/>
        <v>380</v>
      </c>
      <c r="O774" s="1">
        <v>0</v>
      </c>
      <c r="P774" s="1" t="str">
        <f t="shared" si="108"/>
        <v>380,0</v>
      </c>
      <c r="Q774" s="6" t="s">
        <v>10</v>
      </c>
      <c r="R774" s="1">
        <v>90</v>
      </c>
      <c r="S774" s="1">
        <v>2.5</v>
      </c>
      <c r="T774" s="1" t="str">
        <f t="shared" si="110"/>
        <v>-text 380,0 2.5 90 1157290.9</v>
      </c>
    </row>
    <row r="775" spans="1:20" x14ac:dyDescent="0.35">
      <c r="A775" s="1">
        <v>267900</v>
      </c>
      <c r="B775" s="7">
        <v>1157310.8999999999</v>
      </c>
      <c r="C775" s="2">
        <v>269.96800000000002</v>
      </c>
      <c r="D775" s="2">
        <v>270.00599999999997</v>
      </c>
      <c r="E775" s="2">
        <v>3.7999999999999999E-2</v>
      </c>
      <c r="F775" s="2">
        <v>269.29599999999999</v>
      </c>
      <c r="G775" s="2">
        <v>269.29300000000001</v>
      </c>
      <c r="H775" s="2">
        <v>-3.0000000000000001E-3</v>
      </c>
      <c r="I775" s="2">
        <v>266.64299999999997</v>
      </c>
      <c r="J775" s="2">
        <v>266.49299999999999</v>
      </c>
      <c r="K775" s="15">
        <v>2.8</v>
      </c>
      <c r="L775" s="2">
        <v>14.413</v>
      </c>
      <c r="N775" s="7">
        <f t="shared" si="111"/>
        <v>400</v>
      </c>
      <c r="O775" s="1">
        <v>0</v>
      </c>
      <c r="P775" s="1" t="str">
        <f t="shared" si="108"/>
        <v>400,0</v>
      </c>
      <c r="Q775" s="6" t="s">
        <v>10</v>
      </c>
      <c r="R775" s="1">
        <v>90</v>
      </c>
      <c r="S775" s="1">
        <v>2.5</v>
      </c>
      <c r="T775" s="1" t="str">
        <f t="shared" si="110"/>
        <v>-text 400,0 2.5 90 1157310.9</v>
      </c>
    </row>
    <row r="776" spans="1:20" x14ac:dyDescent="0.35">
      <c r="A776" s="1">
        <v>267920</v>
      </c>
      <c r="B776" s="7">
        <v>1157330.8999999999</v>
      </c>
      <c r="C776" s="2">
        <v>269.94600000000003</v>
      </c>
      <c r="D776" s="2">
        <v>269.98200000000003</v>
      </c>
      <c r="E776" s="2">
        <v>3.5999999999999997E-2</v>
      </c>
      <c r="F776" s="2">
        <v>269.274</v>
      </c>
      <c r="G776" s="2">
        <v>269.26900000000001</v>
      </c>
      <c r="H776" s="2">
        <v>-5.0000000000000001E-3</v>
      </c>
      <c r="I776" s="2">
        <v>266.70499999999998</v>
      </c>
      <c r="J776" s="2">
        <v>266.76400000000001</v>
      </c>
      <c r="K776" s="15">
        <v>2.5049999999999999</v>
      </c>
      <c r="L776" s="2">
        <v>14.416</v>
      </c>
      <c r="N776" s="7">
        <f t="shared" si="111"/>
        <v>420</v>
      </c>
      <c r="O776" s="1">
        <v>0</v>
      </c>
      <c r="P776" s="1" t="str">
        <f t="shared" si="108"/>
        <v>420,0</v>
      </c>
      <c r="Q776" s="6" t="s">
        <v>10</v>
      </c>
      <c r="R776" s="1">
        <v>90</v>
      </c>
      <c r="S776" s="1">
        <v>2.5</v>
      </c>
      <c r="T776" s="1" t="str">
        <f t="shared" si="110"/>
        <v>-text 420,0 2.5 90 1157330.9</v>
      </c>
    </row>
    <row r="777" spans="1:20" x14ac:dyDescent="0.35">
      <c r="A777" s="1">
        <v>267940</v>
      </c>
      <c r="B777" s="7">
        <v>1157350.8999999999</v>
      </c>
      <c r="C777" s="2">
        <v>269.91800000000001</v>
      </c>
      <c r="D777" s="2">
        <v>269.95699999999999</v>
      </c>
      <c r="E777" s="2">
        <v>3.9E-2</v>
      </c>
      <c r="F777" s="2">
        <v>269.24599999999998</v>
      </c>
      <c r="G777" s="2">
        <v>269.24400000000003</v>
      </c>
      <c r="H777" s="2">
        <v>-2E-3</v>
      </c>
      <c r="I777" s="2">
        <v>266.61500000000001</v>
      </c>
      <c r="J777" s="2">
        <v>266.70299999999997</v>
      </c>
      <c r="K777" s="15">
        <v>2.5409999999999999</v>
      </c>
      <c r="L777" s="2">
        <v>14.44</v>
      </c>
      <c r="N777" s="7">
        <f t="shared" si="111"/>
        <v>440</v>
      </c>
      <c r="O777" s="1">
        <v>0</v>
      </c>
      <c r="P777" s="1" t="str">
        <f t="shared" si="108"/>
        <v>440,0</v>
      </c>
      <c r="Q777" s="6" t="s">
        <v>10</v>
      </c>
      <c r="R777" s="1">
        <v>90</v>
      </c>
      <c r="S777" s="1">
        <v>2.5</v>
      </c>
      <c r="T777" s="1" t="str">
        <f t="shared" si="110"/>
        <v>-text 440,0 2.5 90 1157350.9</v>
      </c>
    </row>
    <row r="778" spans="1:20" x14ac:dyDescent="0.35">
      <c r="A778" s="1">
        <v>267960</v>
      </c>
      <c r="B778" s="7">
        <v>1157370.8999999999</v>
      </c>
      <c r="C778" s="2">
        <v>269.86900000000003</v>
      </c>
      <c r="D778" s="2">
        <v>269.93299999999999</v>
      </c>
      <c r="E778" s="2">
        <v>6.4000000000000001E-2</v>
      </c>
      <c r="F778" s="2">
        <v>269.197</v>
      </c>
      <c r="G778" s="2">
        <v>269.22000000000003</v>
      </c>
      <c r="H778" s="2">
        <v>2.3E-2</v>
      </c>
      <c r="I778" s="2">
        <v>266.63900000000001</v>
      </c>
      <c r="J778" s="2">
        <v>266.83</v>
      </c>
      <c r="K778" s="15">
        <v>2.3889999999999998</v>
      </c>
      <c r="L778" s="2">
        <v>14.451000000000001</v>
      </c>
      <c r="N778" s="7">
        <f t="shared" si="111"/>
        <v>460</v>
      </c>
      <c r="O778" s="1">
        <v>0</v>
      </c>
      <c r="P778" s="1" t="str">
        <f t="shared" si="108"/>
        <v>460,0</v>
      </c>
      <c r="Q778" s="6" t="s">
        <v>10</v>
      </c>
      <c r="R778" s="1">
        <v>90</v>
      </c>
      <c r="S778" s="1">
        <v>2.5</v>
      </c>
      <c r="T778" s="1" t="str">
        <f t="shared" si="110"/>
        <v>-text 460,0 2.5 90 1157370.9</v>
      </c>
    </row>
    <row r="779" spans="1:20" x14ac:dyDescent="0.35">
      <c r="A779" s="1">
        <v>267980</v>
      </c>
      <c r="B779" s="7">
        <v>1157390.8999999999</v>
      </c>
      <c r="C779" s="2">
        <v>269.79199999999997</v>
      </c>
      <c r="D779" s="2">
        <v>269.90800000000002</v>
      </c>
      <c r="E779" s="2">
        <v>0.11600000000000001</v>
      </c>
      <c r="F779" s="2">
        <v>269.12</v>
      </c>
      <c r="G779" s="2">
        <v>269.19499999999999</v>
      </c>
      <c r="H779" s="2">
        <v>7.4999999999999997E-2</v>
      </c>
      <c r="I779" s="2">
        <v>266.69900000000001</v>
      </c>
      <c r="J779" s="2">
        <v>266.96699999999998</v>
      </c>
      <c r="K779" s="15">
        <v>2.2280000000000002</v>
      </c>
      <c r="L779" s="2">
        <v>14.446</v>
      </c>
      <c r="N779" s="7">
        <f t="shared" si="111"/>
        <v>480</v>
      </c>
      <c r="O779" s="1">
        <v>0</v>
      </c>
      <c r="P779" s="1" t="str">
        <f t="shared" si="108"/>
        <v>480,0</v>
      </c>
      <c r="Q779" s="6" t="s">
        <v>10</v>
      </c>
      <c r="R779" s="1">
        <v>90</v>
      </c>
      <c r="S779" s="1">
        <v>2.5</v>
      </c>
      <c r="T779" s="1" t="str">
        <f t="shared" si="110"/>
        <v>-text 480,0 2.5 90 1157390.9</v>
      </c>
    </row>
    <row r="780" spans="1:20" x14ac:dyDescent="0.35">
      <c r="A780" s="1">
        <v>268000</v>
      </c>
      <c r="B780" s="7">
        <v>1157410.8999999999</v>
      </c>
      <c r="C780" s="2">
        <v>269.72699999999998</v>
      </c>
      <c r="D780" s="2">
        <v>269.88400000000001</v>
      </c>
      <c r="E780" s="2">
        <v>0.157</v>
      </c>
      <c r="F780" s="2">
        <v>269.05500000000001</v>
      </c>
      <c r="G780" s="2">
        <v>269.17099999999999</v>
      </c>
      <c r="H780" s="2">
        <v>0.11600000000000001</v>
      </c>
      <c r="I780" s="2">
        <v>266.762</v>
      </c>
      <c r="J780" s="2">
        <v>267.108</v>
      </c>
      <c r="K780" s="15">
        <v>2.0619999999999998</v>
      </c>
      <c r="L780" s="2">
        <v>14.448</v>
      </c>
      <c r="N780" s="7">
        <f t="shared" si="111"/>
        <v>500</v>
      </c>
      <c r="O780" s="1">
        <v>0</v>
      </c>
      <c r="P780" s="1" t="str">
        <f t="shared" si="108"/>
        <v>500,0</v>
      </c>
      <c r="Q780" s="6" t="s">
        <v>10</v>
      </c>
      <c r="R780" s="1">
        <v>90</v>
      </c>
      <c r="S780" s="1">
        <v>2.5</v>
      </c>
      <c r="T780" s="1" t="str">
        <f t="shared" si="110"/>
        <v>-text 500,0 2.5 90 1157410.9</v>
      </c>
    </row>
    <row r="781" spans="1:20" x14ac:dyDescent="0.35">
      <c r="A781" s="1">
        <v>268017.24694869999</v>
      </c>
      <c r="B781" s="7">
        <v>1157428.2</v>
      </c>
      <c r="C781" s="9">
        <v>269.68</v>
      </c>
      <c r="D781" s="2">
        <v>269.863</v>
      </c>
      <c r="E781" s="2">
        <v>0.182</v>
      </c>
      <c r="F781" s="9">
        <v>269.00799999999998</v>
      </c>
      <c r="G781" s="2">
        <v>269.14999999999998</v>
      </c>
      <c r="H781" s="2">
        <v>0.14099999999999999</v>
      </c>
      <c r="I781" s="9">
        <v>266.83199999999999</v>
      </c>
      <c r="J781" s="9">
        <v>267.20699999999999</v>
      </c>
      <c r="K781" s="15">
        <v>1.9419999999999999</v>
      </c>
      <c r="L781" s="2">
        <v>14.457000000000001</v>
      </c>
      <c r="N781" s="7">
        <f t="shared" si="111"/>
        <v>517.30000000004657</v>
      </c>
      <c r="O781" s="1">
        <v>0</v>
      </c>
      <c r="P781" s="1" t="str">
        <f t="shared" si="108"/>
        <v>517.300000000047,0</v>
      </c>
      <c r="Q781" s="6" t="s">
        <v>10</v>
      </c>
      <c r="R781" s="1">
        <v>90</v>
      </c>
      <c r="S781" s="1">
        <v>2.5</v>
      </c>
      <c r="T781" s="1" t="str">
        <f t="shared" si="110"/>
        <v>-text 517.300000000047,0 2.5 90 1157428.2</v>
      </c>
    </row>
    <row r="782" spans="1:20" s="10" customFormat="1" x14ac:dyDescent="0.35">
      <c r="B782" s="11"/>
      <c r="C782" s="9"/>
      <c r="D782" s="9"/>
      <c r="E782" s="9"/>
      <c r="F782" s="9"/>
      <c r="G782" s="9"/>
      <c r="H782" s="9"/>
      <c r="I782" s="9"/>
      <c r="J782" s="9"/>
      <c r="K782" s="16"/>
      <c r="L782" s="9"/>
      <c r="M782" s="9"/>
      <c r="N782" s="11"/>
      <c r="Q782" s="12"/>
    </row>
    <row r="783" spans="1:20" x14ac:dyDescent="0.35">
      <c r="A783" s="1">
        <v>268000</v>
      </c>
      <c r="B783" s="7">
        <v>1157428.2</v>
      </c>
      <c r="C783" s="9">
        <v>269.68</v>
      </c>
      <c r="D783" s="2">
        <v>269.863</v>
      </c>
      <c r="E783" s="2">
        <v>0.182</v>
      </c>
      <c r="F783" s="9">
        <v>269.00799999999998</v>
      </c>
      <c r="G783" s="2">
        <v>269.14999999999998</v>
      </c>
      <c r="H783" s="2">
        <v>0.14099999999999999</v>
      </c>
      <c r="I783" s="9">
        <v>266.83199999999999</v>
      </c>
      <c r="J783" s="9">
        <v>267.20699999999999</v>
      </c>
      <c r="K783" s="15">
        <v>1.9419999999999999</v>
      </c>
      <c r="L783" s="2">
        <v>14.457000000000001</v>
      </c>
      <c r="N783" s="7">
        <v>0</v>
      </c>
      <c r="O783" s="1">
        <v>0</v>
      </c>
      <c r="P783" s="1" t="str">
        <f t="shared" si="108"/>
        <v>0,0</v>
      </c>
      <c r="Q783" s="6" t="s">
        <v>10</v>
      </c>
      <c r="R783" s="1">
        <v>90</v>
      </c>
      <c r="S783" s="1">
        <v>2.5</v>
      </c>
      <c r="T783" s="1" t="str">
        <f t="shared" ref="T783:T808" si="112">$Q783&amp;" "&amp;$P783&amp;" "&amp;$S783&amp;" "&amp;$R783&amp;" "&amp;$B783</f>
        <v>-text 0,0 2.5 90 1157428.2</v>
      </c>
    </row>
    <row r="784" spans="1:20" x14ac:dyDescent="0.35">
      <c r="A784" s="1">
        <v>268020</v>
      </c>
      <c r="B784" s="7">
        <v>1157448.1000000001</v>
      </c>
      <c r="C784" s="2">
        <v>269.625</v>
      </c>
      <c r="D784" s="2">
        <v>269.83800000000002</v>
      </c>
      <c r="E784" s="2">
        <v>0.21299999999999999</v>
      </c>
      <c r="F784" s="2">
        <v>268.95299999999997</v>
      </c>
      <c r="G784" s="2">
        <v>269.125</v>
      </c>
      <c r="H784" s="2">
        <v>0.17199999999999999</v>
      </c>
      <c r="I784" s="2">
        <v>267.19600000000003</v>
      </c>
      <c r="J784" s="2">
        <v>267.31599999999997</v>
      </c>
      <c r="K784" s="15">
        <v>1.8089999999999999</v>
      </c>
      <c r="L784" s="2">
        <v>14.446</v>
      </c>
      <c r="N784" s="7">
        <f t="shared" ref="N784:N807" si="113">N783+(B784-B783)</f>
        <v>19.900000000139698</v>
      </c>
      <c r="O784" s="1">
        <v>0</v>
      </c>
      <c r="P784" s="1" t="str">
        <f t="shared" si="108"/>
        <v>19.9000000001397,0</v>
      </c>
      <c r="Q784" s="6" t="s">
        <v>10</v>
      </c>
      <c r="R784" s="1">
        <v>90</v>
      </c>
      <c r="S784" s="1">
        <v>2.5</v>
      </c>
      <c r="T784" s="1" t="str">
        <f t="shared" si="112"/>
        <v>-text 19.9000000001397,0 2.5 90 1157448.1</v>
      </c>
    </row>
    <row r="785" spans="1:20" x14ac:dyDescent="0.35">
      <c r="A785" s="1">
        <v>268040</v>
      </c>
      <c r="B785" s="7">
        <v>1157468.1000000001</v>
      </c>
      <c r="C785" s="2">
        <v>269.56900000000002</v>
      </c>
      <c r="D785" s="2">
        <v>269.81400000000002</v>
      </c>
      <c r="E785" s="2">
        <v>0.245</v>
      </c>
      <c r="F785" s="2">
        <v>268.89699999999999</v>
      </c>
      <c r="G785" s="2">
        <v>269.101</v>
      </c>
      <c r="H785" s="2">
        <v>0.20399999999999999</v>
      </c>
      <c r="I785" s="2">
        <v>267.21699999999998</v>
      </c>
      <c r="J785" s="2">
        <v>267.42599999999999</v>
      </c>
      <c r="K785" s="15">
        <v>1.675</v>
      </c>
      <c r="L785" s="2">
        <v>14.419</v>
      </c>
      <c r="N785" s="7">
        <f t="shared" si="113"/>
        <v>39.900000000139698</v>
      </c>
      <c r="O785" s="1">
        <v>0</v>
      </c>
      <c r="P785" s="1" t="str">
        <f t="shared" si="108"/>
        <v>39.9000000001397,0</v>
      </c>
      <c r="Q785" s="6" t="s">
        <v>10</v>
      </c>
      <c r="R785" s="1">
        <v>90</v>
      </c>
      <c r="S785" s="1">
        <v>2.5</v>
      </c>
      <c r="T785" s="1" t="str">
        <f t="shared" si="112"/>
        <v>-text 39.9000000001397,0 2.5 90 1157468.1</v>
      </c>
    </row>
    <row r="786" spans="1:20" x14ac:dyDescent="0.35">
      <c r="A786" s="1">
        <v>268060</v>
      </c>
      <c r="B786" s="7">
        <v>1157488.1000000001</v>
      </c>
      <c r="C786" s="2">
        <v>269.51299999999998</v>
      </c>
      <c r="D786" s="2">
        <v>269.78899999999999</v>
      </c>
      <c r="E786" s="2">
        <v>0.27600000000000002</v>
      </c>
      <c r="F786" s="2">
        <v>268.84100000000001</v>
      </c>
      <c r="G786" s="2">
        <v>269.07600000000002</v>
      </c>
      <c r="H786" s="2">
        <v>0.23499999999999999</v>
      </c>
      <c r="I786" s="2">
        <v>267.267</v>
      </c>
      <c r="J786" s="2">
        <v>267.42200000000003</v>
      </c>
      <c r="K786" s="15">
        <v>1.6539999999999999</v>
      </c>
      <c r="L786" s="2">
        <v>14.391999999999999</v>
      </c>
      <c r="N786" s="7">
        <f t="shared" si="113"/>
        <v>59.900000000139698</v>
      </c>
      <c r="O786" s="1">
        <v>0</v>
      </c>
      <c r="P786" s="1" t="str">
        <f t="shared" si="108"/>
        <v>59.9000000001397,0</v>
      </c>
      <c r="Q786" s="6" t="s">
        <v>10</v>
      </c>
      <c r="R786" s="1">
        <v>90</v>
      </c>
      <c r="S786" s="1">
        <v>2.5</v>
      </c>
      <c r="T786" s="1" t="str">
        <f t="shared" si="112"/>
        <v>-text 59.9000000001397,0 2.5 90 1157488.1</v>
      </c>
    </row>
    <row r="787" spans="1:20" x14ac:dyDescent="0.35">
      <c r="A787" s="1">
        <v>268080</v>
      </c>
      <c r="B787" s="7">
        <v>1157508.1000000001</v>
      </c>
      <c r="C787" s="2">
        <v>269.46100000000001</v>
      </c>
      <c r="D787" s="2">
        <v>269.76400000000001</v>
      </c>
      <c r="E787" s="2">
        <v>0.30299999999999999</v>
      </c>
      <c r="F787" s="2">
        <v>268.78899999999999</v>
      </c>
      <c r="G787" s="2">
        <v>269.05099999999999</v>
      </c>
      <c r="H787" s="2">
        <v>0.26200000000000001</v>
      </c>
      <c r="I787" s="2">
        <v>267.33999999999997</v>
      </c>
      <c r="J787" s="2">
        <v>267.37900000000002</v>
      </c>
      <c r="K787" s="15">
        <v>1.6719999999999999</v>
      </c>
      <c r="L787" s="2">
        <v>14.375</v>
      </c>
      <c r="N787" s="7">
        <f t="shared" si="113"/>
        <v>79.900000000139698</v>
      </c>
      <c r="O787" s="1">
        <v>0</v>
      </c>
      <c r="P787" s="1" t="str">
        <f t="shared" si="108"/>
        <v>79.9000000001397,0</v>
      </c>
      <c r="Q787" s="6" t="s">
        <v>10</v>
      </c>
      <c r="R787" s="1">
        <v>90</v>
      </c>
      <c r="S787" s="1">
        <v>2.5</v>
      </c>
      <c r="T787" s="1" t="str">
        <f t="shared" si="112"/>
        <v>-text 79.9000000001397,0 2.5 90 1157508.1</v>
      </c>
    </row>
    <row r="788" spans="1:20" x14ac:dyDescent="0.35">
      <c r="A788" s="1">
        <v>268100</v>
      </c>
      <c r="B788" s="7">
        <v>1157528.1000000001</v>
      </c>
      <c r="C788" s="2">
        <v>269.411</v>
      </c>
      <c r="D788" s="2">
        <v>269.74</v>
      </c>
      <c r="E788" s="2">
        <v>0.32900000000000001</v>
      </c>
      <c r="F788" s="2">
        <v>268.73899999999998</v>
      </c>
      <c r="G788" s="2">
        <v>269.02699999999999</v>
      </c>
      <c r="H788" s="2">
        <v>0.28799999999999998</v>
      </c>
      <c r="I788" s="2">
        <v>267.34500000000003</v>
      </c>
      <c r="J788" s="2">
        <v>267.39499999999998</v>
      </c>
      <c r="K788" s="15">
        <v>1.6319999999999999</v>
      </c>
      <c r="L788" s="2">
        <v>14.36</v>
      </c>
      <c r="N788" s="7">
        <f t="shared" si="113"/>
        <v>99.900000000139698</v>
      </c>
      <c r="O788" s="1">
        <v>0</v>
      </c>
      <c r="P788" s="1" t="str">
        <f t="shared" si="108"/>
        <v>99.9000000001397,0</v>
      </c>
      <c r="Q788" s="6" t="s">
        <v>10</v>
      </c>
      <c r="R788" s="1">
        <v>90</v>
      </c>
      <c r="S788" s="1">
        <v>2.5</v>
      </c>
      <c r="T788" s="1" t="str">
        <f t="shared" si="112"/>
        <v>-text 99.9000000001397,0 2.5 90 1157528.1</v>
      </c>
    </row>
    <row r="789" spans="1:20" x14ac:dyDescent="0.35">
      <c r="A789" s="1">
        <v>268120</v>
      </c>
      <c r="B789" s="7">
        <v>1157548.1000000001</v>
      </c>
      <c r="C789" s="2">
        <v>269.34500000000003</v>
      </c>
      <c r="D789" s="2">
        <v>269.71499999999997</v>
      </c>
      <c r="E789" s="2">
        <v>0.371</v>
      </c>
      <c r="F789" s="2">
        <v>268.673</v>
      </c>
      <c r="G789" s="2">
        <v>269.00200000000001</v>
      </c>
      <c r="H789" s="2">
        <v>0.33</v>
      </c>
      <c r="I789" s="2">
        <v>267.32</v>
      </c>
      <c r="J789" s="2">
        <v>267.36500000000001</v>
      </c>
      <c r="K789" s="15">
        <v>1.637</v>
      </c>
      <c r="L789" s="2">
        <v>14.351000000000001</v>
      </c>
      <c r="N789" s="7">
        <f t="shared" si="113"/>
        <v>119.9000000001397</v>
      </c>
      <c r="O789" s="1">
        <v>0</v>
      </c>
      <c r="P789" s="1" t="str">
        <f t="shared" si="108"/>
        <v>119.90000000014,0</v>
      </c>
      <c r="Q789" s="6" t="s">
        <v>10</v>
      </c>
      <c r="R789" s="1">
        <v>90</v>
      </c>
      <c r="S789" s="1">
        <v>2.5</v>
      </c>
      <c r="T789" s="1" t="str">
        <f t="shared" si="112"/>
        <v>-text 119.90000000014,0 2.5 90 1157548.1</v>
      </c>
    </row>
    <row r="790" spans="1:20" x14ac:dyDescent="0.35">
      <c r="A790" s="1">
        <v>268140</v>
      </c>
      <c r="B790" s="7">
        <v>1157568.1000000001</v>
      </c>
      <c r="C790" s="2">
        <v>269.27699999999999</v>
      </c>
      <c r="D790" s="2">
        <v>269.69099999999997</v>
      </c>
      <c r="E790" s="2">
        <v>0.41399999999999998</v>
      </c>
      <c r="F790" s="2">
        <v>268.60500000000002</v>
      </c>
      <c r="G790" s="2">
        <v>268.97800000000001</v>
      </c>
      <c r="H790" s="2">
        <v>0.373</v>
      </c>
      <c r="I790" s="2">
        <v>267.23899999999998</v>
      </c>
      <c r="J790" s="2">
        <v>267.30200000000002</v>
      </c>
      <c r="K790" s="15">
        <v>1.6759999999999999</v>
      </c>
      <c r="L790" s="2">
        <v>14.343</v>
      </c>
      <c r="N790" s="7">
        <f t="shared" si="113"/>
        <v>139.9000000001397</v>
      </c>
      <c r="O790" s="1">
        <v>0</v>
      </c>
      <c r="P790" s="1" t="str">
        <f t="shared" si="108"/>
        <v>139.90000000014,0</v>
      </c>
      <c r="Q790" s="6" t="s">
        <v>10</v>
      </c>
      <c r="R790" s="1">
        <v>90</v>
      </c>
      <c r="S790" s="1">
        <v>2.5</v>
      </c>
      <c r="T790" s="1" t="str">
        <f t="shared" si="112"/>
        <v>-text 139.90000000014,0 2.5 90 1157568.1</v>
      </c>
    </row>
    <row r="791" spans="1:20" x14ac:dyDescent="0.35">
      <c r="A791" s="1">
        <v>268160</v>
      </c>
      <c r="B791" s="7">
        <v>1157588.1000000001</v>
      </c>
      <c r="C791" s="2">
        <v>269.24799999999999</v>
      </c>
      <c r="D791" s="2">
        <v>269.666</v>
      </c>
      <c r="E791" s="2">
        <v>0.41799999999999998</v>
      </c>
      <c r="F791" s="2">
        <v>268.57600000000002</v>
      </c>
      <c r="G791" s="2">
        <v>268.95299999999997</v>
      </c>
      <c r="H791" s="2">
        <v>0.377</v>
      </c>
      <c r="I791" s="2">
        <v>267.13099999999997</v>
      </c>
      <c r="J791" s="2">
        <v>266.84100000000001</v>
      </c>
      <c r="K791" s="15">
        <v>2.1120000000000001</v>
      </c>
      <c r="L791" s="2">
        <v>14.34</v>
      </c>
      <c r="N791" s="7">
        <f t="shared" si="113"/>
        <v>159.9000000001397</v>
      </c>
      <c r="O791" s="1">
        <v>0</v>
      </c>
      <c r="P791" s="1" t="str">
        <f t="shared" si="108"/>
        <v>159.90000000014,0</v>
      </c>
      <c r="Q791" s="6" t="s">
        <v>10</v>
      </c>
      <c r="R791" s="1">
        <v>90</v>
      </c>
      <c r="S791" s="1">
        <v>2.5</v>
      </c>
      <c r="T791" s="1" t="str">
        <f t="shared" si="112"/>
        <v>-text 159.90000000014,0 2.5 90 1157588.1</v>
      </c>
    </row>
    <row r="792" spans="1:20" x14ac:dyDescent="0.35">
      <c r="A792" s="1">
        <v>268180</v>
      </c>
      <c r="B792" s="7">
        <v>1157608.1000000001</v>
      </c>
      <c r="C792" s="2">
        <v>269.22000000000003</v>
      </c>
      <c r="D792" s="2">
        <v>269.642</v>
      </c>
      <c r="E792" s="2">
        <v>0.42199999999999999</v>
      </c>
      <c r="F792" s="2">
        <v>268.548</v>
      </c>
      <c r="G792" s="2">
        <v>268.92899999999997</v>
      </c>
      <c r="H792" s="2">
        <v>0.38100000000000001</v>
      </c>
      <c r="I792" s="2">
        <v>267.24099999999999</v>
      </c>
      <c r="J792" s="2">
        <v>267.00900000000001</v>
      </c>
      <c r="K792" s="15">
        <v>1.92</v>
      </c>
      <c r="L792" s="2">
        <v>14.337999999999999</v>
      </c>
      <c r="N792" s="7">
        <f t="shared" si="113"/>
        <v>179.9000000001397</v>
      </c>
      <c r="O792" s="1">
        <v>0</v>
      </c>
      <c r="P792" s="1" t="str">
        <f t="shared" si="108"/>
        <v>179.90000000014,0</v>
      </c>
      <c r="Q792" s="6" t="s">
        <v>10</v>
      </c>
      <c r="R792" s="1">
        <v>90</v>
      </c>
      <c r="S792" s="1">
        <v>2.5</v>
      </c>
      <c r="T792" s="1" t="str">
        <f t="shared" si="112"/>
        <v>-text 179.90000000014,0 2.5 90 1157608.1</v>
      </c>
    </row>
    <row r="793" spans="1:20" x14ac:dyDescent="0.35">
      <c r="A793" s="1">
        <v>268200</v>
      </c>
      <c r="B793" s="7">
        <v>1157628.1000000001</v>
      </c>
      <c r="C793" s="2">
        <v>269.19499999999999</v>
      </c>
      <c r="D793" s="2">
        <v>269.61700000000002</v>
      </c>
      <c r="E793" s="2">
        <v>0.42299999999999999</v>
      </c>
      <c r="F793" s="2">
        <v>268.52300000000002</v>
      </c>
      <c r="G793" s="2">
        <v>268.904</v>
      </c>
      <c r="H793" s="2">
        <v>0.38200000000000001</v>
      </c>
      <c r="I793" s="2">
        <v>267.49299999999999</v>
      </c>
      <c r="J793" s="2">
        <v>267.262</v>
      </c>
      <c r="K793" s="15">
        <v>1.6419999999999999</v>
      </c>
      <c r="L793" s="2">
        <v>14.343</v>
      </c>
      <c r="N793" s="7">
        <f t="shared" si="113"/>
        <v>199.9000000001397</v>
      </c>
      <c r="O793" s="1">
        <v>0</v>
      </c>
      <c r="P793" s="1" t="str">
        <f t="shared" si="108"/>
        <v>199.90000000014,0</v>
      </c>
      <c r="Q793" s="6" t="s">
        <v>10</v>
      </c>
      <c r="R793" s="1">
        <v>90</v>
      </c>
      <c r="S793" s="1">
        <v>2.5</v>
      </c>
      <c r="T793" s="1" t="str">
        <f t="shared" si="112"/>
        <v>-text 199.90000000014,0 2.5 90 1157628.1</v>
      </c>
    </row>
    <row r="794" spans="1:20" x14ac:dyDescent="0.35">
      <c r="A794" s="1">
        <v>268220</v>
      </c>
      <c r="B794" s="7">
        <v>1157648.2</v>
      </c>
      <c r="C794" s="2">
        <v>269.15199999999999</v>
      </c>
      <c r="D794" s="2">
        <v>269.59300000000002</v>
      </c>
      <c r="E794" s="2">
        <v>0.441</v>
      </c>
      <c r="F794" s="2">
        <v>268.48</v>
      </c>
      <c r="G794" s="2">
        <v>268.88</v>
      </c>
      <c r="H794" s="2">
        <v>0.4</v>
      </c>
      <c r="I794" s="2">
        <v>267.65699999999998</v>
      </c>
      <c r="J794" s="2">
        <v>267.31799999999998</v>
      </c>
      <c r="K794" s="15">
        <v>1.5620000000000001</v>
      </c>
      <c r="L794" s="2">
        <v>14.352</v>
      </c>
      <c r="N794" s="7">
        <f t="shared" si="113"/>
        <v>220</v>
      </c>
      <c r="O794" s="1">
        <v>0</v>
      </c>
      <c r="P794" s="1" t="str">
        <f t="shared" si="108"/>
        <v>220,0</v>
      </c>
      <c r="Q794" s="6" t="s">
        <v>10</v>
      </c>
      <c r="R794" s="1">
        <v>90</v>
      </c>
      <c r="S794" s="1">
        <v>2.5</v>
      </c>
      <c r="T794" s="1" t="str">
        <f t="shared" si="112"/>
        <v>-text 220,0 2.5 90 1157648.2</v>
      </c>
    </row>
    <row r="795" spans="1:20" x14ac:dyDescent="0.35">
      <c r="A795" s="1">
        <v>268240</v>
      </c>
      <c r="B795" s="7">
        <v>1157668.2</v>
      </c>
      <c r="C795" s="2">
        <v>269.101</v>
      </c>
      <c r="D795" s="2">
        <v>269.56799999999998</v>
      </c>
      <c r="E795" s="2">
        <v>0.46700000000000003</v>
      </c>
      <c r="F795" s="2">
        <v>268.42899999999997</v>
      </c>
      <c r="G795" s="2">
        <v>268.85500000000002</v>
      </c>
      <c r="H795" s="2">
        <v>0.42599999999999999</v>
      </c>
      <c r="I795" s="2">
        <v>267.678</v>
      </c>
      <c r="J795" s="2">
        <v>267.37599999999998</v>
      </c>
      <c r="K795" s="15">
        <v>1.4790000000000001</v>
      </c>
      <c r="L795" s="2">
        <v>14.363</v>
      </c>
      <c r="N795" s="7">
        <f t="shared" si="113"/>
        <v>240</v>
      </c>
      <c r="O795" s="1">
        <v>0</v>
      </c>
      <c r="P795" s="1" t="str">
        <f t="shared" si="108"/>
        <v>240,0</v>
      </c>
      <c r="Q795" s="6" t="s">
        <v>10</v>
      </c>
      <c r="R795" s="1">
        <v>90</v>
      </c>
      <c r="S795" s="1">
        <v>2.5</v>
      </c>
      <c r="T795" s="1" t="str">
        <f t="shared" si="112"/>
        <v>-text 240,0 2.5 90 1157668.2</v>
      </c>
    </row>
    <row r="796" spans="1:20" x14ac:dyDescent="0.35">
      <c r="A796" s="1">
        <v>268260</v>
      </c>
      <c r="B796" s="7">
        <v>1157688.1000000001</v>
      </c>
      <c r="C796" s="2">
        <v>269.04199999999997</v>
      </c>
      <c r="D796" s="2">
        <v>269.54399999999998</v>
      </c>
      <c r="E796" s="2">
        <v>0.501</v>
      </c>
      <c r="F796" s="2">
        <v>268.37</v>
      </c>
      <c r="G796" s="2">
        <v>268.83100000000002</v>
      </c>
      <c r="H796" s="2">
        <v>0.46</v>
      </c>
      <c r="I796" s="2">
        <v>267.733</v>
      </c>
      <c r="J796" s="2">
        <v>267.92599999999999</v>
      </c>
      <c r="K796" s="15">
        <v>0.90500000000000003</v>
      </c>
      <c r="L796" s="2">
        <v>14.358000000000001</v>
      </c>
      <c r="N796" s="7">
        <f t="shared" si="113"/>
        <v>259.9000000001397</v>
      </c>
      <c r="O796" s="1">
        <v>0</v>
      </c>
      <c r="P796" s="1" t="str">
        <f t="shared" si="108"/>
        <v>259.90000000014,0</v>
      </c>
      <c r="Q796" s="6" t="s">
        <v>10</v>
      </c>
      <c r="R796" s="1">
        <v>90</v>
      </c>
      <c r="S796" s="1">
        <v>2.5</v>
      </c>
      <c r="T796" s="1" t="str">
        <f t="shared" si="112"/>
        <v>-text 259.90000000014,0 2.5 90 1157688.1</v>
      </c>
    </row>
    <row r="797" spans="1:20" x14ac:dyDescent="0.35">
      <c r="A797" s="1">
        <v>268280</v>
      </c>
      <c r="B797" s="7">
        <v>1157708.1000000001</v>
      </c>
      <c r="C797" s="2">
        <v>268.98</v>
      </c>
      <c r="D797" s="2">
        <v>269.51900000000001</v>
      </c>
      <c r="E797" s="2">
        <v>0.54</v>
      </c>
      <c r="F797" s="2">
        <v>268.30799999999999</v>
      </c>
      <c r="G797" s="2">
        <v>268.80599999999998</v>
      </c>
      <c r="H797" s="2">
        <v>0.499</v>
      </c>
      <c r="I797" s="2">
        <v>267.70999999999998</v>
      </c>
      <c r="J797" s="2">
        <v>267.62099999999998</v>
      </c>
      <c r="K797" s="15">
        <v>1.1859999999999999</v>
      </c>
      <c r="L797" s="2">
        <v>14.343</v>
      </c>
      <c r="N797" s="7">
        <f t="shared" si="113"/>
        <v>279.9000000001397</v>
      </c>
      <c r="O797" s="1">
        <v>0</v>
      </c>
      <c r="P797" s="1" t="str">
        <f t="shared" si="108"/>
        <v>279.90000000014,0</v>
      </c>
      <c r="Q797" s="6" t="s">
        <v>10</v>
      </c>
      <c r="R797" s="1">
        <v>90</v>
      </c>
      <c r="S797" s="1">
        <v>2.5</v>
      </c>
      <c r="T797" s="1" t="str">
        <f t="shared" si="112"/>
        <v>-text 279.90000000014,0 2.5 90 1157708.1</v>
      </c>
    </row>
    <row r="798" spans="1:20" x14ac:dyDescent="0.35">
      <c r="A798" s="1">
        <v>268300</v>
      </c>
      <c r="B798" s="7">
        <v>1157728.2</v>
      </c>
      <c r="C798" s="2">
        <v>268.916</v>
      </c>
      <c r="D798" s="2">
        <v>269.495</v>
      </c>
      <c r="E798" s="2">
        <v>0.57899999999999996</v>
      </c>
      <c r="F798" s="2">
        <v>268.24400000000003</v>
      </c>
      <c r="G798" s="2">
        <v>268.78199999999998</v>
      </c>
      <c r="H798" s="2">
        <v>0.53800000000000003</v>
      </c>
      <c r="I798" s="2">
        <v>267.38499999999999</v>
      </c>
      <c r="J798" s="2">
        <v>267.33</v>
      </c>
      <c r="K798" s="15">
        <v>1.4510000000000001</v>
      </c>
      <c r="L798" s="2">
        <v>14.364000000000001</v>
      </c>
      <c r="N798" s="7">
        <f t="shared" si="113"/>
        <v>300</v>
      </c>
      <c r="O798" s="1">
        <v>0</v>
      </c>
      <c r="P798" s="1" t="str">
        <f t="shared" si="108"/>
        <v>300,0</v>
      </c>
      <c r="Q798" s="6" t="s">
        <v>10</v>
      </c>
      <c r="R798" s="1">
        <v>90</v>
      </c>
      <c r="S798" s="1">
        <v>2.5</v>
      </c>
      <c r="T798" s="1" t="str">
        <f t="shared" si="112"/>
        <v>-text 300,0 2.5 90 1157728.2</v>
      </c>
    </row>
    <row r="799" spans="1:20" x14ac:dyDescent="0.35">
      <c r="A799" s="1">
        <v>268320</v>
      </c>
      <c r="B799" s="7">
        <v>1157748.2</v>
      </c>
      <c r="C799" s="2">
        <v>268.85199999999998</v>
      </c>
      <c r="D799" s="2">
        <v>269.47000000000003</v>
      </c>
      <c r="E799" s="2">
        <v>0.61799999999999999</v>
      </c>
      <c r="F799" s="2">
        <v>268.18</v>
      </c>
      <c r="G799" s="2">
        <v>268.75700000000001</v>
      </c>
      <c r="H799" s="2">
        <v>0.57699999999999996</v>
      </c>
      <c r="I799" s="2">
        <v>267.20100000000002</v>
      </c>
      <c r="J799" s="2">
        <v>267.28899999999999</v>
      </c>
      <c r="K799" s="15">
        <v>1.468</v>
      </c>
      <c r="L799" s="2">
        <v>14.39</v>
      </c>
      <c r="N799" s="7">
        <f t="shared" si="113"/>
        <v>320</v>
      </c>
      <c r="O799" s="1">
        <v>0</v>
      </c>
      <c r="P799" s="1" t="str">
        <f t="shared" si="108"/>
        <v>320,0</v>
      </c>
      <c r="Q799" s="6" t="s">
        <v>10</v>
      </c>
      <c r="R799" s="1">
        <v>90</v>
      </c>
      <c r="S799" s="1">
        <v>2.5</v>
      </c>
      <c r="T799" s="1" t="str">
        <f t="shared" si="112"/>
        <v>-text 320,0 2.5 90 1157748.2</v>
      </c>
    </row>
    <row r="800" spans="1:20" x14ac:dyDescent="0.35">
      <c r="A800" s="1">
        <v>268340</v>
      </c>
      <c r="B800" s="7">
        <v>1157768.1000000001</v>
      </c>
      <c r="C800" s="2">
        <v>268.81099999999998</v>
      </c>
      <c r="D800" s="2">
        <v>269.44600000000003</v>
      </c>
      <c r="E800" s="2">
        <v>0.63400000000000001</v>
      </c>
      <c r="F800" s="2">
        <v>268.13900000000001</v>
      </c>
      <c r="G800" s="2">
        <v>268.733</v>
      </c>
      <c r="H800" s="2">
        <v>0.59299999999999997</v>
      </c>
      <c r="I800" s="2">
        <v>266.96100000000001</v>
      </c>
      <c r="J800" s="2">
        <v>266.87</v>
      </c>
      <c r="K800" s="15">
        <v>1.863</v>
      </c>
      <c r="L800" s="2">
        <v>14.372</v>
      </c>
      <c r="N800" s="7">
        <f t="shared" si="113"/>
        <v>339.9000000001397</v>
      </c>
      <c r="O800" s="1">
        <v>0</v>
      </c>
      <c r="P800" s="1" t="str">
        <f t="shared" si="108"/>
        <v>339.90000000014,0</v>
      </c>
      <c r="Q800" s="6" t="s">
        <v>10</v>
      </c>
      <c r="R800" s="1">
        <v>90</v>
      </c>
      <c r="S800" s="1">
        <v>2.5</v>
      </c>
      <c r="T800" s="1" t="str">
        <f t="shared" si="112"/>
        <v>-text 339.90000000014,0 2.5 90 1157768.1</v>
      </c>
    </row>
    <row r="801" spans="1:20" x14ac:dyDescent="0.35">
      <c r="A801" s="1">
        <v>268360</v>
      </c>
      <c r="B801" s="7">
        <v>1157788.1000000001</v>
      </c>
      <c r="C801" s="2">
        <v>268.76600000000002</v>
      </c>
      <c r="D801" s="2">
        <v>269.42099999999999</v>
      </c>
      <c r="E801" s="2">
        <v>0.65500000000000003</v>
      </c>
      <c r="F801" s="2">
        <v>268.09399999999999</v>
      </c>
      <c r="G801" s="2">
        <v>268.70800000000003</v>
      </c>
      <c r="H801" s="2">
        <v>0.61399999999999999</v>
      </c>
      <c r="I801" s="2">
        <v>267.20699999999999</v>
      </c>
      <c r="J801" s="2">
        <v>266.95100000000002</v>
      </c>
      <c r="K801" s="15">
        <v>1.7569999999999999</v>
      </c>
      <c r="L801" s="2">
        <v>14.379</v>
      </c>
      <c r="N801" s="7">
        <f t="shared" si="113"/>
        <v>359.9000000001397</v>
      </c>
      <c r="O801" s="1">
        <v>0</v>
      </c>
      <c r="P801" s="1" t="str">
        <f t="shared" si="108"/>
        <v>359.90000000014,0</v>
      </c>
      <c r="Q801" s="6" t="s">
        <v>10</v>
      </c>
      <c r="R801" s="1">
        <v>90</v>
      </c>
      <c r="S801" s="1">
        <v>2.5</v>
      </c>
      <c r="T801" s="1" t="str">
        <f t="shared" si="112"/>
        <v>-text 359.90000000014,0 2.5 90 1157788.1</v>
      </c>
    </row>
    <row r="802" spans="1:20" x14ac:dyDescent="0.35">
      <c r="A802" s="1">
        <v>268380</v>
      </c>
      <c r="B802" s="7">
        <v>1157808.1000000001</v>
      </c>
      <c r="C802" s="2">
        <v>268.72199999999998</v>
      </c>
      <c r="D802" s="2">
        <v>269.39699999999999</v>
      </c>
      <c r="E802" s="2">
        <v>0.67500000000000004</v>
      </c>
      <c r="F802" s="2">
        <v>268.05</v>
      </c>
      <c r="G802" s="2">
        <v>268.68400000000003</v>
      </c>
      <c r="H802" s="2">
        <v>0.63400000000000001</v>
      </c>
      <c r="I802" s="2">
        <v>267.25599999999997</v>
      </c>
      <c r="J802" s="2">
        <v>267.089</v>
      </c>
      <c r="K802" s="15">
        <v>1.5940000000000001</v>
      </c>
      <c r="L802" s="2">
        <v>14.430999999999999</v>
      </c>
      <c r="N802" s="7">
        <f t="shared" si="113"/>
        <v>379.9000000001397</v>
      </c>
      <c r="O802" s="1">
        <v>0</v>
      </c>
      <c r="P802" s="1" t="str">
        <f t="shared" si="108"/>
        <v>379.90000000014,0</v>
      </c>
      <c r="Q802" s="6" t="s">
        <v>10</v>
      </c>
      <c r="R802" s="1">
        <v>90</v>
      </c>
      <c r="S802" s="1">
        <v>2.5</v>
      </c>
      <c r="T802" s="1" t="str">
        <f t="shared" si="112"/>
        <v>-text 379.90000000014,0 2.5 90 1157808.1</v>
      </c>
    </row>
    <row r="803" spans="1:20" x14ac:dyDescent="0.35">
      <c r="A803" s="1">
        <v>268400</v>
      </c>
      <c r="B803" s="7">
        <v>1157828.2</v>
      </c>
      <c r="C803" s="2">
        <v>268.66000000000003</v>
      </c>
      <c r="D803" s="2">
        <v>269.31700000000001</v>
      </c>
      <c r="E803" s="2">
        <v>0.65700000000000003</v>
      </c>
      <c r="F803" s="2">
        <v>267.988</v>
      </c>
      <c r="G803" s="2">
        <v>268.60399999999998</v>
      </c>
      <c r="H803" s="2">
        <v>0.61599999999999999</v>
      </c>
      <c r="I803" s="2">
        <v>267.43400000000003</v>
      </c>
      <c r="J803" s="2">
        <v>267.50900000000001</v>
      </c>
      <c r="K803" s="15">
        <v>1.095</v>
      </c>
      <c r="L803" s="2">
        <v>14.542999999999999</v>
      </c>
      <c r="N803" s="7">
        <f t="shared" si="113"/>
        <v>400</v>
      </c>
      <c r="O803" s="1">
        <v>0</v>
      </c>
      <c r="P803" s="1" t="str">
        <f t="shared" si="108"/>
        <v>400,0</v>
      </c>
      <c r="Q803" s="6" t="s">
        <v>10</v>
      </c>
      <c r="R803" s="1">
        <v>90</v>
      </c>
      <c r="S803" s="1">
        <v>2.5</v>
      </c>
      <c r="T803" s="1" t="str">
        <f t="shared" si="112"/>
        <v>-text 400,0 2.5 90 1157828.2</v>
      </c>
    </row>
    <row r="804" spans="1:20" x14ac:dyDescent="0.35">
      <c r="A804" s="1">
        <v>268420</v>
      </c>
      <c r="B804" s="7">
        <v>1157848.2</v>
      </c>
      <c r="C804" s="2">
        <v>268.61200000000002</v>
      </c>
      <c r="D804" s="2">
        <v>269.22500000000002</v>
      </c>
      <c r="E804" s="2">
        <v>0.61299999999999999</v>
      </c>
      <c r="F804" s="2">
        <v>267.94</v>
      </c>
      <c r="G804" s="2">
        <v>268.512</v>
      </c>
      <c r="H804" s="2">
        <v>0.57199999999999995</v>
      </c>
      <c r="I804" s="2">
        <v>267.58</v>
      </c>
      <c r="J804" s="2">
        <v>267.83600000000001</v>
      </c>
      <c r="K804" s="15">
        <v>0.67600000000000005</v>
      </c>
      <c r="L804" s="2">
        <v>14.709</v>
      </c>
      <c r="N804" s="7">
        <f t="shared" si="113"/>
        <v>420</v>
      </c>
      <c r="O804" s="1">
        <v>0</v>
      </c>
      <c r="P804" s="1" t="str">
        <f t="shared" si="108"/>
        <v>420,0</v>
      </c>
      <c r="Q804" s="6" t="s">
        <v>10</v>
      </c>
      <c r="R804" s="1">
        <v>90</v>
      </c>
      <c r="S804" s="1">
        <v>2.5</v>
      </c>
      <c r="T804" s="1" t="str">
        <f t="shared" si="112"/>
        <v>-text 420,0 2.5 90 1157848.2</v>
      </c>
    </row>
    <row r="805" spans="1:20" x14ac:dyDescent="0.35">
      <c r="A805" s="1">
        <v>268440</v>
      </c>
      <c r="B805" s="7">
        <v>1157868.2</v>
      </c>
      <c r="C805" s="2">
        <v>268.56200000000001</v>
      </c>
      <c r="D805" s="2">
        <v>269.13299999999998</v>
      </c>
      <c r="E805" s="2">
        <v>0.57099999999999995</v>
      </c>
      <c r="F805" s="2">
        <v>267.89</v>
      </c>
      <c r="G805" s="2">
        <v>268.42</v>
      </c>
      <c r="H805" s="2">
        <v>0.53</v>
      </c>
      <c r="I805" s="2">
        <v>267.58499999999998</v>
      </c>
      <c r="J805" s="2">
        <v>267.83300000000003</v>
      </c>
      <c r="K805" s="15">
        <v>0.58699999999999997</v>
      </c>
      <c r="L805" s="2">
        <v>14.917</v>
      </c>
      <c r="N805" s="7">
        <f t="shared" si="113"/>
        <v>440</v>
      </c>
      <c r="O805" s="1">
        <v>0</v>
      </c>
      <c r="P805" s="1" t="str">
        <f t="shared" si="108"/>
        <v>440,0</v>
      </c>
      <c r="Q805" s="6" t="s">
        <v>10</v>
      </c>
      <c r="R805" s="1">
        <v>90</v>
      </c>
      <c r="S805" s="1">
        <v>2.5</v>
      </c>
      <c r="T805" s="1" t="str">
        <f t="shared" si="112"/>
        <v>-text 440,0 2.5 90 1157868.2</v>
      </c>
    </row>
    <row r="806" spans="1:20" x14ac:dyDescent="0.35">
      <c r="A806" s="1">
        <v>268460</v>
      </c>
      <c r="B806" s="7">
        <v>1157888.2</v>
      </c>
      <c r="C806" s="2">
        <v>268.51900000000001</v>
      </c>
      <c r="D806" s="2">
        <v>269.041</v>
      </c>
      <c r="E806" s="2">
        <v>0.52200000000000002</v>
      </c>
      <c r="F806" s="2">
        <v>267.84699999999998</v>
      </c>
      <c r="G806" s="2">
        <v>268.32799999999997</v>
      </c>
      <c r="H806" s="2">
        <v>0.48099999999999998</v>
      </c>
      <c r="I806" s="2">
        <v>267.10199999999998</v>
      </c>
      <c r="J806" s="2">
        <v>267.31599999999997</v>
      </c>
      <c r="K806" s="15">
        <v>1.0109999999999999</v>
      </c>
      <c r="L806" s="2">
        <v>15.132999999999999</v>
      </c>
      <c r="N806" s="7">
        <f t="shared" si="113"/>
        <v>460</v>
      </c>
      <c r="O806" s="1">
        <v>0</v>
      </c>
      <c r="P806" s="1" t="str">
        <f t="shared" si="108"/>
        <v>460,0</v>
      </c>
      <c r="Q806" s="6" t="s">
        <v>10</v>
      </c>
      <c r="R806" s="1">
        <v>90</v>
      </c>
      <c r="S806" s="1">
        <v>2.5</v>
      </c>
      <c r="T806" s="1" t="str">
        <f t="shared" si="112"/>
        <v>-text 460,0 2.5 90 1157888.2</v>
      </c>
    </row>
    <row r="807" spans="1:20" x14ac:dyDescent="0.35">
      <c r="A807" s="1">
        <v>268480</v>
      </c>
      <c r="B807" s="7">
        <v>1157908.2</v>
      </c>
      <c r="C807" s="2">
        <v>268.48700000000002</v>
      </c>
      <c r="D807" s="2">
        <v>268.94900000000001</v>
      </c>
      <c r="E807" s="2">
        <v>0.46100000000000002</v>
      </c>
      <c r="F807" s="2">
        <v>267.815</v>
      </c>
      <c r="G807" s="2">
        <v>268.23599999999999</v>
      </c>
      <c r="H807" s="2">
        <v>0.42</v>
      </c>
      <c r="I807" s="2">
        <v>266.87900000000002</v>
      </c>
      <c r="J807" s="2">
        <v>267.07400000000001</v>
      </c>
      <c r="K807" s="15">
        <v>1.1619999999999999</v>
      </c>
      <c r="L807" s="2">
        <v>15.352</v>
      </c>
      <c r="N807" s="7">
        <f t="shared" si="113"/>
        <v>480</v>
      </c>
      <c r="O807" s="1">
        <v>0</v>
      </c>
      <c r="P807" s="1" t="str">
        <f t="shared" si="108"/>
        <v>480,0</v>
      </c>
      <c r="Q807" s="6" t="s">
        <v>10</v>
      </c>
      <c r="R807" s="1">
        <v>90</v>
      </c>
      <c r="S807" s="1">
        <v>2.5</v>
      </c>
      <c r="T807" s="1" t="str">
        <f t="shared" si="112"/>
        <v>-text 480,0 2.5 90 1157908.2</v>
      </c>
    </row>
    <row r="808" spans="1:20" x14ac:dyDescent="0.35">
      <c r="A808" s="1">
        <v>268500</v>
      </c>
      <c r="B808" s="7">
        <v>1157928.2</v>
      </c>
      <c r="C808" s="2">
        <v>268.44400000000002</v>
      </c>
      <c r="D808" s="2">
        <v>268.85599999999999</v>
      </c>
      <c r="E808" s="2">
        <v>0.41199999999999998</v>
      </c>
      <c r="F808" s="2">
        <v>267.77199999999999</v>
      </c>
      <c r="G808" s="2">
        <v>268.14299999999997</v>
      </c>
      <c r="H808" s="2">
        <v>0.371</v>
      </c>
      <c r="I808" s="2">
        <v>266.74099999999999</v>
      </c>
      <c r="J808" s="2">
        <v>267.05</v>
      </c>
      <c r="K808" s="15">
        <v>1.093</v>
      </c>
      <c r="L808" s="2">
        <v>15.571</v>
      </c>
      <c r="N808" s="7">
        <f>N805+(B808-B805)</f>
        <v>500</v>
      </c>
      <c r="O808" s="1">
        <v>0</v>
      </c>
      <c r="P808" s="1" t="str">
        <f t="shared" ref="P808" si="114">CONCATENATE(N808,",",O808)</f>
        <v>500,0</v>
      </c>
      <c r="Q808" s="6" t="s">
        <v>10</v>
      </c>
      <c r="R808" s="1">
        <v>90</v>
      </c>
      <c r="S808" s="1">
        <v>2.5</v>
      </c>
      <c r="T808" s="1" t="str">
        <f t="shared" si="112"/>
        <v>-text 500,0 2.5 90 1157928.2</v>
      </c>
    </row>
    <row r="809" spans="1:20" s="10" customFormat="1" x14ac:dyDescent="0.35">
      <c r="B809" s="11"/>
      <c r="C809" s="9"/>
      <c r="D809" s="9"/>
      <c r="E809" s="9"/>
      <c r="F809" s="9"/>
      <c r="G809" s="9"/>
      <c r="H809" s="9"/>
      <c r="I809" s="9"/>
      <c r="J809" s="9"/>
      <c r="K809" s="16"/>
      <c r="L809" s="9"/>
      <c r="M809" s="9"/>
      <c r="N809" s="11"/>
      <c r="Q809" s="12"/>
    </row>
    <row r="810" spans="1:20" x14ac:dyDescent="0.35">
      <c r="A810" s="1">
        <v>268500</v>
      </c>
      <c r="B810" s="7">
        <v>1157928.2</v>
      </c>
      <c r="C810" s="2">
        <v>268.44400000000002</v>
      </c>
      <c r="D810" s="2">
        <v>268.85599999999999</v>
      </c>
      <c r="E810" s="2">
        <v>0.41199999999999998</v>
      </c>
      <c r="F810" s="2">
        <v>267.77199999999999</v>
      </c>
      <c r="G810" s="2">
        <v>268.14299999999997</v>
      </c>
      <c r="H810" s="2">
        <v>0.371</v>
      </c>
      <c r="I810" s="2">
        <v>266.74099999999999</v>
      </c>
      <c r="J810" s="2">
        <v>267.05</v>
      </c>
      <c r="K810" s="15">
        <v>1.093</v>
      </c>
      <c r="L810" s="2">
        <v>15.571</v>
      </c>
      <c r="N810" s="7">
        <v>0</v>
      </c>
      <c r="O810" s="1">
        <v>0</v>
      </c>
      <c r="P810" s="1" t="str">
        <f t="shared" si="108"/>
        <v>0,0</v>
      </c>
      <c r="Q810" s="6" t="s">
        <v>10</v>
      </c>
      <c r="R810" s="1">
        <v>90</v>
      </c>
      <c r="S810" s="1">
        <v>2.5</v>
      </c>
      <c r="T810" s="1" t="str">
        <f t="shared" ref="T810:T836" si="115">$Q810&amp;" "&amp;$P810&amp;" "&amp;$S810&amp;" "&amp;$R810&amp;" "&amp;$B810</f>
        <v>-text 0,0 2.5 90 1157928.2</v>
      </c>
    </row>
    <row r="811" spans="1:20" x14ac:dyDescent="0.35">
      <c r="A811" s="1">
        <v>268520</v>
      </c>
      <c r="B811" s="7">
        <v>1157948.2</v>
      </c>
      <c r="C811" s="2">
        <v>268.39100000000002</v>
      </c>
      <c r="D811" s="2">
        <v>268.76400000000001</v>
      </c>
      <c r="E811" s="2">
        <v>0.373</v>
      </c>
      <c r="F811" s="2">
        <v>267.71899999999999</v>
      </c>
      <c r="G811" s="2">
        <v>268.05099999999999</v>
      </c>
      <c r="H811" s="2">
        <v>0.33200000000000002</v>
      </c>
      <c r="I811" s="2">
        <v>266.46300000000002</v>
      </c>
      <c r="J811" s="2">
        <v>267.10899999999998</v>
      </c>
      <c r="K811" s="15">
        <v>0.94199999999999995</v>
      </c>
      <c r="L811" s="2">
        <v>15.782999999999999</v>
      </c>
      <c r="N811" s="7">
        <f t="shared" ref="N811:N836" si="116">N810+(B811-B810)</f>
        <v>20</v>
      </c>
      <c r="O811" s="1">
        <v>0</v>
      </c>
      <c r="P811" s="1" t="str">
        <f t="shared" si="108"/>
        <v>20,0</v>
      </c>
      <c r="Q811" s="6" t="s">
        <v>10</v>
      </c>
      <c r="R811" s="1">
        <v>90</v>
      </c>
      <c r="S811" s="1">
        <v>2.5</v>
      </c>
      <c r="T811" s="1" t="str">
        <f t="shared" si="115"/>
        <v>-text 20,0 2.5 90 1157948.2</v>
      </c>
    </row>
    <row r="812" spans="1:20" x14ac:dyDescent="0.35">
      <c r="A812" s="1">
        <v>268540</v>
      </c>
      <c r="B812" s="7">
        <v>1157968.2</v>
      </c>
      <c r="C812" s="2">
        <v>268.33</v>
      </c>
      <c r="D812" s="2">
        <v>268.67200000000003</v>
      </c>
      <c r="E812" s="2">
        <v>0.34200000000000003</v>
      </c>
      <c r="F812" s="2">
        <v>267.65800000000002</v>
      </c>
      <c r="G812" s="2">
        <v>267.959</v>
      </c>
      <c r="H812" s="2">
        <v>0.30099999999999999</v>
      </c>
      <c r="I812" s="2">
        <v>266.45299999999997</v>
      </c>
      <c r="J812" s="2">
        <v>266.86700000000002</v>
      </c>
      <c r="K812" s="15">
        <v>1.0920000000000001</v>
      </c>
      <c r="L812" s="2">
        <v>15.951000000000001</v>
      </c>
      <c r="N812" s="7">
        <f t="shared" si="116"/>
        <v>40</v>
      </c>
      <c r="O812" s="1">
        <v>0</v>
      </c>
      <c r="P812" s="1" t="str">
        <f t="shared" ref="P812:P848" si="117">CONCATENATE(N812,",",O812)</f>
        <v>40,0</v>
      </c>
      <c r="Q812" s="6" t="s">
        <v>10</v>
      </c>
      <c r="R812" s="1">
        <v>90</v>
      </c>
      <c r="S812" s="1">
        <v>2.5</v>
      </c>
      <c r="T812" s="1" t="str">
        <f t="shared" si="115"/>
        <v>-text 40,0 2.5 90 1157968.2</v>
      </c>
    </row>
    <row r="813" spans="1:20" x14ac:dyDescent="0.35">
      <c r="A813" s="1">
        <v>268560</v>
      </c>
      <c r="B813" s="7">
        <v>1157988.2</v>
      </c>
      <c r="C813" s="2">
        <v>268.26499999999999</v>
      </c>
      <c r="D813" s="2">
        <v>268.58</v>
      </c>
      <c r="E813" s="2">
        <v>0.315</v>
      </c>
      <c r="F813" s="2">
        <v>267.59300000000002</v>
      </c>
      <c r="G813" s="2">
        <v>267.86700000000002</v>
      </c>
      <c r="H813" s="2">
        <v>0.27400000000000002</v>
      </c>
      <c r="I813" s="2">
        <v>267.30900000000003</v>
      </c>
      <c r="J813" s="2">
        <v>267.58</v>
      </c>
      <c r="K813" s="15">
        <v>0.28699999999999998</v>
      </c>
      <c r="L813" s="2">
        <v>16.061</v>
      </c>
      <c r="N813" s="7">
        <f t="shared" si="116"/>
        <v>60</v>
      </c>
      <c r="O813" s="1">
        <v>0</v>
      </c>
      <c r="P813" s="1" t="str">
        <f t="shared" si="117"/>
        <v>60,0</v>
      </c>
      <c r="Q813" s="6" t="s">
        <v>10</v>
      </c>
      <c r="R813" s="1">
        <v>90</v>
      </c>
      <c r="S813" s="1">
        <v>2.5</v>
      </c>
      <c r="T813" s="1" t="str">
        <f t="shared" si="115"/>
        <v>-text 60,0 2.5 90 1157988.2</v>
      </c>
    </row>
    <row r="814" spans="1:20" x14ac:dyDescent="0.35">
      <c r="A814" s="1">
        <v>268580</v>
      </c>
      <c r="B814" s="7">
        <v>1158008.1000000001</v>
      </c>
      <c r="C814" s="2">
        <v>268.209</v>
      </c>
      <c r="D814" s="2">
        <v>268.488</v>
      </c>
      <c r="E814" s="2">
        <v>0.27900000000000003</v>
      </c>
      <c r="F814" s="2">
        <v>267.53699999999998</v>
      </c>
      <c r="G814" s="2">
        <v>267.77499999999998</v>
      </c>
      <c r="H814" s="2">
        <v>0.23799999999999999</v>
      </c>
      <c r="I814" s="2">
        <v>267.40800000000002</v>
      </c>
      <c r="J814" s="2">
        <v>267.35500000000002</v>
      </c>
      <c r="K814" s="15">
        <v>0.42</v>
      </c>
      <c r="L814" s="2">
        <v>16.103999999999999</v>
      </c>
      <c r="N814" s="7">
        <f t="shared" si="116"/>
        <v>79.900000000139698</v>
      </c>
      <c r="O814" s="1">
        <v>0</v>
      </c>
      <c r="P814" s="1" t="str">
        <f t="shared" si="117"/>
        <v>79.9000000001397,0</v>
      </c>
      <c r="Q814" s="6" t="s">
        <v>10</v>
      </c>
      <c r="R814" s="1">
        <v>90</v>
      </c>
      <c r="S814" s="1">
        <v>2.5</v>
      </c>
      <c r="T814" s="1" t="str">
        <f t="shared" si="115"/>
        <v>-text 79.9000000001397,0 2.5 90 1158008.1</v>
      </c>
    </row>
    <row r="815" spans="1:20" x14ac:dyDescent="0.35">
      <c r="A815" s="1">
        <v>268600</v>
      </c>
      <c r="B815" s="7">
        <v>1158028.2</v>
      </c>
      <c r="C815" s="2">
        <v>268.16800000000001</v>
      </c>
      <c r="D815" s="2">
        <v>268.39600000000002</v>
      </c>
      <c r="E815" s="2">
        <v>0.22800000000000001</v>
      </c>
      <c r="F815" s="2">
        <v>267.49599999999998</v>
      </c>
      <c r="G815" s="2">
        <v>267.68299999999999</v>
      </c>
      <c r="H815" s="2">
        <v>0.187</v>
      </c>
      <c r="I815" s="2">
        <v>267.33800000000002</v>
      </c>
      <c r="J815" s="2">
        <v>267.404</v>
      </c>
      <c r="K815" s="15">
        <v>0.27800000000000002</v>
      </c>
      <c r="L815" s="2">
        <v>16.114999999999998</v>
      </c>
      <c r="N815" s="7">
        <f t="shared" si="116"/>
        <v>100</v>
      </c>
      <c r="O815" s="1">
        <v>0</v>
      </c>
      <c r="P815" s="1" t="str">
        <f t="shared" si="117"/>
        <v>100,0</v>
      </c>
      <c r="Q815" s="6" t="s">
        <v>10</v>
      </c>
      <c r="R815" s="1">
        <v>90</v>
      </c>
      <c r="S815" s="1">
        <v>2.5</v>
      </c>
      <c r="T815" s="1" t="str">
        <f t="shared" si="115"/>
        <v>-text 100,0 2.5 90 1158028.2</v>
      </c>
    </row>
    <row r="816" spans="1:20" x14ac:dyDescent="0.35">
      <c r="A816" s="1">
        <v>268620</v>
      </c>
      <c r="B816" s="7">
        <v>1158048.2</v>
      </c>
      <c r="C816" s="2">
        <v>268.14299999999997</v>
      </c>
      <c r="D816" s="2">
        <v>268.30399999999997</v>
      </c>
      <c r="E816" s="2">
        <v>0.16</v>
      </c>
      <c r="F816" s="2">
        <v>267.471</v>
      </c>
      <c r="G816" s="2">
        <v>267.59100000000001</v>
      </c>
      <c r="H816" s="2">
        <v>0.11899999999999999</v>
      </c>
      <c r="I816" s="2">
        <v>267.5</v>
      </c>
      <c r="J816" s="2">
        <v>267.553</v>
      </c>
      <c r="K816" s="15">
        <v>3.7999999999999999E-2</v>
      </c>
      <c r="L816" s="2">
        <v>16.123000000000001</v>
      </c>
      <c r="N816" s="7">
        <f t="shared" si="116"/>
        <v>120</v>
      </c>
      <c r="O816" s="1">
        <v>0</v>
      </c>
      <c r="P816" s="1" t="str">
        <f t="shared" si="117"/>
        <v>120,0</v>
      </c>
      <c r="Q816" s="6" t="s">
        <v>10</v>
      </c>
      <c r="R816" s="1">
        <v>90</v>
      </c>
      <c r="S816" s="1">
        <v>2.5</v>
      </c>
      <c r="T816" s="1" t="str">
        <f t="shared" si="115"/>
        <v>-text 120,0 2.5 90 1158048.2</v>
      </c>
    </row>
    <row r="817" spans="1:20" x14ac:dyDescent="0.35">
      <c r="A817" s="1">
        <v>268640</v>
      </c>
      <c r="B817" s="7">
        <v>1158068.2</v>
      </c>
      <c r="C817" s="2">
        <v>268.11399999999998</v>
      </c>
      <c r="D817" s="2">
        <v>268.21100000000001</v>
      </c>
      <c r="E817" s="2">
        <v>9.7000000000000003E-2</v>
      </c>
      <c r="F817" s="2">
        <v>267.44200000000001</v>
      </c>
      <c r="G817" s="2">
        <v>267.49799999999999</v>
      </c>
      <c r="H817" s="2">
        <v>5.6000000000000001E-2</v>
      </c>
      <c r="I817" s="2">
        <v>267.31</v>
      </c>
      <c r="J817" s="2">
        <v>267.20299999999997</v>
      </c>
      <c r="K817" s="15">
        <v>0.29499999999999998</v>
      </c>
      <c r="L817" s="2">
        <v>16.132999999999999</v>
      </c>
      <c r="N817" s="7">
        <f t="shared" si="116"/>
        <v>140</v>
      </c>
      <c r="O817" s="1">
        <v>0</v>
      </c>
      <c r="P817" s="1" t="str">
        <f t="shared" si="117"/>
        <v>140,0</v>
      </c>
      <c r="Q817" s="6" t="s">
        <v>10</v>
      </c>
      <c r="R817" s="1">
        <v>90</v>
      </c>
      <c r="S817" s="1">
        <v>2.5</v>
      </c>
      <c r="T817" s="1" t="str">
        <f t="shared" si="115"/>
        <v>-text 140,0 2.5 90 1158068.2</v>
      </c>
    </row>
    <row r="818" spans="1:20" x14ac:dyDescent="0.35">
      <c r="A818" s="1">
        <v>268660</v>
      </c>
      <c r="B818" s="7">
        <v>1158088.1000000001</v>
      </c>
      <c r="C818" s="2">
        <v>268.09500000000003</v>
      </c>
      <c r="D818" s="2">
        <v>268.11900000000003</v>
      </c>
      <c r="E818" s="2">
        <v>2.4E-2</v>
      </c>
      <c r="F818" s="2">
        <v>267.423</v>
      </c>
      <c r="G818" s="2">
        <v>267.40600000000001</v>
      </c>
      <c r="H818" s="2">
        <v>-1.7000000000000001E-2</v>
      </c>
      <c r="I818" s="2">
        <v>267.35700000000003</v>
      </c>
      <c r="J818" s="2">
        <v>267.37</v>
      </c>
      <c r="K818" s="15">
        <v>3.6999999999999998E-2</v>
      </c>
      <c r="L818" s="2">
        <v>16.129000000000001</v>
      </c>
      <c r="N818" s="7">
        <f t="shared" si="116"/>
        <v>159.9000000001397</v>
      </c>
      <c r="O818" s="1">
        <v>0</v>
      </c>
      <c r="P818" s="1" t="str">
        <f t="shared" si="117"/>
        <v>159.90000000014,0</v>
      </c>
      <c r="Q818" s="6" t="s">
        <v>10</v>
      </c>
      <c r="R818" s="1">
        <v>90</v>
      </c>
      <c r="S818" s="1">
        <v>2.5</v>
      </c>
      <c r="T818" s="1" t="str">
        <f t="shared" si="115"/>
        <v>-text 159.90000000014,0 2.5 90 1158088.1</v>
      </c>
    </row>
    <row r="819" spans="1:20" x14ac:dyDescent="0.35">
      <c r="A819" s="1">
        <v>268680</v>
      </c>
      <c r="B819" s="7">
        <v>1158108.1000000001</v>
      </c>
      <c r="C819" s="2">
        <v>268.08199999999999</v>
      </c>
      <c r="D819" s="2">
        <v>268.02699999999999</v>
      </c>
      <c r="E819" s="2">
        <v>-5.5E-2</v>
      </c>
      <c r="F819" s="2">
        <v>267.41000000000003</v>
      </c>
      <c r="G819" s="2">
        <v>267.31400000000002</v>
      </c>
      <c r="H819" s="2">
        <v>-9.6000000000000002E-2</v>
      </c>
      <c r="I819" s="2">
        <v>267.36500000000001</v>
      </c>
      <c r="J819" s="2">
        <v>267.43</v>
      </c>
      <c r="K819" s="2">
        <v>-0.11600000000000001</v>
      </c>
      <c r="L819" s="2">
        <v>16.116</v>
      </c>
      <c r="N819" s="7">
        <f t="shared" si="116"/>
        <v>179.9000000001397</v>
      </c>
      <c r="O819" s="1">
        <v>0</v>
      </c>
      <c r="P819" s="1" t="str">
        <f t="shared" si="117"/>
        <v>179.90000000014,0</v>
      </c>
      <c r="Q819" s="6" t="s">
        <v>10</v>
      </c>
      <c r="R819" s="1">
        <v>90</v>
      </c>
      <c r="S819" s="1">
        <v>2.5</v>
      </c>
      <c r="T819" s="1" t="str">
        <f t="shared" si="115"/>
        <v>-text 179.90000000014,0 2.5 90 1158108.1</v>
      </c>
    </row>
    <row r="820" spans="1:20" x14ac:dyDescent="0.35">
      <c r="A820" s="1">
        <v>268700</v>
      </c>
      <c r="B820" s="7">
        <v>1158128.1000000001</v>
      </c>
      <c r="C820" s="2">
        <v>268.05399999999997</v>
      </c>
      <c r="D820" s="2">
        <v>267.99</v>
      </c>
      <c r="E820" s="2">
        <v>-6.4000000000000001E-2</v>
      </c>
      <c r="F820" s="2">
        <v>267.38200000000001</v>
      </c>
      <c r="G820" s="2">
        <v>267.27699999999999</v>
      </c>
      <c r="H820" s="2">
        <v>-0.105</v>
      </c>
      <c r="I820" s="2">
        <v>267.39299999999997</v>
      </c>
      <c r="J820" s="2">
        <v>267.37799999999999</v>
      </c>
      <c r="K820" s="2">
        <v>-0.10100000000000001</v>
      </c>
      <c r="L820" s="2">
        <v>16.105</v>
      </c>
      <c r="N820" s="7">
        <f t="shared" si="116"/>
        <v>199.9000000001397</v>
      </c>
      <c r="O820" s="1">
        <v>0</v>
      </c>
      <c r="P820" s="1" t="str">
        <f t="shared" si="117"/>
        <v>199.90000000014,0</v>
      </c>
      <c r="Q820" s="6" t="s">
        <v>10</v>
      </c>
      <c r="R820" s="1">
        <v>90</v>
      </c>
      <c r="S820" s="1">
        <v>2.5</v>
      </c>
      <c r="T820" s="1" t="str">
        <f t="shared" si="115"/>
        <v>-text 199.90000000014,0 2.5 90 1158128.1</v>
      </c>
    </row>
    <row r="821" spans="1:20" x14ac:dyDescent="0.35">
      <c r="A821" s="1">
        <v>268720</v>
      </c>
      <c r="B821" s="7">
        <v>1158148.1000000001</v>
      </c>
      <c r="C821" s="2">
        <v>268.02100000000002</v>
      </c>
      <c r="D821" s="2">
        <v>267.99599999999998</v>
      </c>
      <c r="E821" s="2">
        <v>-2.5000000000000001E-2</v>
      </c>
      <c r="F821" s="2">
        <v>267.34899999999999</v>
      </c>
      <c r="G821" s="2">
        <v>267.28300000000002</v>
      </c>
      <c r="H821" s="2">
        <v>-6.6000000000000003E-2</v>
      </c>
      <c r="I821" s="2">
        <v>267.32400000000001</v>
      </c>
      <c r="J821" s="2">
        <v>267.327</v>
      </c>
      <c r="K821" s="2">
        <v>-4.4999999999999998E-2</v>
      </c>
      <c r="L821" s="2">
        <v>16.094999999999999</v>
      </c>
      <c r="N821" s="7">
        <f t="shared" si="116"/>
        <v>219.9000000001397</v>
      </c>
      <c r="O821" s="1">
        <v>0</v>
      </c>
      <c r="P821" s="1" t="str">
        <f t="shared" si="117"/>
        <v>219.90000000014,0</v>
      </c>
      <c r="Q821" s="6" t="s">
        <v>10</v>
      </c>
      <c r="R821" s="1">
        <v>90</v>
      </c>
      <c r="S821" s="1">
        <v>2.5</v>
      </c>
      <c r="T821" s="1" t="str">
        <f t="shared" si="115"/>
        <v>-text 219.90000000014,0 2.5 90 1158148.1</v>
      </c>
    </row>
    <row r="822" spans="1:20" x14ac:dyDescent="0.35">
      <c r="A822" s="1">
        <v>268740</v>
      </c>
      <c r="B822" s="7">
        <v>1158168.2</v>
      </c>
      <c r="C822" s="2">
        <v>267.98500000000001</v>
      </c>
      <c r="D822" s="2">
        <v>268.00099999999998</v>
      </c>
      <c r="E822" s="2">
        <v>1.6E-2</v>
      </c>
      <c r="F822" s="2">
        <v>267.31299999999999</v>
      </c>
      <c r="G822" s="2">
        <v>267.28800000000001</v>
      </c>
      <c r="H822" s="2">
        <v>-2.5000000000000001E-2</v>
      </c>
      <c r="I822" s="2">
        <v>267.31200000000001</v>
      </c>
      <c r="J822" s="2">
        <v>267.37900000000002</v>
      </c>
      <c r="K822" s="2">
        <v>-9.0999999999999998E-2</v>
      </c>
      <c r="L822" s="2">
        <v>16.091999999999999</v>
      </c>
      <c r="N822" s="7">
        <f t="shared" si="116"/>
        <v>240</v>
      </c>
      <c r="O822" s="1">
        <v>0</v>
      </c>
      <c r="P822" s="1" t="str">
        <f t="shared" si="117"/>
        <v>240,0</v>
      </c>
      <c r="Q822" s="6" t="s">
        <v>10</v>
      </c>
      <c r="R822" s="1">
        <v>90</v>
      </c>
      <c r="S822" s="1">
        <v>2.5</v>
      </c>
      <c r="T822" s="1" t="str">
        <f t="shared" si="115"/>
        <v>-text 240,0 2.5 90 1158168.2</v>
      </c>
    </row>
    <row r="823" spans="1:20" x14ac:dyDescent="0.35">
      <c r="A823" s="1">
        <v>268760</v>
      </c>
      <c r="B823" s="7">
        <v>1158188.2</v>
      </c>
      <c r="C823" s="2">
        <v>267.94499999999999</v>
      </c>
      <c r="D823" s="2">
        <v>268.00700000000001</v>
      </c>
      <c r="E823" s="2">
        <v>6.2E-2</v>
      </c>
      <c r="F823" s="2">
        <v>267.27300000000002</v>
      </c>
      <c r="G823" s="2">
        <v>267.29399999999998</v>
      </c>
      <c r="H823" s="2">
        <v>2.1000000000000001E-2</v>
      </c>
      <c r="I823" s="2">
        <v>267.673</v>
      </c>
      <c r="J823" s="2">
        <v>267.79199999999997</v>
      </c>
      <c r="K823" s="2">
        <v>-0.498</v>
      </c>
      <c r="L823" s="2">
        <v>16.102</v>
      </c>
      <c r="N823" s="7">
        <f t="shared" si="116"/>
        <v>260</v>
      </c>
      <c r="O823" s="1">
        <v>0</v>
      </c>
      <c r="P823" s="1" t="str">
        <f t="shared" si="117"/>
        <v>260,0</v>
      </c>
      <c r="Q823" s="6" t="s">
        <v>10</v>
      </c>
      <c r="R823" s="1">
        <v>90</v>
      </c>
      <c r="S823" s="1">
        <v>2.5</v>
      </c>
      <c r="T823" s="1" t="str">
        <f t="shared" si="115"/>
        <v>-text 260,0 2.5 90 1158188.2</v>
      </c>
    </row>
    <row r="824" spans="1:20" x14ac:dyDescent="0.35">
      <c r="A824" s="1">
        <v>268780</v>
      </c>
      <c r="B824" s="7">
        <v>1158208.1000000001</v>
      </c>
      <c r="C824" s="2">
        <v>267.96499999999997</v>
      </c>
      <c r="D824" s="2">
        <v>268.012</v>
      </c>
      <c r="E824" s="2">
        <v>4.7E-2</v>
      </c>
      <c r="F824" s="2">
        <v>267.29300000000001</v>
      </c>
      <c r="G824" s="2">
        <v>267.29899999999998</v>
      </c>
      <c r="H824" s="2">
        <v>6.0000000000000001E-3</v>
      </c>
      <c r="I824" s="2">
        <v>267.77300000000002</v>
      </c>
      <c r="J824" s="2">
        <v>267.79199999999997</v>
      </c>
      <c r="K824" s="2">
        <v>-0.49299999999999999</v>
      </c>
      <c r="L824" s="2">
        <v>16.065999999999999</v>
      </c>
      <c r="N824" s="7">
        <f t="shared" si="116"/>
        <v>279.9000000001397</v>
      </c>
      <c r="O824" s="1">
        <v>0</v>
      </c>
      <c r="P824" s="1" t="str">
        <f t="shared" si="117"/>
        <v>279.90000000014,0</v>
      </c>
      <c r="Q824" s="6" t="s">
        <v>10</v>
      </c>
      <c r="R824" s="1">
        <v>90</v>
      </c>
      <c r="S824" s="1">
        <v>2.5</v>
      </c>
      <c r="T824" s="1" t="str">
        <f t="shared" si="115"/>
        <v>-text 279.90000000014,0 2.5 90 1158208.1</v>
      </c>
    </row>
    <row r="825" spans="1:20" x14ac:dyDescent="0.35">
      <c r="A825" s="1">
        <v>268800</v>
      </c>
      <c r="B825" s="7">
        <v>1158228.1000000001</v>
      </c>
      <c r="C825" s="2">
        <v>268.05700000000002</v>
      </c>
      <c r="D825" s="2">
        <v>268.01799999999997</v>
      </c>
      <c r="E825" s="2">
        <v>-3.9E-2</v>
      </c>
      <c r="F825" s="2">
        <v>267.38499999999999</v>
      </c>
      <c r="G825" s="2">
        <v>267.30500000000001</v>
      </c>
      <c r="H825" s="2">
        <v>-0.08</v>
      </c>
      <c r="I825" s="2">
        <v>267.62400000000002</v>
      </c>
      <c r="J825" s="2">
        <v>267.60000000000002</v>
      </c>
      <c r="K825" s="2">
        <v>-0.29499999999999998</v>
      </c>
      <c r="L825" s="2">
        <v>15.919</v>
      </c>
      <c r="N825" s="7">
        <f t="shared" si="116"/>
        <v>299.9000000001397</v>
      </c>
      <c r="O825" s="1">
        <v>0</v>
      </c>
      <c r="P825" s="1" t="str">
        <f t="shared" si="117"/>
        <v>299.90000000014,0</v>
      </c>
      <c r="Q825" s="6" t="s">
        <v>10</v>
      </c>
      <c r="R825" s="1">
        <v>90</v>
      </c>
      <c r="S825" s="1">
        <v>2.5</v>
      </c>
      <c r="T825" s="1" t="str">
        <f t="shared" si="115"/>
        <v>-text 299.90000000014,0 2.5 90 1158228.1</v>
      </c>
    </row>
    <row r="826" spans="1:20" x14ac:dyDescent="0.35">
      <c r="A826" s="1">
        <v>268820</v>
      </c>
      <c r="B826" s="7">
        <v>1158248.2</v>
      </c>
      <c r="C826" s="2">
        <v>268.113</v>
      </c>
      <c r="D826" s="2">
        <v>268.02300000000002</v>
      </c>
      <c r="E826" s="2">
        <v>-8.8999999999999996E-2</v>
      </c>
      <c r="F826" s="2">
        <v>267.44099999999997</v>
      </c>
      <c r="G826" s="2">
        <v>267.31</v>
      </c>
      <c r="H826" s="2">
        <v>-0.13</v>
      </c>
      <c r="I826" s="2">
        <v>267.65600000000001</v>
      </c>
      <c r="J826" s="2">
        <v>267.66800000000001</v>
      </c>
      <c r="K826" s="2">
        <v>-0.35799999999999998</v>
      </c>
      <c r="L826" s="2">
        <v>15.696999999999999</v>
      </c>
      <c r="N826" s="7">
        <f t="shared" si="116"/>
        <v>320</v>
      </c>
      <c r="O826" s="1">
        <v>0</v>
      </c>
      <c r="P826" s="1" t="str">
        <f t="shared" si="117"/>
        <v>320,0</v>
      </c>
      <c r="Q826" s="6" t="s">
        <v>10</v>
      </c>
      <c r="R826" s="1">
        <v>90</v>
      </c>
      <c r="S826" s="1">
        <v>2.5</v>
      </c>
      <c r="T826" s="1" t="str">
        <f t="shared" si="115"/>
        <v>-text 320,0 2.5 90 1158248.2</v>
      </c>
    </row>
    <row r="827" spans="1:20" x14ac:dyDescent="0.35">
      <c r="A827" s="1">
        <v>268840</v>
      </c>
      <c r="B827" s="7">
        <v>1158268.2</v>
      </c>
      <c r="C827" s="2">
        <v>268.11500000000001</v>
      </c>
      <c r="D827" s="2">
        <v>268.029</v>
      </c>
      <c r="E827" s="2">
        <v>-8.5999999999999993E-2</v>
      </c>
      <c r="F827" s="2">
        <v>267.44299999999998</v>
      </c>
      <c r="G827" s="2">
        <v>267.31599999999997</v>
      </c>
      <c r="H827" s="2">
        <v>-0.127</v>
      </c>
      <c r="I827" s="2">
        <v>267.54700000000003</v>
      </c>
      <c r="J827" s="2">
        <v>267.56900000000002</v>
      </c>
      <c r="K827" s="2">
        <v>-0.253</v>
      </c>
      <c r="L827" s="2">
        <v>15.407999999999999</v>
      </c>
      <c r="N827" s="7">
        <f t="shared" si="116"/>
        <v>340</v>
      </c>
      <c r="O827" s="1">
        <v>0</v>
      </c>
      <c r="P827" s="1" t="str">
        <f t="shared" si="117"/>
        <v>340,0</v>
      </c>
      <c r="Q827" s="6" t="s">
        <v>10</v>
      </c>
      <c r="R827" s="1">
        <v>90</v>
      </c>
      <c r="S827" s="1">
        <v>2.5</v>
      </c>
      <c r="T827" s="1" t="str">
        <f t="shared" si="115"/>
        <v>-text 340,0 2.5 90 1158268.2</v>
      </c>
    </row>
    <row r="828" spans="1:20" x14ac:dyDescent="0.35">
      <c r="A828" s="1">
        <v>268860</v>
      </c>
      <c r="B828" s="7">
        <v>1158288.2</v>
      </c>
      <c r="C828" s="2">
        <v>268.12299999999999</v>
      </c>
      <c r="D828" s="2">
        <v>268.03399999999999</v>
      </c>
      <c r="E828" s="2">
        <v>-8.7999999999999995E-2</v>
      </c>
      <c r="F828" s="2">
        <v>267.45100000000002</v>
      </c>
      <c r="G828" s="2">
        <v>267.32100000000003</v>
      </c>
      <c r="H828" s="2">
        <v>-0.129</v>
      </c>
      <c r="I828" s="2">
        <v>267.60500000000002</v>
      </c>
      <c r="J828" s="2">
        <v>267.64400000000001</v>
      </c>
      <c r="K828" s="2">
        <v>-0.32200000000000001</v>
      </c>
      <c r="L828" s="2">
        <v>15.057</v>
      </c>
      <c r="N828" s="7">
        <f t="shared" si="116"/>
        <v>360</v>
      </c>
      <c r="O828" s="1">
        <v>0</v>
      </c>
      <c r="P828" s="1" t="str">
        <f t="shared" si="117"/>
        <v>360,0</v>
      </c>
      <c r="Q828" s="6" t="s">
        <v>10</v>
      </c>
      <c r="R828" s="1">
        <v>90</v>
      </c>
      <c r="S828" s="1">
        <v>2.5</v>
      </c>
      <c r="T828" s="1" t="str">
        <f t="shared" si="115"/>
        <v>-text 360,0 2.5 90 1158288.2</v>
      </c>
    </row>
    <row r="829" spans="1:20" x14ac:dyDescent="0.35">
      <c r="A829" s="1">
        <v>268880</v>
      </c>
      <c r="B829" s="7">
        <v>1158308.2</v>
      </c>
      <c r="C829" s="2">
        <v>268.13400000000001</v>
      </c>
      <c r="D829" s="2">
        <v>268.04000000000002</v>
      </c>
      <c r="E829" s="2">
        <v>-9.4E-2</v>
      </c>
      <c r="F829" s="2">
        <v>267.46199999999999</v>
      </c>
      <c r="G829" s="2">
        <v>267.327</v>
      </c>
      <c r="H829" s="2">
        <v>-0.13500000000000001</v>
      </c>
      <c r="I829" s="2">
        <v>267.91000000000003</v>
      </c>
      <c r="J829" s="2">
        <v>267.64999999999998</v>
      </c>
      <c r="K829" s="2">
        <v>-0.32300000000000001</v>
      </c>
      <c r="L829" s="2">
        <v>14.691000000000001</v>
      </c>
      <c r="N829" s="7">
        <f t="shared" si="116"/>
        <v>380</v>
      </c>
      <c r="O829" s="1">
        <v>0</v>
      </c>
      <c r="P829" s="1" t="str">
        <f t="shared" si="117"/>
        <v>380,0</v>
      </c>
      <c r="Q829" s="6" t="s">
        <v>10</v>
      </c>
      <c r="R829" s="1">
        <v>90</v>
      </c>
      <c r="S829" s="1">
        <v>2.5</v>
      </c>
      <c r="T829" s="1" t="str">
        <f t="shared" si="115"/>
        <v>-text 380,0 2.5 90 1158308.2</v>
      </c>
    </row>
    <row r="830" spans="1:20" x14ac:dyDescent="0.35">
      <c r="A830" s="1">
        <v>268900</v>
      </c>
      <c r="B830" s="7">
        <v>1158328</v>
      </c>
      <c r="C830" s="2">
        <v>268.13400000000001</v>
      </c>
      <c r="D830" s="2">
        <v>268.04500000000002</v>
      </c>
      <c r="E830" s="2">
        <v>-8.7999999999999995E-2</v>
      </c>
      <c r="F830" s="2">
        <v>267.46199999999999</v>
      </c>
      <c r="G830" s="2">
        <v>267.33199999999999</v>
      </c>
      <c r="H830" s="2">
        <v>-0.129</v>
      </c>
      <c r="I830" s="2">
        <v>268.16300000000001</v>
      </c>
      <c r="J830" s="2">
        <v>267.72199999999998</v>
      </c>
      <c r="K830" s="2">
        <v>-0.38900000000000001</v>
      </c>
      <c r="L830" s="2">
        <v>14.279</v>
      </c>
      <c r="N830" s="7">
        <f t="shared" si="116"/>
        <v>399.80000000004657</v>
      </c>
      <c r="O830" s="1">
        <v>0</v>
      </c>
      <c r="P830" s="1" t="str">
        <f t="shared" si="117"/>
        <v>399.800000000047,0</v>
      </c>
      <c r="Q830" s="6" t="s">
        <v>10</v>
      </c>
      <c r="R830" s="1">
        <v>90</v>
      </c>
      <c r="S830" s="1">
        <v>2.5</v>
      </c>
      <c r="T830" s="1" t="str">
        <f t="shared" si="115"/>
        <v>-text 399.800000000047,0 2.5 90 1158328</v>
      </c>
    </row>
    <row r="831" spans="1:20" x14ac:dyDescent="0.35">
      <c r="A831" s="1">
        <v>268920</v>
      </c>
      <c r="B831" s="7">
        <v>1158348</v>
      </c>
      <c r="C831" s="2">
        <v>268.09100000000001</v>
      </c>
      <c r="D831" s="2">
        <v>268.05099999999999</v>
      </c>
      <c r="E831" s="2">
        <v>-0.04</v>
      </c>
      <c r="F831" s="2">
        <v>267.41899999999998</v>
      </c>
      <c r="G831" s="2">
        <v>267.33800000000002</v>
      </c>
      <c r="H831" s="2">
        <v>-8.1000000000000003E-2</v>
      </c>
      <c r="I831" s="2">
        <v>267.69799999999998</v>
      </c>
      <c r="J831" s="2">
        <v>267.59800000000001</v>
      </c>
      <c r="K831" s="2">
        <v>-0.26</v>
      </c>
      <c r="L831" s="2">
        <v>13.666</v>
      </c>
      <c r="N831" s="7">
        <f t="shared" si="116"/>
        <v>419.80000000004657</v>
      </c>
      <c r="O831" s="1">
        <v>0</v>
      </c>
      <c r="P831" s="1" t="str">
        <f t="shared" si="117"/>
        <v>419.800000000047,0</v>
      </c>
      <c r="Q831" s="6" t="s">
        <v>10</v>
      </c>
      <c r="R831" s="1">
        <v>90</v>
      </c>
      <c r="S831" s="1">
        <v>2.5</v>
      </c>
      <c r="T831" s="1" t="str">
        <f t="shared" si="115"/>
        <v>-text 419.800000000047,0 2.5 90 1158348</v>
      </c>
    </row>
    <row r="832" spans="1:20" x14ac:dyDescent="0.35">
      <c r="A832" s="1">
        <v>268940</v>
      </c>
      <c r="B832" s="7">
        <v>1158368</v>
      </c>
      <c r="C832" s="2">
        <v>268.048</v>
      </c>
      <c r="D832" s="2">
        <v>268.05700000000002</v>
      </c>
      <c r="E832" s="2">
        <v>8.0000000000000002E-3</v>
      </c>
      <c r="F832" s="2">
        <v>267.37599999999998</v>
      </c>
      <c r="G832" s="2">
        <v>267.34399999999999</v>
      </c>
      <c r="H832" s="2">
        <v>-3.3000000000000002E-2</v>
      </c>
      <c r="I832" s="2">
        <v>267.76900000000001</v>
      </c>
      <c r="J832" s="2">
        <v>267.57499999999999</v>
      </c>
      <c r="K832" s="2">
        <v>-0.23100000000000001</v>
      </c>
      <c r="L832" s="2">
        <v>13.057</v>
      </c>
      <c r="N832" s="7">
        <f t="shared" si="116"/>
        <v>439.80000000004657</v>
      </c>
      <c r="O832" s="1">
        <v>0</v>
      </c>
      <c r="P832" s="1" t="str">
        <f t="shared" si="117"/>
        <v>439.800000000047,0</v>
      </c>
      <c r="Q832" s="6" t="s">
        <v>10</v>
      </c>
      <c r="R832" s="1">
        <v>90</v>
      </c>
      <c r="S832" s="1">
        <v>2.5</v>
      </c>
      <c r="T832" s="1" t="str">
        <f t="shared" si="115"/>
        <v>-text 439.800000000047,0 2.5 90 1158368</v>
      </c>
    </row>
    <row r="833" spans="1:20" x14ac:dyDescent="0.35">
      <c r="A833" s="1">
        <v>268960</v>
      </c>
      <c r="B833" s="7">
        <v>1158387.8</v>
      </c>
      <c r="C833" s="2">
        <v>268.036</v>
      </c>
      <c r="D833" s="2">
        <v>268.06200000000001</v>
      </c>
      <c r="E833" s="2">
        <v>2.5999999999999999E-2</v>
      </c>
      <c r="F833" s="2">
        <v>267.36399999999998</v>
      </c>
      <c r="G833" s="2">
        <v>267.34899999999999</v>
      </c>
      <c r="H833" s="2">
        <v>-1.4999999999999999E-2</v>
      </c>
      <c r="I833" s="2">
        <v>267.81400000000002</v>
      </c>
      <c r="J833" s="2">
        <v>267.79899999999998</v>
      </c>
      <c r="K833" s="2">
        <v>-0.45</v>
      </c>
      <c r="L833" s="2">
        <v>12.132999999999999</v>
      </c>
      <c r="N833" s="7">
        <f t="shared" si="116"/>
        <v>459.60000000009313</v>
      </c>
      <c r="O833" s="1">
        <v>0</v>
      </c>
      <c r="P833" s="1" t="str">
        <f t="shared" si="117"/>
        <v>459.600000000093,0</v>
      </c>
      <c r="Q833" s="6" t="s">
        <v>10</v>
      </c>
      <c r="R833" s="1">
        <v>90</v>
      </c>
      <c r="S833" s="1">
        <v>2.5</v>
      </c>
      <c r="T833" s="1" t="str">
        <f t="shared" si="115"/>
        <v>-text 459.600000000093,0 2.5 90 1158387.8</v>
      </c>
    </row>
    <row r="834" spans="1:20" x14ac:dyDescent="0.35">
      <c r="A834" s="1">
        <v>268980</v>
      </c>
      <c r="B834" s="7">
        <v>1158407.8</v>
      </c>
      <c r="C834" s="2">
        <v>268.02300000000002</v>
      </c>
      <c r="D834" s="2">
        <v>268.06799999999998</v>
      </c>
      <c r="E834" s="2">
        <v>4.3999999999999997E-2</v>
      </c>
      <c r="F834" s="2">
        <v>267.351</v>
      </c>
      <c r="G834" s="2">
        <v>267.35500000000002</v>
      </c>
      <c r="H834" s="2">
        <v>3.0000000000000001E-3</v>
      </c>
      <c r="I834" s="2">
        <v>267.81200000000001</v>
      </c>
      <c r="J834" s="2">
        <v>267.82</v>
      </c>
      <c r="K834" s="2">
        <v>-0.46600000000000003</v>
      </c>
      <c r="L834" s="2">
        <v>11.307</v>
      </c>
      <c r="N834" s="7">
        <f t="shared" si="116"/>
        <v>479.60000000009313</v>
      </c>
      <c r="O834" s="1">
        <v>0</v>
      </c>
      <c r="P834" s="1" t="str">
        <f t="shared" si="117"/>
        <v>479.600000000093,0</v>
      </c>
      <c r="Q834" s="6" t="s">
        <v>10</v>
      </c>
      <c r="R834" s="1">
        <v>90</v>
      </c>
      <c r="S834" s="1">
        <v>2.5</v>
      </c>
      <c r="T834" s="1" t="str">
        <f t="shared" si="115"/>
        <v>-text 479.600000000093,0 2.5 90 1158407.8</v>
      </c>
    </row>
    <row r="835" spans="1:20" x14ac:dyDescent="0.35">
      <c r="A835" s="1">
        <v>269000</v>
      </c>
      <c r="B835" s="7">
        <v>1158427.6000000001</v>
      </c>
      <c r="C835" s="2">
        <v>268.01400000000001</v>
      </c>
      <c r="D835" s="2">
        <v>268.07299999999998</v>
      </c>
      <c r="E835" s="2">
        <v>0.06</v>
      </c>
      <c r="F835" s="2">
        <v>267.34199999999998</v>
      </c>
      <c r="G835" s="2">
        <v>267.36</v>
      </c>
      <c r="H835" s="2">
        <v>1.9E-2</v>
      </c>
      <c r="I835" s="2">
        <v>267.791</v>
      </c>
      <c r="J835" s="2">
        <v>267.79599999999999</v>
      </c>
      <c r="K835" s="2">
        <v>-0.436</v>
      </c>
      <c r="L835" s="2">
        <v>10.323</v>
      </c>
      <c r="N835" s="7">
        <f t="shared" si="116"/>
        <v>499.4000000001397</v>
      </c>
      <c r="O835" s="1">
        <v>0</v>
      </c>
      <c r="P835" s="1" t="str">
        <f t="shared" si="117"/>
        <v>499.40000000014,0</v>
      </c>
      <c r="Q835" s="6" t="s">
        <v>10</v>
      </c>
      <c r="R835" s="1">
        <v>90</v>
      </c>
      <c r="S835" s="1">
        <v>2.5</v>
      </c>
      <c r="T835" s="1" t="str">
        <f t="shared" si="115"/>
        <v>-text 499.40000000014,0 2.5 90 1158427.6</v>
      </c>
    </row>
    <row r="836" spans="1:20" x14ac:dyDescent="0.35">
      <c r="A836" s="1">
        <v>269018.88299999997</v>
      </c>
      <c r="B836" s="7">
        <v>1158446.5</v>
      </c>
      <c r="C836" s="2">
        <v>268.01400000000001</v>
      </c>
      <c r="D836" s="2">
        <v>268.07799999999997</v>
      </c>
      <c r="E836" s="2">
        <v>6.5000000000000002E-2</v>
      </c>
      <c r="F836" s="2">
        <v>267.34199999999998</v>
      </c>
      <c r="G836" s="2">
        <v>267.36500000000001</v>
      </c>
      <c r="H836" s="2">
        <v>2.4E-2</v>
      </c>
      <c r="I836" s="2">
        <v>267.791</v>
      </c>
      <c r="J836" s="2">
        <v>267.79700000000003</v>
      </c>
      <c r="K836" s="2">
        <v>-0.43099999999999999</v>
      </c>
      <c r="L836" s="2">
        <v>10.323</v>
      </c>
      <c r="N836" s="7">
        <f t="shared" si="116"/>
        <v>518.30000000004657</v>
      </c>
      <c r="O836" s="1">
        <v>0</v>
      </c>
      <c r="P836" s="1" t="str">
        <f t="shared" si="117"/>
        <v>518.300000000047,0</v>
      </c>
      <c r="Q836" s="6" t="s">
        <v>10</v>
      </c>
      <c r="R836" s="1">
        <v>90</v>
      </c>
      <c r="S836" s="1">
        <v>2.5</v>
      </c>
      <c r="T836" s="1" t="str">
        <f t="shared" si="115"/>
        <v>-text 518.300000000047,0 2.5 90 1158446.5</v>
      </c>
    </row>
    <row r="837" spans="1:20" s="10" customFormat="1" x14ac:dyDescent="0.35">
      <c r="B837" s="11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11"/>
      <c r="Q837" s="12"/>
    </row>
    <row r="838" spans="1:20" x14ac:dyDescent="0.35">
      <c r="A838" s="1">
        <v>269000</v>
      </c>
      <c r="B838" s="7">
        <v>1158446.5</v>
      </c>
      <c r="C838" s="2">
        <v>268.01400000000001</v>
      </c>
      <c r="D838" s="2">
        <v>268.07799999999997</v>
      </c>
      <c r="E838" s="2">
        <v>6.5000000000000002E-2</v>
      </c>
      <c r="F838" s="2">
        <v>267.34199999999998</v>
      </c>
      <c r="G838" s="2">
        <v>267.36500000000001</v>
      </c>
      <c r="H838" s="2">
        <v>2.4E-2</v>
      </c>
      <c r="I838" s="2">
        <v>267.791</v>
      </c>
      <c r="J838" s="2">
        <v>267.79700000000003</v>
      </c>
      <c r="K838" s="2">
        <v>-0.43099999999999999</v>
      </c>
      <c r="L838" s="2">
        <v>10.323</v>
      </c>
      <c r="N838" s="7">
        <v>0</v>
      </c>
      <c r="O838" s="1">
        <v>0</v>
      </c>
      <c r="P838" s="1" t="str">
        <f t="shared" si="117"/>
        <v>0,0</v>
      </c>
      <c r="Q838" s="6" t="s">
        <v>10</v>
      </c>
      <c r="R838" s="1">
        <v>90</v>
      </c>
      <c r="S838" s="1">
        <v>2.5</v>
      </c>
      <c r="T838" s="1" t="str">
        <f t="shared" ref="T838:T863" si="118">$Q838&amp;" "&amp;$P838&amp;" "&amp;$S838&amp;" "&amp;$R838&amp;" "&amp;$B838</f>
        <v>-text 0,0 2.5 90 1158446.5</v>
      </c>
    </row>
    <row r="839" spans="1:20" x14ac:dyDescent="0.35">
      <c r="A839" s="1">
        <v>269020</v>
      </c>
      <c r="B839" s="7">
        <v>1158466.5</v>
      </c>
      <c r="C839" s="2">
        <v>267.976</v>
      </c>
      <c r="D839" s="2">
        <v>268.084</v>
      </c>
      <c r="E839" s="2">
        <v>0.108</v>
      </c>
      <c r="F839" s="2">
        <v>267.30399999999997</v>
      </c>
      <c r="G839" s="2">
        <v>267.37099999999998</v>
      </c>
      <c r="H839" s="2">
        <v>6.7000000000000004E-2</v>
      </c>
      <c r="I839" s="2">
        <v>268.11399999999998</v>
      </c>
      <c r="J839" s="2">
        <v>267.51299999999998</v>
      </c>
      <c r="K839" s="2">
        <v>-0.14199999999999999</v>
      </c>
      <c r="L839" s="2">
        <v>8.9049999999999994</v>
      </c>
      <c r="N839" s="7">
        <f t="shared" ref="N839:N863" si="119">N838+(B839-B838)</f>
        <v>20</v>
      </c>
      <c r="O839" s="1">
        <v>0</v>
      </c>
      <c r="P839" s="1" t="str">
        <f t="shared" si="117"/>
        <v>20,0</v>
      </c>
      <c r="Q839" s="6" t="s">
        <v>10</v>
      </c>
      <c r="R839" s="1">
        <v>90</v>
      </c>
      <c r="S839" s="1">
        <v>2.5</v>
      </c>
      <c r="T839" s="1" t="str">
        <f t="shared" si="118"/>
        <v>-text 20,0 2.5 90 1158466.5</v>
      </c>
    </row>
    <row r="840" spans="1:20" x14ac:dyDescent="0.35">
      <c r="A840" s="1">
        <v>269040</v>
      </c>
      <c r="B840" s="7">
        <v>1158486.5</v>
      </c>
      <c r="C840" s="2">
        <v>267.94200000000001</v>
      </c>
      <c r="D840" s="2">
        <v>268.089</v>
      </c>
      <c r="E840" s="2">
        <v>0.14699999999999999</v>
      </c>
      <c r="F840" s="2">
        <v>267.27</v>
      </c>
      <c r="G840" s="2">
        <v>267.37599999999998</v>
      </c>
      <c r="H840" s="2">
        <v>0.106</v>
      </c>
      <c r="I840" s="2">
        <v>267.68200000000002</v>
      </c>
      <c r="J840" s="2">
        <v>267.39999999999998</v>
      </c>
      <c r="K840" s="2">
        <v>-2.4E-2</v>
      </c>
      <c r="L840" s="2">
        <v>8.4909999999999997</v>
      </c>
      <c r="N840" s="7">
        <f t="shared" si="119"/>
        <v>40</v>
      </c>
      <c r="O840" s="1">
        <v>0</v>
      </c>
      <c r="P840" s="1" t="str">
        <f t="shared" si="117"/>
        <v>40,0</v>
      </c>
      <c r="Q840" s="6" t="s">
        <v>10</v>
      </c>
      <c r="R840" s="1">
        <v>90</v>
      </c>
      <c r="S840" s="1">
        <v>2.5</v>
      </c>
      <c r="T840" s="1" t="str">
        <f t="shared" si="118"/>
        <v>-text 40,0 2.5 90 1158486.5</v>
      </c>
    </row>
    <row r="841" spans="1:20" x14ac:dyDescent="0.35">
      <c r="A841" s="1">
        <v>269060</v>
      </c>
      <c r="B841" s="7">
        <v>1158506.5</v>
      </c>
      <c r="C841" s="2">
        <v>267.92399999999998</v>
      </c>
      <c r="D841" s="2">
        <v>268.09500000000003</v>
      </c>
      <c r="E841" s="2">
        <v>0.17100000000000001</v>
      </c>
      <c r="F841" s="2">
        <v>267.25200000000001</v>
      </c>
      <c r="G841" s="2">
        <v>267.38200000000001</v>
      </c>
      <c r="H841" s="2">
        <v>0.13</v>
      </c>
      <c r="I841" s="2">
        <v>267.654</v>
      </c>
      <c r="J841" s="2">
        <v>267.459</v>
      </c>
      <c r="K841" s="2">
        <v>-7.6999999999999999E-2</v>
      </c>
      <c r="L841" s="2">
        <v>8.2629999999999999</v>
      </c>
      <c r="N841" s="7">
        <f t="shared" si="119"/>
        <v>60</v>
      </c>
      <c r="O841" s="1">
        <v>0</v>
      </c>
      <c r="P841" s="1" t="str">
        <f t="shared" si="117"/>
        <v>60,0</v>
      </c>
      <c r="Q841" s="6" t="s">
        <v>10</v>
      </c>
      <c r="R841" s="1">
        <v>90</v>
      </c>
      <c r="S841" s="1">
        <v>2.5</v>
      </c>
      <c r="T841" s="1" t="str">
        <f t="shared" si="118"/>
        <v>-text 60,0 2.5 90 1158506.5</v>
      </c>
    </row>
    <row r="842" spans="1:20" x14ac:dyDescent="0.35">
      <c r="A842" s="1">
        <v>269080</v>
      </c>
      <c r="B842" s="7">
        <v>1158526.5</v>
      </c>
      <c r="C842" s="2">
        <v>267.91399999999999</v>
      </c>
      <c r="D842" s="2">
        <v>268.10000000000002</v>
      </c>
      <c r="E842" s="2">
        <v>0.187</v>
      </c>
      <c r="F842" s="2">
        <v>267.24200000000002</v>
      </c>
      <c r="G842" s="2">
        <v>267.387</v>
      </c>
      <c r="H842" s="2">
        <v>0.14599999999999999</v>
      </c>
      <c r="I842" s="2">
        <v>267.53300000000002</v>
      </c>
      <c r="J842" s="2">
        <v>267.41300000000001</v>
      </c>
      <c r="K842" s="2">
        <v>-2.5000000000000001E-2</v>
      </c>
      <c r="L842" s="2">
        <v>8.1620000000000008</v>
      </c>
      <c r="N842" s="7">
        <f t="shared" si="119"/>
        <v>80</v>
      </c>
      <c r="O842" s="1">
        <v>0</v>
      </c>
      <c r="P842" s="1" t="str">
        <f t="shared" si="117"/>
        <v>80,0</v>
      </c>
      <c r="Q842" s="6" t="s">
        <v>10</v>
      </c>
      <c r="R842" s="1">
        <v>90</v>
      </c>
      <c r="S842" s="1">
        <v>2.5</v>
      </c>
      <c r="T842" s="1" t="str">
        <f t="shared" si="118"/>
        <v>-text 80,0 2.5 90 1158526.5</v>
      </c>
    </row>
    <row r="843" spans="1:20" x14ac:dyDescent="0.35">
      <c r="A843" s="1">
        <v>269100</v>
      </c>
      <c r="B843" s="7">
        <v>1158546.5</v>
      </c>
      <c r="C843" s="2">
        <v>267.92599999999999</v>
      </c>
      <c r="D843" s="2">
        <v>268.10599999999999</v>
      </c>
      <c r="E843" s="2">
        <v>0.18</v>
      </c>
      <c r="F843" s="2">
        <v>267.25400000000002</v>
      </c>
      <c r="G843" s="2">
        <v>267.39299999999997</v>
      </c>
      <c r="H843" s="2">
        <v>0.13900000000000001</v>
      </c>
      <c r="I843" s="2">
        <v>267.5</v>
      </c>
      <c r="J843" s="2">
        <v>267.39800000000002</v>
      </c>
      <c r="K843" s="2">
        <v>-5.0000000000000001E-3</v>
      </c>
      <c r="L843" s="2">
        <v>8.1280000000000001</v>
      </c>
      <c r="N843" s="7">
        <f t="shared" si="119"/>
        <v>100</v>
      </c>
      <c r="O843" s="1">
        <v>0</v>
      </c>
      <c r="P843" s="1" t="str">
        <f t="shared" si="117"/>
        <v>100,0</v>
      </c>
      <c r="Q843" s="6" t="s">
        <v>10</v>
      </c>
      <c r="R843" s="1">
        <v>90</v>
      </c>
      <c r="S843" s="1">
        <v>2.5</v>
      </c>
      <c r="T843" s="1" t="str">
        <f t="shared" si="118"/>
        <v>-text 100,0 2.5 90 1158546.5</v>
      </c>
    </row>
    <row r="844" spans="1:20" x14ac:dyDescent="0.35">
      <c r="A844" s="1">
        <v>269120</v>
      </c>
      <c r="B844" s="7">
        <v>1158566.5</v>
      </c>
      <c r="C844" s="2">
        <v>267.88200000000001</v>
      </c>
      <c r="D844" s="2">
        <v>268.11200000000002</v>
      </c>
      <c r="E844" s="2">
        <v>0.23</v>
      </c>
      <c r="F844" s="2">
        <v>267.20999999999998</v>
      </c>
      <c r="G844" s="2">
        <v>267.399</v>
      </c>
      <c r="H844" s="2">
        <v>0.189</v>
      </c>
      <c r="I844" s="2">
        <v>267.89400000000001</v>
      </c>
      <c r="J844" s="2">
        <v>267.39299999999997</v>
      </c>
      <c r="K844" s="15">
        <v>5.0000000000000001E-3</v>
      </c>
      <c r="L844" s="2">
        <v>8.1609999999999996</v>
      </c>
      <c r="N844" s="7">
        <f t="shared" si="119"/>
        <v>120</v>
      </c>
      <c r="O844" s="1">
        <v>0</v>
      </c>
      <c r="P844" s="1" t="str">
        <f t="shared" si="117"/>
        <v>120,0</v>
      </c>
      <c r="Q844" s="6" t="s">
        <v>10</v>
      </c>
      <c r="R844" s="1">
        <v>90</v>
      </c>
      <c r="S844" s="1">
        <v>2.5</v>
      </c>
      <c r="T844" s="1" t="str">
        <f t="shared" si="118"/>
        <v>-text 120,0 2.5 90 1158566.5</v>
      </c>
    </row>
    <row r="845" spans="1:20" x14ac:dyDescent="0.35">
      <c r="A845" s="1">
        <v>269140</v>
      </c>
      <c r="B845" s="7">
        <v>1158586.5</v>
      </c>
      <c r="C845" s="2">
        <v>267.83100000000002</v>
      </c>
      <c r="D845" s="2">
        <v>268.11700000000002</v>
      </c>
      <c r="E845" s="2">
        <v>0.28599999999999998</v>
      </c>
      <c r="F845" s="2">
        <v>267.15899999999999</v>
      </c>
      <c r="G845" s="2">
        <v>267.404</v>
      </c>
      <c r="H845" s="2">
        <v>0.245</v>
      </c>
      <c r="I845" s="2">
        <v>267.642</v>
      </c>
      <c r="J845" s="2">
        <v>267.392</v>
      </c>
      <c r="K845" s="15">
        <v>1.2E-2</v>
      </c>
      <c r="L845" s="2">
        <v>8.1530000000000005</v>
      </c>
      <c r="N845" s="7">
        <f t="shared" si="119"/>
        <v>140</v>
      </c>
      <c r="O845" s="1">
        <v>0</v>
      </c>
      <c r="P845" s="1" t="str">
        <f t="shared" si="117"/>
        <v>140,0</v>
      </c>
      <c r="Q845" s="6" t="s">
        <v>10</v>
      </c>
      <c r="R845" s="1">
        <v>90</v>
      </c>
      <c r="S845" s="1">
        <v>2.5</v>
      </c>
      <c r="T845" s="1" t="str">
        <f t="shared" si="118"/>
        <v>-text 140,0 2.5 90 1158586.5</v>
      </c>
    </row>
    <row r="846" spans="1:20" x14ac:dyDescent="0.35">
      <c r="A846" s="1">
        <v>269160</v>
      </c>
      <c r="B846" s="7">
        <v>1158606.5</v>
      </c>
      <c r="C846" s="2">
        <v>267.81099999999998</v>
      </c>
      <c r="D846" s="2">
        <v>268.12299999999999</v>
      </c>
      <c r="E846" s="2">
        <v>0.312</v>
      </c>
      <c r="F846" s="2">
        <v>267.13900000000001</v>
      </c>
      <c r="G846" s="2">
        <v>267.41000000000003</v>
      </c>
      <c r="H846" s="2">
        <v>0.27100000000000002</v>
      </c>
      <c r="I846" s="2">
        <v>267.68799999999999</v>
      </c>
      <c r="J846" s="2">
        <v>267.505</v>
      </c>
      <c r="K846" s="2">
        <v>-9.5000000000000001E-2</v>
      </c>
      <c r="L846" s="2">
        <v>8.1489999999999991</v>
      </c>
      <c r="N846" s="7">
        <f t="shared" si="119"/>
        <v>160</v>
      </c>
      <c r="O846" s="1">
        <v>0</v>
      </c>
      <c r="P846" s="1" t="str">
        <f t="shared" si="117"/>
        <v>160,0</v>
      </c>
      <c r="Q846" s="6" t="s">
        <v>10</v>
      </c>
      <c r="R846" s="1">
        <v>90</v>
      </c>
      <c r="S846" s="1">
        <v>2.5</v>
      </c>
      <c r="T846" s="1" t="str">
        <f t="shared" si="118"/>
        <v>-text 160,0 2.5 90 1158606.5</v>
      </c>
    </row>
    <row r="847" spans="1:20" x14ac:dyDescent="0.35">
      <c r="A847" s="1">
        <v>269180</v>
      </c>
      <c r="B847" s="7">
        <v>1158626.5</v>
      </c>
      <c r="C847" s="2">
        <v>267.81</v>
      </c>
      <c r="D847" s="2">
        <v>268.12799999999999</v>
      </c>
      <c r="E847" s="2">
        <v>0.318</v>
      </c>
      <c r="F847" s="2">
        <v>267.13799999999998</v>
      </c>
      <c r="G847" s="2">
        <v>267.41500000000002</v>
      </c>
      <c r="H847" s="2">
        <v>0.27700000000000002</v>
      </c>
      <c r="I847" s="2">
        <v>267.74099999999999</v>
      </c>
      <c r="J847" s="2">
        <v>267.50799999999998</v>
      </c>
      <c r="K847" s="2">
        <v>-9.2999999999999999E-2</v>
      </c>
      <c r="L847" s="2">
        <v>8.1780000000000008</v>
      </c>
      <c r="N847" s="7">
        <f t="shared" si="119"/>
        <v>180</v>
      </c>
      <c r="O847" s="1">
        <v>0</v>
      </c>
      <c r="P847" s="1" t="str">
        <f t="shared" si="117"/>
        <v>180,0</v>
      </c>
      <c r="Q847" s="6" t="s">
        <v>10</v>
      </c>
      <c r="R847" s="1">
        <v>90</v>
      </c>
      <c r="S847" s="1">
        <v>2.5</v>
      </c>
      <c r="T847" s="1" t="str">
        <f t="shared" si="118"/>
        <v>-text 180,0 2.5 90 1158626.5</v>
      </c>
    </row>
    <row r="848" spans="1:20" x14ac:dyDescent="0.35">
      <c r="A848" s="1">
        <v>269200</v>
      </c>
      <c r="B848" s="7">
        <v>1158646.5</v>
      </c>
      <c r="C848" s="2">
        <v>267.80099999999999</v>
      </c>
      <c r="D848" s="2">
        <v>268.13400000000001</v>
      </c>
      <c r="E848" s="2">
        <v>0.33300000000000002</v>
      </c>
      <c r="F848" s="2">
        <v>267.12900000000002</v>
      </c>
      <c r="G848" s="2">
        <v>267.42099999999999</v>
      </c>
      <c r="H848" s="2">
        <v>0.29199999999999998</v>
      </c>
      <c r="I848" s="2">
        <v>267.66300000000001</v>
      </c>
      <c r="J848" s="2">
        <v>267.49700000000001</v>
      </c>
      <c r="K848" s="2">
        <v>-7.5999999999999998E-2</v>
      </c>
      <c r="L848" s="2">
        <v>8.1630000000000003</v>
      </c>
      <c r="N848" s="7">
        <f t="shared" si="119"/>
        <v>200</v>
      </c>
      <c r="O848" s="1">
        <v>0</v>
      </c>
      <c r="P848" s="1" t="str">
        <f t="shared" si="117"/>
        <v>200,0</v>
      </c>
      <c r="Q848" s="6" t="s">
        <v>10</v>
      </c>
      <c r="R848" s="1">
        <v>90</v>
      </c>
      <c r="S848" s="1">
        <v>2.5</v>
      </c>
      <c r="T848" s="1" t="str">
        <f t="shared" si="118"/>
        <v>-text 200,0 2.5 90 1158646.5</v>
      </c>
    </row>
    <row r="849" spans="1:20" x14ac:dyDescent="0.35">
      <c r="A849" s="1">
        <v>269220</v>
      </c>
      <c r="B849" s="7">
        <v>1158666.5</v>
      </c>
      <c r="C849" s="2">
        <v>267.779</v>
      </c>
      <c r="D849" s="2">
        <v>268.13900000000001</v>
      </c>
      <c r="E849" s="2">
        <v>0.36</v>
      </c>
      <c r="F849" s="2">
        <v>267.10700000000003</v>
      </c>
      <c r="G849" s="2">
        <v>267.42599999999999</v>
      </c>
      <c r="H849" s="2">
        <v>0.31900000000000001</v>
      </c>
      <c r="I849" s="2">
        <v>267.58100000000002</v>
      </c>
      <c r="J849" s="2">
        <v>267.577</v>
      </c>
      <c r="K849" s="2">
        <v>-0.151</v>
      </c>
      <c r="L849" s="2">
        <v>8.1509999999999998</v>
      </c>
      <c r="N849" s="7">
        <f t="shared" si="119"/>
        <v>220</v>
      </c>
      <c r="O849" s="1">
        <v>0</v>
      </c>
      <c r="P849" s="1" t="str">
        <f t="shared" ref="P849:P863" si="120">CONCATENATE(N849,",",O849)</f>
        <v>220,0</v>
      </c>
      <c r="Q849" s="6" t="s">
        <v>10</v>
      </c>
      <c r="R849" s="1">
        <v>90</v>
      </c>
      <c r="S849" s="1">
        <v>2.5</v>
      </c>
      <c r="T849" s="1" t="str">
        <f t="shared" si="118"/>
        <v>-text 220,0 2.5 90 1158666.5</v>
      </c>
    </row>
    <row r="850" spans="1:20" x14ac:dyDescent="0.35">
      <c r="A850" s="1">
        <v>269240</v>
      </c>
      <c r="B850" s="7">
        <v>1158686.5</v>
      </c>
      <c r="C850" s="2">
        <v>267.78800000000001</v>
      </c>
      <c r="D850" s="2">
        <v>268.14499999999998</v>
      </c>
      <c r="E850" s="2">
        <v>0.35599999999999998</v>
      </c>
      <c r="F850" s="2">
        <v>267.11599999999999</v>
      </c>
      <c r="G850" s="2">
        <v>267.43200000000002</v>
      </c>
      <c r="H850" s="2">
        <v>0.315</v>
      </c>
      <c r="I850" s="2">
        <v>267.625</v>
      </c>
      <c r="J850" s="2">
        <v>267.58499999999998</v>
      </c>
      <c r="K850" s="2">
        <v>-0.153</v>
      </c>
      <c r="L850" s="2">
        <v>8.15</v>
      </c>
      <c r="N850" s="7">
        <f t="shared" si="119"/>
        <v>240</v>
      </c>
      <c r="O850" s="1">
        <v>0</v>
      </c>
      <c r="P850" s="1" t="str">
        <f t="shared" si="120"/>
        <v>240,0</v>
      </c>
      <c r="Q850" s="6" t="s">
        <v>10</v>
      </c>
      <c r="R850" s="1">
        <v>90</v>
      </c>
      <c r="S850" s="1">
        <v>2.5</v>
      </c>
      <c r="T850" s="1" t="str">
        <f t="shared" si="118"/>
        <v>-text 240,0 2.5 90 1158686.5</v>
      </c>
    </row>
    <row r="851" spans="1:20" x14ac:dyDescent="0.35">
      <c r="A851" s="1">
        <v>269260</v>
      </c>
      <c r="B851" s="7">
        <v>1158706.5</v>
      </c>
      <c r="C851" s="2">
        <v>267.78800000000001</v>
      </c>
      <c r="D851" s="2">
        <v>268.14999999999998</v>
      </c>
      <c r="E851" s="2">
        <v>0.36199999999999999</v>
      </c>
      <c r="F851" s="2">
        <v>267.11599999999999</v>
      </c>
      <c r="G851" s="2">
        <v>267.43700000000001</v>
      </c>
      <c r="H851" s="2">
        <v>0.32100000000000001</v>
      </c>
      <c r="I851" s="2">
        <v>267.48099999999999</v>
      </c>
      <c r="J851" s="2">
        <v>267.48099999999999</v>
      </c>
      <c r="K851" s="2">
        <v>-4.3999999999999997E-2</v>
      </c>
      <c r="L851" s="2">
        <v>8.1679999999999993</v>
      </c>
      <c r="N851" s="7">
        <f t="shared" si="119"/>
        <v>260</v>
      </c>
      <c r="O851" s="1">
        <v>0</v>
      </c>
      <c r="P851" s="1" t="str">
        <f t="shared" si="120"/>
        <v>260,0</v>
      </c>
      <c r="Q851" s="6" t="s">
        <v>10</v>
      </c>
      <c r="R851" s="1">
        <v>90</v>
      </c>
      <c r="S851" s="1">
        <v>2.5</v>
      </c>
      <c r="T851" s="1" t="str">
        <f t="shared" si="118"/>
        <v>-text 260,0 2.5 90 1158706.5</v>
      </c>
    </row>
    <row r="852" spans="1:20" x14ac:dyDescent="0.35">
      <c r="A852" s="1">
        <v>269280</v>
      </c>
      <c r="B852" s="7">
        <v>1158726.5</v>
      </c>
      <c r="C852" s="2">
        <v>267.77800000000002</v>
      </c>
      <c r="D852" s="2">
        <v>268.15600000000001</v>
      </c>
      <c r="E852" s="2">
        <v>0.378</v>
      </c>
      <c r="F852" s="2">
        <v>267.10599999999999</v>
      </c>
      <c r="G852" s="2">
        <v>267.44299999999998</v>
      </c>
      <c r="H852" s="2">
        <v>0.33700000000000002</v>
      </c>
      <c r="I852" s="2">
        <v>267.351</v>
      </c>
      <c r="J852" s="2">
        <v>267.423</v>
      </c>
      <c r="K852" s="15">
        <v>0.02</v>
      </c>
      <c r="L852" s="2">
        <v>8.1660000000000004</v>
      </c>
      <c r="N852" s="7">
        <f t="shared" si="119"/>
        <v>280</v>
      </c>
      <c r="O852" s="1">
        <v>0</v>
      </c>
      <c r="P852" s="1" t="str">
        <f t="shared" si="120"/>
        <v>280,0</v>
      </c>
      <c r="Q852" s="6" t="s">
        <v>10</v>
      </c>
      <c r="R852" s="1">
        <v>90</v>
      </c>
      <c r="S852" s="1">
        <v>2.5</v>
      </c>
      <c r="T852" s="1" t="str">
        <f t="shared" si="118"/>
        <v>-text 280,0 2.5 90 1158726.5</v>
      </c>
    </row>
    <row r="853" spans="1:20" x14ac:dyDescent="0.35">
      <c r="A853" s="1">
        <v>269300</v>
      </c>
      <c r="B853" s="7">
        <v>1158746.5</v>
      </c>
      <c r="C853" s="2">
        <v>267.79199999999997</v>
      </c>
      <c r="D853" s="2">
        <v>268.161</v>
      </c>
      <c r="E853" s="2">
        <v>0.36899999999999999</v>
      </c>
      <c r="F853" s="2">
        <v>267.12</v>
      </c>
      <c r="G853" s="2">
        <v>267.44799999999998</v>
      </c>
      <c r="H853" s="2">
        <v>0.32800000000000001</v>
      </c>
      <c r="I853" s="2">
        <v>267.33600000000001</v>
      </c>
      <c r="J853" s="2">
        <v>267.36599999999999</v>
      </c>
      <c r="K853" s="15">
        <v>8.2000000000000003E-2</v>
      </c>
      <c r="L853" s="2">
        <v>8.157</v>
      </c>
      <c r="N853" s="7">
        <f t="shared" si="119"/>
        <v>300</v>
      </c>
      <c r="O853" s="1">
        <v>0</v>
      </c>
      <c r="P853" s="1" t="str">
        <f t="shared" si="120"/>
        <v>300,0</v>
      </c>
      <c r="Q853" s="6" t="s">
        <v>10</v>
      </c>
      <c r="R853" s="1">
        <v>90</v>
      </c>
      <c r="S853" s="1">
        <v>2.5</v>
      </c>
      <c r="T853" s="1" t="str">
        <f t="shared" si="118"/>
        <v>-text 300,0 2.5 90 1158746.5</v>
      </c>
    </row>
    <row r="854" spans="1:20" x14ac:dyDescent="0.35">
      <c r="A854" s="1">
        <v>269320</v>
      </c>
      <c r="B854" s="7">
        <v>1158766.5</v>
      </c>
      <c r="C854" s="2">
        <v>267.80599999999998</v>
      </c>
      <c r="D854" s="2">
        <v>268.16699999999997</v>
      </c>
      <c r="E854" s="2">
        <v>0.36099999999999999</v>
      </c>
      <c r="F854" s="2">
        <v>267.13400000000001</v>
      </c>
      <c r="G854" s="2">
        <v>267.45400000000001</v>
      </c>
      <c r="H854" s="2">
        <v>0.32</v>
      </c>
      <c r="I854" s="2">
        <v>267.43200000000002</v>
      </c>
      <c r="J854" s="2">
        <v>267.46899999999999</v>
      </c>
      <c r="K854" s="2">
        <v>-1.4999999999999999E-2</v>
      </c>
      <c r="L854" s="2">
        <v>8.1159999999999997</v>
      </c>
      <c r="N854" s="7">
        <f t="shared" si="119"/>
        <v>320</v>
      </c>
      <c r="O854" s="1">
        <v>0</v>
      </c>
      <c r="P854" s="1" t="str">
        <f t="shared" si="120"/>
        <v>320,0</v>
      </c>
      <c r="Q854" s="6" t="s">
        <v>10</v>
      </c>
      <c r="R854" s="1">
        <v>90</v>
      </c>
      <c r="S854" s="1">
        <v>2.5</v>
      </c>
      <c r="T854" s="1" t="str">
        <f t="shared" si="118"/>
        <v>-text 320,0 2.5 90 1158766.5</v>
      </c>
    </row>
    <row r="855" spans="1:20" x14ac:dyDescent="0.35">
      <c r="A855" s="1">
        <v>269340</v>
      </c>
      <c r="B855" s="7">
        <v>1158786.5</v>
      </c>
      <c r="C855" s="2">
        <v>267.83</v>
      </c>
      <c r="D855" s="2">
        <v>268.17200000000003</v>
      </c>
      <c r="E855" s="2">
        <v>0.34200000000000003</v>
      </c>
      <c r="F855" s="2">
        <v>267.15800000000002</v>
      </c>
      <c r="G855" s="2">
        <v>267.459</v>
      </c>
      <c r="H855" s="2">
        <v>0.30099999999999999</v>
      </c>
      <c r="I855" s="2">
        <v>267.548</v>
      </c>
      <c r="J855" s="2">
        <v>267.58600000000001</v>
      </c>
      <c r="K855" s="2">
        <v>-0.127</v>
      </c>
      <c r="L855" s="2">
        <v>8.1120000000000001</v>
      </c>
      <c r="N855" s="7">
        <f t="shared" si="119"/>
        <v>340</v>
      </c>
      <c r="O855" s="1">
        <v>0</v>
      </c>
      <c r="P855" s="1" t="str">
        <f t="shared" si="120"/>
        <v>340,0</v>
      </c>
      <c r="Q855" s="6" t="s">
        <v>10</v>
      </c>
      <c r="R855" s="1">
        <v>90</v>
      </c>
      <c r="S855" s="1">
        <v>2.5</v>
      </c>
      <c r="T855" s="1" t="str">
        <f t="shared" si="118"/>
        <v>-text 340,0 2.5 90 1158786.5</v>
      </c>
    </row>
    <row r="856" spans="1:20" x14ac:dyDescent="0.35">
      <c r="A856" s="1">
        <v>269360</v>
      </c>
      <c r="B856" s="7">
        <v>1158806.5</v>
      </c>
      <c r="C856" s="2">
        <v>267.88</v>
      </c>
      <c r="D856" s="2">
        <v>268.178</v>
      </c>
      <c r="E856" s="2">
        <v>0.29799999999999999</v>
      </c>
      <c r="F856" s="2">
        <v>267.20800000000003</v>
      </c>
      <c r="G856" s="2">
        <v>267.46499999999997</v>
      </c>
      <c r="H856" s="2">
        <v>0.25700000000000001</v>
      </c>
      <c r="I856" s="2">
        <v>267.58699999999999</v>
      </c>
      <c r="J856" s="2">
        <v>267.77999999999997</v>
      </c>
      <c r="K856" s="2">
        <v>-0.315</v>
      </c>
      <c r="L856" s="2">
        <v>8.1120000000000001</v>
      </c>
      <c r="N856" s="7">
        <f t="shared" si="119"/>
        <v>360</v>
      </c>
      <c r="O856" s="1">
        <v>0</v>
      </c>
      <c r="P856" s="1" t="str">
        <f t="shared" si="120"/>
        <v>360,0</v>
      </c>
      <c r="Q856" s="6" t="s">
        <v>10</v>
      </c>
      <c r="R856" s="1">
        <v>90</v>
      </c>
      <c r="S856" s="1">
        <v>2.5</v>
      </c>
      <c r="T856" s="1" t="str">
        <f t="shared" si="118"/>
        <v>-text 360,0 2.5 90 1158806.5</v>
      </c>
    </row>
    <row r="857" spans="1:20" x14ac:dyDescent="0.35">
      <c r="A857" s="1">
        <v>269380</v>
      </c>
      <c r="B857" s="7">
        <v>1158826.5</v>
      </c>
      <c r="C857" s="2">
        <v>267.97300000000001</v>
      </c>
      <c r="D857" s="2">
        <v>268.18400000000003</v>
      </c>
      <c r="E857" s="2">
        <v>0.21</v>
      </c>
      <c r="F857" s="2">
        <v>267.30099999999999</v>
      </c>
      <c r="G857" s="2">
        <v>267.471</v>
      </c>
      <c r="H857" s="2">
        <v>0.16900000000000001</v>
      </c>
      <c r="I857" s="2">
        <v>267.49400000000003</v>
      </c>
      <c r="J857" s="2">
        <v>267.65100000000001</v>
      </c>
      <c r="K857" s="2">
        <v>-0.18</v>
      </c>
      <c r="L857" s="2">
        <v>8.1170000000000009</v>
      </c>
      <c r="N857" s="7">
        <f t="shared" si="119"/>
        <v>380</v>
      </c>
      <c r="O857" s="1">
        <v>0</v>
      </c>
      <c r="P857" s="1" t="str">
        <f t="shared" si="120"/>
        <v>380,0</v>
      </c>
      <c r="Q857" s="6" t="s">
        <v>10</v>
      </c>
      <c r="R857" s="1">
        <v>90</v>
      </c>
      <c r="S857" s="1">
        <v>2.5</v>
      </c>
      <c r="T857" s="1" t="str">
        <f t="shared" si="118"/>
        <v>-text 380,0 2.5 90 1158826.5</v>
      </c>
    </row>
    <row r="858" spans="1:20" x14ac:dyDescent="0.35">
      <c r="A858" s="1">
        <v>269400</v>
      </c>
      <c r="B858" s="7">
        <v>1158846.5</v>
      </c>
      <c r="C858" s="2">
        <v>268.05099999999999</v>
      </c>
      <c r="D858" s="2">
        <v>268.18900000000002</v>
      </c>
      <c r="E858" s="2">
        <v>0.13800000000000001</v>
      </c>
      <c r="F858" s="2">
        <v>267.37900000000002</v>
      </c>
      <c r="G858" s="2">
        <v>267.476</v>
      </c>
      <c r="H858" s="2">
        <v>9.7000000000000003E-2</v>
      </c>
      <c r="I858" s="2">
        <v>267.95400000000001</v>
      </c>
      <c r="J858" s="2">
        <v>267.86799999999999</v>
      </c>
      <c r="K858" s="2">
        <v>-0.39200000000000002</v>
      </c>
      <c r="L858" s="2">
        <v>8.1359999999999992</v>
      </c>
      <c r="N858" s="7">
        <f t="shared" si="119"/>
        <v>400</v>
      </c>
      <c r="O858" s="1">
        <v>0</v>
      </c>
      <c r="P858" s="1" t="str">
        <f t="shared" si="120"/>
        <v>400,0</v>
      </c>
      <c r="Q858" s="6" t="s">
        <v>10</v>
      </c>
      <c r="R858" s="1">
        <v>90</v>
      </c>
      <c r="S858" s="1">
        <v>2.5</v>
      </c>
      <c r="T858" s="1" t="str">
        <f t="shared" si="118"/>
        <v>-text 400,0 2.5 90 1158846.5</v>
      </c>
    </row>
    <row r="859" spans="1:20" x14ac:dyDescent="0.35">
      <c r="A859" s="1">
        <v>269420</v>
      </c>
      <c r="B859" s="7">
        <v>1158866.6000000001</v>
      </c>
      <c r="C859" s="2">
        <v>268.10599999999999</v>
      </c>
      <c r="D859" s="2">
        <v>268.19499999999999</v>
      </c>
      <c r="E859" s="2">
        <v>8.7999999999999995E-2</v>
      </c>
      <c r="F859" s="2">
        <v>267.43400000000003</v>
      </c>
      <c r="G859" s="2">
        <v>267.48200000000003</v>
      </c>
      <c r="H859" s="2">
        <v>4.7E-2</v>
      </c>
      <c r="I859" s="2">
        <v>267.339</v>
      </c>
      <c r="J859" s="2">
        <v>267.52800000000002</v>
      </c>
      <c r="K859" s="2">
        <v>-4.5999999999999999E-2</v>
      </c>
      <c r="L859" s="2">
        <v>8.09</v>
      </c>
      <c r="N859" s="7">
        <f t="shared" si="119"/>
        <v>420.10000000009313</v>
      </c>
      <c r="O859" s="1">
        <v>0</v>
      </c>
      <c r="P859" s="1" t="str">
        <f t="shared" si="120"/>
        <v>420.100000000093,0</v>
      </c>
      <c r="Q859" s="6" t="s">
        <v>10</v>
      </c>
      <c r="R859" s="1">
        <v>90</v>
      </c>
      <c r="S859" s="1">
        <v>2.5</v>
      </c>
      <c r="T859" s="1" t="str">
        <f t="shared" si="118"/>
        <v>-text 420.100000000093,0 2.5 90 1158866.6</v>
      </c>
    </row>
    <row r="860" spans="1:20" x14ac:dyDescent="0.35">
      <c r="A860" s="1">
        <v>269440</v>
      </c>
      <c r="B860" s="7">
        <v>1158886.6000000001</v>
      </c>
      <c r="C860" s="2">
        <v>268.12099999999998</v>
      </c>
      <c r="D860" s="2">
        <v>268.2</v>
      </c>
      <c r="E860" s="2">
        <v>7.9000000000000001E-2</v>
      </c>
      <c r="F860" s="2">
        <v>267.44900000000001</v>
      </c>
      <c r="G860" s="2">
        <v>267.48700000000002</v>
      </c>
      <c r="H860" s="2">
        <v>3.7999999999999999E-2</v>
      </c>
      <c r="I860" s="2">
        <v>267.22899999999998</v>
      </c>
      <c r="J860" s="2">
        <v>267.41199999999998</v>
      </c>
      <c r="K860" s="15">
        <v>7.4999999999999997E-2</v>
      </c>
      <c r="L860" s="2">
        <v>8.0530000000000008</v>
      </c>
      <c r="N860" s="7">
        <f t="shared" si="119"/>
        <v>440.10000000009313</v>
      </c>
      <c r="O860" s="1">
        <v>0</v>
      </c>
      <c r="P860" s="1" t="str">
        <f t="shared" si="120"/>
        <v>440.100000000093,0</v>
      </c>
      <c r="Q860" s="6" t="s">
        <v>10</v>
      </c>
      <c r="R860" s="1">
        <v>90</v>
      </c>
      <c r="S860" s="1">
        <v>2.5</v>
      </c>
      <c r="T860" s="1" t="str">
        <f t="shared" si="118"/>
        <v>-text 440.100000000093,0 2.5 90 1158886.6</v>
      </c>
    </row>
    <row r="861" spans="1:20" x14ac:dyDescent="0.35">
      <c r="A861" s="1">
        <v>269460</v>
      </c>
      <c r="B861" s="7">
        <v>1158906.7</v>
      </c>
      <c r="C861" s="2">
        <v>268.10199999999998</v>
      </c>
      <c r="D861" s="2">
        <v>268.20600000000002</v>
      </c>
      <c r="E861" s="2">
        <v>0.104</v>
      </c>
      <c r="F861" s="2">
        <v>267.43</v>
      </c>
      <c r="G861" s="2">
        <v>267.49299999999999</v>
      </c>
      <c r="H861" s="2">
        <v>6.3E-2</v>
      </c>
      <c r="I861" s="2">
        <v>267.209</v>
      </c>
      <c r="J861" s="2">
        <v>267.38799999999998</v>
      </c>
      <c r="K861" s="15">
        <v>0.105</v>
      </c>
      <c r="L861" s="2">
        <v>8.1129999999999995</v>
      </c>
      <c r="N861" s="7">
        <f t="shared" si="119"/>
        <v>460.19999999995343</v>
      </c>
      <c r="O861" s="1">
        <v>0</v>
      </c>
      <c r="P861" s="1" t="str">
        <f t="shared" si="120"/>
        <v>460.199999999953,0</v>
      </c>
      <c r="Q861" s="6" t="s">
        <v>10</v>
      </c>
      <c r="R861" s="1">
        <v>90</v>
      </c>
      <c r="S861" s="1">
        <v>2.5</v>
      </c>
      <c r="T861" s="1" t="str">
        <f t="shared" si="118"/>
        <v>-text 460.199999999953,0 2.5 90 1158906.7</v>
      </c>
    </row>
    <row r="862" spans="1:20" x14ac:dyDescent="0.35">
      <c r="A862" s="1">
        <v>269480</v>
      </c>
      <c r="B862" s="7">
        <v>1158926.7</v>
      </c>
      <c r="C862" s="2">
        <v>268.10300000000001</v>
      </c>
      <c r="D862" s="2">
        <v>268.21100000000001</v>
      </c>
      <c r="E862" s="2">
        <v>0.108</v>
      </c>
      <c r="F862" s="2">
        <v>267.43099999999998</v>
      </c>
      <c r="G862" s="2">
        <v>267.49799999999999</v>
      </c>
      <c r="H862" s="2">
        <v>6.7000000000000004E-2</v>
      </c>
      <c r="I862" s="2">
        <v>267.26</v>
      </c>
      <c r="J862" s="2">
        <v>267.35599999999999</v>
      </c>
      <c r="K862" s="15">
        <v>0.14199999999999999</v>
      </c>
      <c r="L862" s="2">
        <v>8.3190000000000008</v>
      </c>
      <c r="N862" s="7">
        <f t="shared" si="119"/>
        <v>480.19999999995343</v>
      </c>
      <c r="O862" s="1">
        <v>0</v>
      </c>
      <c r="P862" s="1" t="str">
        <f t="shared" si="120"/>
        <v>480.199999999953,0</v>
      </c>
      <c r="Q862" s="6" t="s">
        <v>10</v>
      </c>
      <c r="R862" s="1">
        <v>90</v>
      </c>
      <c r="S862" s="1">
        <v>2.5</v>
      </c>
      <c r="T862" s="1" t="str">
        <f t="shared" si="118"/>
        <v>-text 480.199999999953,0 2.5 90 1158926.7</v>
      </c>
    </row>
    <row r="863" spans="1:20" x14ac:dyDescent="0.35">
      <c r="A863" s="1">
        <v>269500</v>
      </c>
      <c r="B863" s="7">
        <v>1158947</v>
      </c>
      <c r="C863" s="2">
        <v>268.096</v>
      </c>
      <c r="D863" s="2">
        <v>268.21699999999998</v>
      </c>
      <c r="E863" s="2">
        <v>0.121</v>
      </c>
      <c r="F863" s="2">
        <v>267.42399999999998</v>
      </c>
      <c r="G863" s="2">
        <v>267.50400000000002</v>
      </c>
      <c r="H863" s="2">
        <v>0.08</v>
      </c>
      <c r="I863" s="2">
        <v>267.08499999999998</v>
      </c>
      <c r="J863" s="2">
        <v>267.38099999999997</v>
      </c>
      <c r="K863" s="15">
        <v>0.122</v>
      </c>
      <c r="L863" s="2">
        <v>8.5790000000000006</v>
      </c>
      <c r="N863" s="7">
        <f t="shared" si="119"/>
        <v>500.5</v>
      </c>
      <c r="O863" s="1">
        <v>0</v>
      </c>
      <c r="P863" s="1" t="str">
        <f t="shared" si="120"/>
        <v>500.5,0</v>
      </c>
      <c r="Q863" s="6" t="s">
        <v>10</v>
      </c>
      <c r="R863" s="1">
        <v>90</v>
      </c>
      <c r="S863" s="1">
        <v>2.5</v>
      </c>
      <c r="T863" s="1" t="str">
        <f t="shared" si="118"/>
        <v>-text 500.5,0 2.5 90 1158947</v>
      </c>
    </row>
    <row r="864" spans="1:20" s="23" customFormat="1" x14ac:dyDescent="0.35">
      <c r="B864" s="24"/>
      <c r="C864" s="25"/>
      <c r="D864" s="25"/>
      <c r="E864" s="25"/>
      <c r="F864" s="25"/>
      <c r="G864" s="25"/>
      <c r="H864" s="25"/>
      <c r="I864" s="25"/>
      <c r="J864" s="25"/>
      <c r="K864" s="26"/>
      <c r="L864" s="25"/>
      <c r="M864" s="25"/>
      <c r="N864" s="24"/>
      <c r="Q864" s="27"/>
    </row>
    <row r="865" spans="1:20" x14ac:dyDescent="0.35">
      <c r="A865" s="1">
        <v>269500</v>
      </c>
      <c r="B865" s="7">
        <v>1158947</v>
      </c>
      <c r="C865" s="2">
        <v>268.096</v>
      </c>
      <c r="D865" s="2">
        <v>268.21699999999998</v>
      </c>
      <c r="E865" s="2">
        <v>0.121</v>
      </c>
      <c r="F865" s="2">
        <v>267.42399999999998</v>
      </c>
      <c r="G865" s="2">
        <v>267.50400000000002</v>
      </c>
      <c r="H865" s="2">
        <v>0.08</v>
      </c>
      <c r="I865" s="2">
        <v>267.08499999999998</v>
      </c>
      <c r="J865" s="2">
        <v>267.38099999999997</v>
      </c>
      <c r="K865" s="15">
        <v>0.122</v>
      </c>
      <c r="L865" s="2">
        <v>8.5790000000000006</v>
      </c>
      <c r="N865" s="7">
        <v>0</v>
      </c>
      <c r="O865" s="1">
        <v>0</v>
      </c>
      <c r="P865" s="1" t="str">
        <f t="shared" ref="P865:P866" si="121">CONCATENATE(N865,",",O865)</f>
        <v>0,0</v>
      </c>
      <c r="Q865" s="6" t="s">
        <v>10</v>
      </c>
      <c r="R865" s="1">
        <v>90</v>
      </c>
      <c r="S865" s="1">
        <v>2.5</v>
      </c>
      <c r="T865" s="1" t="str">
        <f t="shared" ref="T865:T890" si="122">$Q865&amp;" "&amp;$P865&amp;" "&amp;$S865&amp;" "&amp;$R865&amp;" "&amp;$B865</f>
        <v>-text 0,0 2.5 90 1158947</v>
      </c>
    </row>
    <row r="866" spans="1:20" x14ac:dyDescent="0.35">
      <c r="A866" s="1">
        <v>269520</v>
      </c>
      <c r="B866" s="7">
        <v>1158966.8999999999</v>
      </c>
      <c r="C866" s="2">
        <v>268.15100000000001</v>
      </c>
      <c r="D866" s="2">
        <v>268.22199999999998</v>
      </c>
      <c r="E866" s="2">
        <v>7.1999999999999995E-2</v>
      </c>
      <c r="F866" s="2">
        <v>267.47899999999998</v>
      </c>
      <c r="G866" s="2">
        <v>267.50900000000001</v>
      </c>
      <c r="H866" s="2">
        <v>3.1E-2</v>
      </c>
      <c r="I866" s="2">
        <v>266.69799999999998</v>
      </c>
      <c r="J866" s="2">
        <v>267.43900000000002</v>
      </c>
      <c r="K866" s="15">
        <v>7.0000000000000007E-2</v>
      </c>
      <c r="L866" s="2">
        <v>8.9440000000000008</v>
      </c>
      <c r="N866" s="7">
        <f t="shared" ref="N866:N889" si="123">N865+(B866-B865)</f>
        <v>19.899999999906868</v>
      </c>
      <c r="O866" s="1">
        <v>0</v>
      </c>
      <c r="P866" s="1" t="str">
        <f t="shared" si="121"/>
        <v>19.8999999999069,0</v>
      </c>
      <c r="Q866" s="6" t="s">
        <v>10</v>
      </c>
      <c r="R866" s="1">
        <v>90</v>
      </c>
      <c r="S866" s="1">
        <v>2.5</v>
      </c>
      <c r="T866" s="1" t="str">
        <f t="shared" si="122"/>
        <v>-text 19.8999999999069,0 2.5 90 1158966.9</v>
      </c>
    </row>
    <row r="867" spans="1:20" x14ac:dyDescent="0.35">
      <c r="A867" s="1">
        <v>269540</v>
      </c>
      <c r="B867" s="7">
        <v>1158986.8999999999</v>
      </c>
      <c r="C867" s="2">
        <v>268.14800000000002</v>
      </c>
      <c r="D867" s="2">
        <v>268.22800000000001</v>
      </c>
      <c r="E867" s="2">
        <v>0.08</v>
      </c>
      <c r="F867" s="2">
        <v>267.476</v>
      </c>
      <c r="G867" s="2">
        <v>267.51499999999999</v>
      </c>
      <c r="H867" s="2">
        <v>3.9E-2</v>
      </c>
      <c r="I867" s="2">
        <v>266.82400000000001</v>
      </c>
      <c r="J867" s="2">
        <v>267.392</v>
      </c>
      <c r="K867" s="15">
        <v>0.123</v>
      </c>
      <c r="L867" s="2">
        <v>9.2620000000000005</v>
      </c>
      <c r="N867" s="7">
        <f t="shared" si="123"/>
        <v>39.899999999906868</v>
      </c>
      <c r="O867" s="1">
        <v>0</v>
      </c>
      <c r="P867" s="1" t="str">
        <f t="shared" ref="P867:P934" si="124">CONCATENATE(N867,",",O867)</f>
        <v>39.8999999999069,0</v>
      </c>
      <c r="Q867" s="6" t="s">
        <v>10</v>
      </c>
      <c r="R867" s="1">
        <v>90</v>
      </c>
      <c r="S867" s="1">
        <v>2.5</v>
      </c>
      <c r="T867" s="1" t="str">
        <f t="shared" si="122"/>
        <v>-text 39.8999999999069,0 2.5 90 1158986.9</v>
      </c>
    </row>
    <row r="868" spans="1:20" x14ac:dyDescent="0.35">
      <c r="A868" s="1">
        <v>269560</v>
      </c>
      <c r="B868" s="7">
        <v>1159007</v>
      </c>
      <c r="C868" s="2">
        <v>268.13200000000001</v>
      </c>
      <c r="D868" s="2">
        <v>268.233</v>
      </c>
      <c r="E868" s="2">
        <v>0.10199999999999999</v>
      </c>
      <c r="F868" s="2">
        <v>267.45999999999998</v>
      </c>
      <c r="G868" s="2">
        <v>267.52</v>
      </c>
      <c r="H868" s="2">
        <v>6.0999999999999999E-2</v>
      </c>
      <c r="I868" s="2">
        <v>266.95400000000001</v>
      </c>
      <c r="J868" s="2">
        <v>267.26799999999997</v>
      </c>
      <c r="K868" s="15">
        <v>0.252</v>
      </c>
      <c r="L868" s="2">
        <v>9.5389999999999997</v>
      </c>
      <c r="N868" s="7">
        <f t="shared" si="123"/>
        <v>60</v>
      </c>
      <c r="O868" s="1">
        <v>0</v>
      </c>
      <c r="P868" s="1" t="str">
        <f t="shared" si="124"/>
        <v>60,0</v>
      </c>
      <c r="Q868" s="6" t="s">
        <v>10</v>
      </c>
      <c r="R868" s="1">
        <v>90</v>
      </c>
      <c r="S868" s="1">
        <v>2.5</v>
      </c>
      <c r="T868" s="1" t="str">
        <f t="shared" si="122"/>
        <v>-text 60,0 2.5 90 1159007</v>
      </c>
    </row>
    <row r="869" spans="1:20" x14ac:dyDescent="0.35">
      <c r="A869" s="1">
        <v>269580</v>
      </c>
      <c r="B869" s="7">
        <v>1159026.8999999999</v>
      </c>
      <c r="C869" s="2">
        <v>268.12599999999998</v>
      </c>
      <c r="D869" s="2">
        <v>268.23899999999998</v>
      </c>
      <c r="E869" s="2">
        <v>0.113</v>
      </c>
      <c r="F869" s="2">
        <v>267.45400000000001</v>
      </c>
      <c r="G869" s="2">
        <v>267.52600000000001</v>
      </c>
      <c r="H869" s="2">
        <v>7.1999999999999995E-2</v>
      </c>
      <c r="I869" s="2">
        <v>266.94400000000002</v>
      </c>
      <c r="J869" s="2">
        <v>267.15300000000002</v>
      </c>
      <c r="K869" s="15">
        <v>0.373</v>
      </c>
      <c r="L869" s="2">
        <v>9.6739999999999995</v>
      </c>
      <c r="N869" s="7">
        <f t="shared" si="123"/>
        <v>79.899999999906868</v>
      </c>
      <c r="O869" s="1">
        <v>0</v>
      </c>
      <c r="P869" s="1" t="str">
        <f t="shared" si="124"/>
        <v>79.8999999999069,0</v>
      </c>
      <c r="Q869" s="6" t="s">
        <v>10</v>
      </c>
      <c r="R869" s="1">
        <v>90</v>
      </c>
      <c r="S869" s="1">
        <v>2.5</v>
      </c>
      <c r="T869" s="1" t="str">
        <f t="shared" si="122"/>
        <v>-text 79.8999999999069,0 2.5 90 1159026.9</v>
      </c>
    </row>
    <row r="870" spans="1:20" x14ac:dyDescent="0.35">
      <c r="A870" s="1">
        <v>269600</v>
      </c>
      <c r="B870" s="7">
        <v>1159047</v>
      </c>
      <c r="C870" s="2">
        <v>268.13799999999998</v>
      </c>
      <c r="D870" s="2">
        <v>268.245</v>
      </c>
      <c r="E870" s="2">
        <v>0.107</v>
      </c>
      <c r="F870" s="2">
        <v>267.46600000000001</v>
      </c>
      <c r="G870" s="2">
        <v>267.53199999999998</v>
      </c>
      <c r="H870" s="2">
        <v>6.6000000000000003E-2</v>
      </c>
      <c r="I870" s="2">
        <v>266.86099999999999</v>
      </c>
      <c r="J870" s="2">
        <v>267.30799999999999</v>
      </c>
      <c r="K870" s="15">
        <v>0.223</v>
      </c>
      <c r="L870" s="2">
        <v>9.6969999999999992</v>
      </c>
      <c r="N870" s="7">
        <f t="shared" si="123"/>
        <v>100</v>
      </c>
      <c r="O870" s="1">
        <v>0</v>
      </c>
      <c r="P870" s="1" t="str">
        <f t="shared" si="124"/>
        <v>100,0</v>
      </c>
      <c r="Q870" s="6" t="s">
        <v>10</v>
      </c>
      <c r="R870" s="1">
        <v>90</v>
      </c>
      <c r="S870" s="1">
        <v>2.5</v>
      </c>
      <c r="T870" s="1" t="str">
        <f t="shared" si="122"/>
        <v>-text 100,0 2.5 90 1159047</v>
      </c>
    </row>
    <row r="871" spans="1:20" x14ac:dyDescent="0.35">
      <c r="A871" s="1">
        <v>269620</v>
      </c>
      <c r="B871" s="7">
        <v>1159066.8999999999</v>
      </c>
      <c r="C871" s="2">
        <v>268.142</v>
      </c>
      <c r="D871" s="2">
        <v>268.262</v>
      </c>
      <c r="E871" s="2">
        <v>0.12</v>
      </c>
      <c r="F871" s="2">
        <v>267.47000000000003</v>
      </c>
      <c r="G871" s="2">
        <v>267.54899999999998</v>
      </c>
      <c r="H871" s="2">
        <v>7.9000000000000001E-2</v>
      </c>
      <c r="I871" s="2">
        <v>266.8</v>
      </c>
      <c r="J871" s="2">
        <v>267.23399999999998</v>
      </c>
      <c r="K871" s="15">
        <v>0.315</v>
      </c>
      <c r="L871" s="2">
        <v>9.641</v>
      </c>
      <c r="N871" s="7">
        <f t="shared" si="123"/>
        <v>119.89999999990687</v>
      </c>
      <c r="O871" s="1">
        <v>0</v>
      </c>
      <c r="P871" s="1" t="str">
        <f t="shared" si="124"/>
        <v>119.899999999907,0</v>
      </c>
      <c r="Q871" s="6" t="s">
        <v>10</v>
      </c>
      <c r="R871" s="1">
        <v>90</v>
      </c>
      <c r="S871" s="1">
        <v>2.5</v>
      </c>
      <c r="T871" s="1" t="str">
        <f t="shared" si="122"/>
        <v>-text 119.899999999907,0 2.5 90 1159066.9</v>
      </c>
    </row>
    <row r="872" spans="1:20" x14ac:dyDescent="0.35">
      <c r="A872" s="1">
        <v>269640</v>
      </c>
      <c r="B872" s="7">
        <v>1159087</v>
      </c>
      <c r="C872" s="2">
        <v>268.13799999999998</v>
      </c>
      <c r="D872" s="2">
        <v>268.27999999999997</v>
      </c>
      <c r="E872" s="2">
        <v>0.14199999999999999</v>
      </c>
      <c r="F872" s="2">
        <v>267.46600000000001</v>
      </c>
      <c r="G872" s="2">
        <v>267.56700000000001</v>
      </c>
      <c r="H872" s="2">
        <v>0.10100000000000001</v>
      </c>
      <c r="I872" s="2">
        <v>266.83199999999999</v>
      </c>
      <c r="J872" s="2">
        <v>267.01900000000001</v>
      </c>
      <c r="K872" s="15">
        <v>0.54800000000000004</v>
      </c>
      <c r="L872" s="2">
        <v>9.4960000000000004</v>
      </c>
      <c r="N872" s="7">
        <f t="shared" si="123"/>
        <v>140</v>
      </c>
      <c r="O872" s="1">
        <v>0</v>
      </c>
      <c r="P872" s="1" t="str">
        <f t="shared" si="124"/>
        <v>140,0</v>
      </c>
      <c r="Q872" s="6" t="s">
        <v>10</v>
      </c>
      <c r="R872" s="1">
        <v>90</v>
      </c>
      <c r="S872" s="1">
        <v>2.5</v>
      </c>
      <c r="T872" s="1" t="str">
        <f t="shared" si="122"/>
        <v>-text 140,0 2.5 90 1159087</v>
      </c>
    </row>
    <row r="873" spans="1:20" x14ac:dyDescent="0.35">
      <c r="A873" s="1">
        <v>269660</v>
      </c>
      <c r="B873" s="7">
        <v>1159107</v>
      </c>
      <c r="C873" s="2">
        <v>268.137</v>
      </c>
      <c r="D873" s="2">
        <v>268.298</v>
      </c>
      <c r="E873" s="2">
        <v>0.161</v>
      </c>
      <c r="F873" s="2">
        <v>267.46499999999997</v>
      </c>
      <c r="G873" s="2">
        <v>267.58499999999998</v>
      </c>
      <c r="H873" s="2">
        <v>0.12</v>
      </c>
      <c r="I873" s="2">
        <v>267.49099999999999</v>
      </c>
      <c r="J873" s="2">
        <v>267.54899999999998</v>
      </c>
      <c r="K873" s="15">
        <v>3.5999999999999997E-2</v>
      </c>
      <c r="L873" s="2">
        <v>9.2710000000000008</v>
      </c>
      <c r="N873" s="7">
        <f t="shared" si="123"/>
        <v>160</v>
      </c>
      <c r="O873" s="1">
        <v>0</v>
      </c>
      <c r="P873" s="1" t="str">
        <f t="shared" si="124"/>
        <v>160,0</v>
      </c>
      <c r="Q873" s="6" t="s">
        <v>10</v>
      </c>
      <c r="R873" s="1">
        <v>90</v>
      </c>
      <c r="S873" s="1">
        <v>2.5</v>
      </c>
      <c r="T873" s="1" t="str">
        <f t="shared" si="122"/>
        <v>-text 160,0 2.5 90 1159107</v>
      </c>
    </row>
    <row r="874" spans="1:20" x14ac:dyDescent="0.35">
      <c r="A874" s="1">
        <v>269680</v>
      </c>
      <c r="B874" s="7">
        <v>1159127.1000000001</v>
      </c>
      <c r="C874" s="2">
        <v>268.12099999999998</v>
      </c>
      <c r="D874" s="2">
        <v>268.31599999999997</v>
      </c>
      <c r="E874" s="2">
        <v>0.19500000000000001</v>
      </c>
      <c r="F874" s="2">
        <v>267.44900000000001</v>
      </c>
      <c r="G874" s="2">
        <v>267.60300000000001</v>
      </c>
      <c r="H874" s="2">
        <v>0.154</v>
      </c>
      <c r="I874" s="2">
        <v>268.08499999999998</v>
      </c>
      <c r="J874" s="2">
        <v>267.89299999999997</v>
      </c>
      <c r="K874" s="10">
        <v>-0.28999999999999998</v>
      </c>
      <c r="L874" s="2">
        <v>8.9719999999999995</v>
      </c>
      <c r="N874" s="7">
        <f t="shared" si="123"/>
        <v>180.10000000009313</v>
      </c>
      <c r="O874" s="1">
        <v>0</v>
      </c>
      <c r="P874" s="1" t="str">
        <f t="shared" si="124"/>
        <v>180.100000000093,0</v>
      </c>
      <c r="Q874" s="6" t="s">
        <v>10</v>
      </c>
      <c r="R874" s="1">
        <v>90</v>
      </c>
      <c r="S874" s="1">
        <v>2.5</v>
      </c>
      <c r="T874" s="1" t="str">
        <f t="shared" si="122"/>
        <v>-text 180.100000000093,0 2.5 90 1159127.1</v>
      </c>
    </row>
    <row r="875" spans="1:20" x14ac:dyDescent="0.35">
      <c r="A875" s="1">
        <v>269700</v>
      </c>
      <c r="B875" s="7">
        <v>1159147.1000000001</v>
      </c>
      <c r="C875" s="2">
        <v>268.09800000000001</v>
      </c>
      <c r="D875" s="2">
        <v>268.334</v>
      </c>
      <c r="E875" s="2">
        <v>0.23599999999999999</v>
      </c>
      <c r="F875" s="2">
        <v>267.42599999999999</v>
      </c>
      <c r="G875" s="2">
        <v>267.62099999999998</v>
      </c>
      <c r="H875" s="2">
        <v>0.19500000000000001</v>
      </c>
      <c r="I875" s="2">
        <v>267.66000000000003</v>
      </c>
      <c r="J875" s="2">
        <v>267.56599999999997</v>
      </c>
      <c r="K875" s="15">
        <v>5.3999999999999999E-2</v>
      </c>
      <c r="L875" s="2">
        <v>8.7579999999999991</v>
      </c>
      <c r="N875" s="7">
        <f t="shared" si="123"/>
        <v>200.10000000009313</v>
      </c>
      <c r="O875" s="1">
        <v>0</v>
      </c>
      <c r="P875" s="1" t="str">
        <f t="shared" si="124"/>
        <v>200.100000000093,0</v>
      </c>
      <c r="Q875" s="6" t="s">
        <v>10</v>
      </c>
      <c r="R875" s="1">
        <v>90</v>
      </c>
      <c r="S875" s="1">
        <v>2.5</v>
      </c>
      <c r="T875" s="1" t="str">
        <f t="shared" si="122"/>
        <v>-text 200.100000000093,0 2.5 90 1159147.1</v>
      </c>
    </row>
    <row r="876" spans="1:20" x14ac:dyDescent="0.35">
      <c r="A876" s="1">
        <v>269720</v>
      </c>
      <c r="B876" s="7">
        <v>1159167.1000000001</v>
      </c>
      <c r="C876" s="2">
        <v>268.09800000000001</v>
      </c>
      <c r="D876" s="2">
        <v>268.35199999999998</v>
      </c>
      <c r="E876" s="2">
        <v>0.254</v>
      </c>
      <c r="F876" s="2">
        <v>267.42599999999999</v>
      </c>
      <c r="G876" s="2">
        <v>267.63900000000001</v>
      </c>
      <c r="H876" s="2">
        <v>0.21299999999999999</v>
      </c>
      <c r="I876" s="2">
        <v>267.584</v>
      </c>
      <c r="J876" s="2">
        <v>267.577</v>
      </c>
      <c r="K876" s="15">
        <v>6.2E-2</v>
      </c>
      <c r="L876" s="2">
        <v>8.5340000000000007</v>
      </c>
      <c r="N876" s="7">
        <f t="shared" si="123"/>
        <v>220.10000000009313</v>
      </c>
      <c r="O876" s="1">
        <v>0</v>
      </c>
      <c r="P876" s="1" t="str">
        <f t="shared" si="124"/>
        <v>220.100000000093,0</v>
      </c>
      <c r="Q876" s="6" t="s">
        <v>10</v>
      </c>
      <c r="R876" s="1">
        <v>90</v>
      </c>
      <c r="S876" s="1">
        <v>2.5</v>
      </c>
      <c r="T876" s="1" t="str">
        <f t="shared" si="122"/>
        <v>-text 220.100000000093,0 2.5 90 1159167.1</v>
      </c>
    </row>
    <row r="877" spans="1:20" x14ac:dyDescent="0.35">
      <c r="A877" s="1">
        <v>269740</v>
      </c>
      <c r="B877" s="7">
        <v>1159187.2</v>
      </c>
      <c r="C877" s="2">
        <v>268.12099999999998</v>
      </c>
      <c r="D877" s="2">
        <v>268.37</v>
      </c>
      <c r="E877" s="2">
        <v>0.249</v>
      </c>
      <c r="F877" s="2">
        <v>267.44900000000001</v>
      </c>
      <c r="G877" s="2">
        <v>267.65699999999998</v>
      </c>
      <c r="H877" s="2">
        <v>0.20799999999999999</v>
      </c>
      <c r="I877" s="2">
        <v>266.92</v>
      </c>
      <c r="J877" s="2">
        <v>267.38299999999998</v>
      </c>
      <c r="K877" s="15">
        <v>0.27400000000000002</v>
      </c>
      <c r="L877" s="2">
        <v>8.3109999999999999</v>
      </c>
      <c r="N877" s="7">
        <f t="shared" si="123"/>
        <v>240.19999999995343</v>
      </c>
      <c r="O877" s="1">
        <v>0</v>
      </c>
      <c r="P877" s="1" t="str">
        <f t="shared" si="124"/>
        <v>240.199999999953,0</v>
      </c>
      <c r="Q877" s="6" t="s">
        <v>10</v>
      </c>
      <c r="R877" s="1">
        <v>90</v>
      </c>
      <c r="S877" s="1">
        <v>2.5</v>
      </c>
      <c r="T877" s="1" t="str">
        <f t="shared" si="122"/>
        <v>-text 240.199999999953,0 2.5 90 1159187.2</v>
      </c>
    </row>
    <row r="878" spans="1:20" x14ac:dyDescent="0.35">
      <c r="A878" s="1">
        <v>269760</v>
      </c>
      <c r="B878" s="7">
        <v>1159207.3</v>
      </c>
      <c r="C878" s="2">
        <v>268.137</v>
      </c>
      <c r="D878" s="2">
        <v>268.38799999999998</v>
      </c>
      <c r="E878" s="2">
        <v>0.251</v>
      </c>
      <c r="F878" s="2">
        <v>267.46499999999997</v>
      </c>
      <c r="G878" s="2">
        <v>267.67500000000001</v>
      </c>
      <c r="H878" s="2">
        <v>0.21</v>
      </c>
      <c r="I878" s="2">
        <v>267.18299999999999</v>
      </c>
      <c r="J878" s="2">
        <v>267.358</v>
      </c>
      <c r="K878" s="15">
        <v>0.317</v>
      </c>
      <c r="L878" s="2">
        <v>8.2710000000000008</v>
      </c>
      <c r="N878" s="7">
        <f t="shared" si="123"/>
        <v>260.30000000004657</v>
      </c>
      <c r="O878" s="1">
        <v>0</v>
      </c>
      <c r="P878" s="1" t="str">
        <f t="shared" si="124"/>
        <v>260.300000000047,0</v>
      </c>
      <c r="Q878" s="6" t="s">
        <v>10</v>
      </c>
      <c r="R878" s="1">
        <v>90</v>
      </c>
      <c r="S878" s="1">
        <v>2.5</v>
      </c>
      <c r="T878" s="1" t="str">
        <f t="shared" si="122"/>
        <v>-text 260.300000000047,0 2.5 90 1159207.3</v>
      </c>
    </row>
    <row r="879" spans="1:20" x14ac:dyDescent="0.35">
      <c r="A879" s="1">
        <v>269780</v>
      </c>
      <c r="B879" s="7">
        <v>1159227.3</v>
      </c>
      <c r="C879" s="2">
        <v>268.185</v>
      </c>
      <c r="D879" s="2">
        <v>268.40600000000001</v>
      </c>
      <c r="E879" s="2">
        <v>0.22</v>
      </c>
      <c r="F879" s="2">
        <v>267.51299999999998</v>
      </c>
      <c r="G879" s="2">
        <v>267.69299999999998</v>
      </c>
      <c r="H879" s="2">
        <v>0.17899999999999999</v>
      </c>
      <c r="I879" s="2">
        <v>267.31599999999997</v>
      </c>
      <c r="J879" s="2">
        <v>267.32100000000003</v>
      </c>
      <c r="K879" s="15">
        <v>0.372</v>
      </c>
      <c r="L879" s="2">
        <v>8.15</v>
      </c>
      <c r="N879" s="7">
        <f t="shared" si="123"/>
        <v>280.30000000004657</v>
      </c>
      <c r="O879" s="1">
        <v>0</v>
      </c>
      <c r="P879" s="1" t="str">
        <f t="shared" si="124"/>
        <v>280.300000000047,0</v>
      </c>
      <c r="Q879" s="6" t="s">
        <v>10</v>
      </c>
      <c r="R879" s="1">
        <v>90</v>
      </c>
      <c r="S879" s="1">
        <v>2.5</v>
      </c>
      <c r="T879" s="1" t="str">
        <f t="shared" si="122"/>
        <v>-text 280.300000000047,0 2.5 90 1159227.3</v>
      </c>
    </row>
    <row r="880" spans="1:20" x14ac:dyDescent="0.35">
      <c r="A880" s="1">
        <v>269800</v>
      </c>
      <c r="B880" s="7">
        <v>1159247.5</v>
      </c>
      <c r="C880" s="2">
        <v>268.28199999999998</v>
      </c>
      <c r="D880" s="2">
        <v>268.42399999999998</v>
      </c>
      <c r="E880" s="2">
        <v>0.14199999999999999</v>
      </c>
      <c r="F880" s="2">
        <v>267.61</v>
      </c>
      <c r="G880" s="2">
        <v>267.71100000000001</v>
      </c>
      <c r="H880" s="2">
        <v>0.10100000000000001</v>
      </c>
      <c r="I880" s="2">
        <v>267.02600000000001</v>
      </c>
      <c r="J880" s="2">
        <v>267.46899999999999</v>
      </c>
      <c r="K880" s="15">
        <v>0.24199999999999999</v>
      </c>
      <c r="L880" s="2">
        <v>8.41</v>
      </c>
      <c r="N880" s="7">
        <f t="shared" si="123"/>
        <v>300.5</v>
      </c>
      <c r="O880" s="1">
        <v>0</v>
      </c>
      <c r="P880" s="1" t="str">
        <f t="shared" si="124"/>
        <v>300.5,0</v>
      </c>
      <c r="Q880" s="6" t="s">
        <v>10</v>
      </c>
      <c r="R880" s="1">
        <v>90</v>
      </c>
      <c r="S880" s="1">
        <v>2.5</v>
      </c>
      <c r="T880" s="1" t="str">
        <f t="shared" si="122"/>
        <v>-text 300.5,0 2.5 90 1159247.5</v>
      </c>
    </row>
    <row r="881" spans="1:20" x14ac:dyDescent="0.35">
      <c r="A881" s="1">
        <v>269820</v>
      </c>
      <c r="B881" s="7">
        <v>1159267.3</v>
      </c>
      <c r="C881" s="2">
        <v>268.33499999999998</v>
      </c>
      <c r="D881" s="2">
        <v>268.44200000000001</v>
      </c>
      <c r="E881" s="2">
        <v>0.107</v>
      </c>
      <c r="F881" s="2">
        <v>267.66300000000001</v>
      </c>
      <c r="G881" s="2">
        <v>267.72899999999998</v>
      </c>
      <c r="H881" s="2">
        <v>6.6000000000000003E-2</v>
      </c>
      <c r="I881" s="2">
        <v>267.202</v>
      </c>
      <c r="J881" s="2">
        <v>267.44799999999998</v>
      </c>
      <c r="K881" s="15">
        <v>0.28100000000000003</v>
      </c>
      <c r="L881" s="2">
        <v>8.5640000000000001</v>
      </c>
      <c r="N881" s="7">
        <f t="shared" si="123"/>
        <v>320.30000000004657</v>
      </c>
      <c r="O881" s="1">
        <v>0</v>
      </c>
      <c r="P881" s="1" t="str">
        <f t="shared" si="124"/>
        <v>320.300000000047,0</v>
      </c>
      <c r="Q881" s="6" t="s">
        <v>10</v>
      </c>
      <c r="R881" s="1">
        <v>90</v>
      </c>
      <c r="S881" s="1">
        <v>2.5</v>
      </c>
      <c r="T881" s="1" t="str">
        <f t="shared" si="122"/>
        <v>-text 320.300000000047,0 2.5 90 1159267.3</v>
      </c>
    </row>
    <row r="882" spans="1:20" x14ac:dyDescent="0.35">
      <c r="A882" s="1">
        <v>269840</v>
      </c>
      <c r="B882" s="7">
        <v>1159287.3</v>
      </c>
      <c r="C882" s="2">
        <v>268.34699999999998</v>
      </c>
      <c r="D882" s="2">
        <v>268.45999999999998</v>
      </c>
      <c r="E882" s="2">
        <v>0.113</v>
      </c>
      <c r="F882" s="2">
        <v>267.67500000000001</v>
      </c>
      <c r="G882" s="2">
        <v>267.74700000000001</v>
      </c>
      <c r="H882" s="2">
        <v>7.1999999999999995E-2</v>
      </c>
      <c r="I882" s="2">
        <v>267.64600000000002</v>
      </c>
      <c r="J882" s="2">
        <v>268.20999999999998</v>
      </c>
      <c r="K882" s="10">
        <v>-0.46400000000000002</v>
      </c>
      <c r="L882" s="2">
        <v>8.5730000000000004</v>
      </c>
      <c r="N882" s="7">
        <f t="shared" si="123"/>
        <v>340.30000000004657</v>
      </c>
      <c r="O882" s="1">
        <v>0</v>
      </c>
      <c r="P882" s="1" t="str">
        <f t="shared" si="124"/>
        <v>340.300000000047,0</v>
      </c>
      <c r="Q882" s="6" t="s">
        <v>10</v>
      </c>
      <c r="R882" s="1">
        <v>90</v>
      </c>
      <c r="S882" s="1">
        <v>2.5</v>
      </c>
      <c r="T882" s="1" t="str">
        <f t="shared" si="122"/>
        <v>-text 340.300000000047,0 2.5 90 1159287.3</v>
      </c>
    </row>
    <row r="883" spans="1:20" x14ac:dyDescent="0.35">
      <c r="A883" s="1">
        <v>269860</v>
      </c>
      <c r="B883" s="7">
        <v>1159307.3</v>
      </c>
      <c r="C883" s="2">
        <v>268.36</v>
      </c>
      <c r="D883" s="2">
        <v>268.47800000000001</v>
      </c>
      <c r="E883" s="2">
        <v>0.11799999999999999</v>
      </c>
      <c r="F883" s="2">
        <v>267.68799999999999</v>
      </c>
      <c r="G883" s="2">
        <v>267.76499999999999</v>
      </c>
      <c r="H883" s="2">
        <v>7.6999999999999999E-2</v>
      </c>
      <c r="I883" s="2">
        <v>265.94400000000002</v>
      </c>
      <c r="J883" s="2">
        <v>265.55</v>
      </c>
      <c r="K883" s="15">
        <v>2.2149999999999999</v>
      </c>
      <c r="L883" s="2">
        <v>8.5679999999999996</v>
      </c>
      <c r="N883" s="7">
        <f t="shared" si="123"/>
        <v>360.30000000004657</v>
      </c>
      <c r="O883" s="1">
        <v>0</v>
      </c>
      <c r="P883" s="1" t="str">
        <f t="shared" si="124"/>
        <v>360.300000000047,0</v>
      </c>
      <c r="Q883" s="6" t="s">
        <v>10</v>
      </c>
      <c r="R883" s="1">
        <v>90</v>
      </c>
      <c r="S883" s="1">
        <v>2.5</v>
      </c>
      <c r="T883" s="1" t="str">
        <f t="shared" si="122"/>
        <v>-text 360.300000000047,0 2.5 90 1159307.3</v>
      </c>
    </row>
    <row r="884" spans="1:20" x14ac:dyDescent="0.35">
      <c r="A884" s="1">
        <v>269880</v>
      </c>
      <c r="B884" s="7">
        <v>1159327.3</v>
      </c>
      <c r="C884" s="2">
        <v>268.35399999999998</v>
      </c>
      <c r="D884" s="2">
        <v>268.49599999999998</v>
      </c>
      <c r="E884" s="2">
        <v>0.14199999999999999</v>
      </c>
      <c r="F884" s="2">
        <v>267.68200000000002</v>
      </c>
      <c r="G884" s="2">
        <v>267.78300000000002</v>
      </c>
      <c r="H884" s="2">
        <v>0.10100000000000001</v>
      </c>
      <c r="I884" s="2">
        <v>265.38799999999998</v>
      </c>
      <c r="J884" s="2">
        <v>265.50299999999999</v>
      </c>
      <c r="K884" s="15">
        <v>2.2799999999999998</v>
      </c>
      <c r="L884" s="2">
        <v>8.6029999999999998</v>
      </c>
      <c r="N884" s="7">
        <f t="shared" si="123"/>
        <v>380.30000000004657</v>
      </c>
      <c r="O884" s="1">
        <v>0</v>
      </c>
      <c r="P884" s="1" t="str">
        <f t="shared" si="124"/>
        <v>380.300000000047,0</v>
      </c>
      <c r="Q884" s="6" t="s">
        <v>10</v>
      </c>
      <c r="R884" s="1">
        <v>90</v>
      </c>
      <c r="S884" s="1">
        <v>2.5</v>
      </c>
      <c r="T884" s="1" t="str">
        <f t="shared" si="122"/>
        <v>-text 380.300000000047,0 2.5 90 1159327.3</v>
      </c>
    </row>
    <row r="885" spans="1:20" x14ac:dyDescent="0.35">
      <c r="A885" s="1">
        <v>269900</v>
      </c>
      <c r="B885" s="7">
        <v>1159347.3</v>
      </c>
      <c r="C885" s="2">
        <v>268.36</v>
      </c>
      <c r="D885" s="2">
        <v>268.51400000000001</v>
      </c>
      <c r="E885" s="2">
        <v>0.153</v>
      </c>
      <c r="F885" s="2">
        <v>267.68799999999999</v>
      </c>
      <c r="G885" s="2">
        <v>267.80099999999999</v>
      </c>
      <c r="H885" s="2">
        <v>0.112</v>
      </c>
      <c r="I885" s="2">
        <v>265.43099999999998</v>
      </c>
      <c r="J885" s="2">
        <v>265.54199999999997</v>
      </c>
      <c r="K885" s="15">
        <v>2.2589999999999999</v>
      </c>
      <c r="L885" s="2">
        <v>8.6359999999999992</v>
      </c>
      <c r="N885" s="7">
        <f t="shared" si="123"/>
        <v>400.30000000004657</v>
      </c>
      <c r="O885" s="1">
        <v>0</v>
      </c>
      <c r="P885" s="1" t="str">
        <f t="shared" si="124"/>
        <v>400.300000000047,0</v>
      </c>
      <c r="Q885" s="6" t="s">
        <v>10</v>
      </c>
      <c r="R885" s="1">
        <v>90</v>
      </c>
      <c r="S885" s="1">
        <v>2.5</v>
      </c>
      <c r="T885" s="1" t="str">
        <f t="shared" si="122"/>
        <v>-text 400.300000000047,0 2.5 90 1159347.3</v>
      </c>
    </row>
    <row r="886" spans="1:20" x14ac:dyDescent="0.35">
      <c r="A886" s="1">
        <v>269920</v>
      </c>
      <c r="B886" s="7">
        <v>1159367.3</v>
      </c>
      <c r="C886" s="2">
        <v>268.37900000000002</v>
      </c>
      <c r="D886" s="2">
        <v>268.53100000000001</v>
      </c>
      <c r="E886" s="2">
        <v>0.153</v>
      </c>
      <c r="F886" s="2">
        <v>267.70699999999999</v>
      </c>
      <c r="G886" s="2">
        <v>267.81799999999998</v>
      </c>
      <c r="H886" s="2">
        <v>0.112</v>
      </c>
      <c r="I886" s="2">
        <v>265.517</v>
      </c>
      <c r="J886" s="2">
        <v>265.58100000000002</v>
      </c>
      <c r="K886" s="15">
        <v>2.238</v>
      </c>
      <c r="L886" s="2">
        <v>8.6720000000000006</v>
      </c>
      <c r="N886" s="7">
        <f t="shared" si="123"/>
        <v>420.30000000004657</v>
      </c>
      <c r="O886" s="1">
        <v>0</v>
      </c>
      <c r="P886" s="1" t="str">
        <f t="shared" si="124"/>
        <v>420.300000000047,0</v>
      </c>
      <c r="Q886" s="6" t="s">
        <v>10</v>
      </c>
      <c r="R886" s="1">
        <v>90</v>
      </c>
      <c r="S886" s="1">
        <v>2.5</v>
      </c>
      <c r="T886" s="1" t="str">
        <f t="shared" si="122"/>
        <v>-text 420.300000000047,0 2.5 90 1159367.3</v>
      </c>
    </row>
    <row r="887" spans="1:20" x14ac:dyDescent="0.35">
      <c r="A887" s="1">
        <v>269940</v>
      </c>
      <c r="B887" s="7">
        <v>1159387.3</v>
      </c>
      <c r="C887" s="2">
        <v>268.38900000000001</v>
      </c>
      <c r="D887" s="2">
        <v>268.54899999999998</v>
      </c>
      <c r="E887" s="2">
        <v>0.16</v>
      </c>
      <c r="F887" s="2">
        <v>267.71699999999998</v>
      </c>
      <c r="G887" s="2">
        <v>267.83600000000001</v>
      </c>
      <c r="H887" s="2">
        <v>0.11899999999999999</v>
      </c>
      <c r="I887" s="2">
        <v>265.66399999999999</v>
      </c>
      <c r="J887" s="2">
        <v>265.62099999999998</v>
      </c>
      <c r="K887" s="15">
        <v>2.2160000000000002</v>
      </c>
      <c r="L887" s="2">
        <v>8.7189999999999994</v>
      </c>
      <c r="N887" s="7">
        <f t="shared" si="123"/>
        <v>440.30000000004657</v>
      </c>
      <c r="O887" s="1">
        <v>0</v>
      </c>
      <c r="P887" s="1" t="str">
        <f t="shared" si="124"/>
        <v>440.300000000047,0</v>
      </c>
      <c r="Q887" s="6" t="s">
        <v>10</v>
      </c>
      <c r="R887" s="1">
        <v>90</v>
      </c>
      <c r="S887" s="1">
        <v>2.5</v>
      </c>
      <c r="T887" s="1" t="str">
        <f t="shared" si="122"/>
        <v>-text 440.300000000047,0 2.5 90 1159387.3</v>
      </c>
    </row>
    <row r="888" spans="1:20" x14ac:dyDescent="0.35">
      <c r="A888" s="1">
        <v>269960</v>
      </c>
      <c r="B888" s="7">
        <v>1159407.3</v>
      </c>
      <c r="C888" s="2">
        <v>268.38600000000002</v>
      </c>
      <c r="D888" s="2">
        <v>268.56700000000001</v>
      </c>
      <c r="E888" s="2">
        <v>0.182</v>
      </c>
      <c r="F888" s="2">
        <v>267.714</v>
      </c>
      <c r="G888" s="2">
        <v>267.85399999999998</v>
      </c>
      <c r="H888" s="2">
        <v>0.14099999999999999</v>
      </c>
      <c r="I888" s="2">
        <v>265.80099999999999</v>
      </c>
      <c r="J888" s="2">
        <v>265.65899999999999</v>
      </c>
      <c r="K888" s="15">
        <v>2.1949999999999998</v>
      </c>
      <c r="L888" s="2">
        <v>8.7539999999999996</v>
      </c>
      <c r="N888" s="7">
        <f t="shared" si="123"/>
        <v>460.30000000004657</v>
      </c>
      <c r="O888" s="1">
        <v>0</v>
      </c>
      <c r="P888" s="1" t="str">
        <f t="shared" si="124"/>
        <v>460.300000000047,0</v>
      </c>
      <c r="Q888" s="6" t="s">
        <v>10</v>
      </c>
      <c r="R888" s="1">
        <v>90</v>
      </c>
      <c r="S888" s="1">
        <v>2.5</v>
      </c>
      <c r="T888" s="1" t="str">
        <f t="shared" si="122"/>
        <v>-text 460.300000000047,0 2.5 90 1159407.3</v>
      </c>
    </row>
    <row r="889" spans="1:20" x14ac:dyDescent="0.35">
      <c r="A889" s="1">
        <v>269980</v>
      </c>
      <c r="B889" s="7">
        <v>1159427.3</v>
      </c>
      <c r="C889" s="2">
        <v>268.35700000000003</v>
      </c>
      <c r="D889" s="2">
        <v>268.58499999999998</v>
      </c>
      <c r="E889" s="2">
        <v>0.22800000000000001</v>
      </c>
      <c r="F889" s="2">
        <v>267.685</v>
      </c>
      <c r="G889" s="2">
        <v>267.87200000000001</v>
      </c>
      <c r="H889" s="2">
        <v>0.187</v>
      </c>
      <c r="I889" s="2">
        <v>265.83499999999998</v>
      </c>
      <c r="J889" s="2">
        <v>265.709</v>
      </c>
      <c r="K889" s="15">
        <v>2.1640000000000001</v>
      </c>
      <c r="L889" s="2">
        <v>8.7859999999999996</v>
      </c>
      <c r="N889" s="7">
        <f t="shared" si="123"/>
        <v>480.30000000004657</v>
      </c>
      <c r="O889" s="1">
        <v>0</v>
      </c>
      <c r="P889" s="1" t="str">
        <f t="shared" si="124"/>
        <v>480.300000000047,0</v>
      </c>
      <c r="Q889" s="6" t="s">
        <v>10</v>
      </c>
      <c r="R889" s="1">
        <v>90</v>
      </c>
      <c r="S889" s="1">
        <v>2.5</v>
      </c>
      <c r="T889" s="1" t="str">
        <f t="shared" si="122"/>
        <v>-text 480.300000000047,0 2.5 90 1159427.3</v>
      </c>
    </row>
    <row r="890" spans="1:20" x14ac:dyDescent="0.35">
      <c r="A890" s="1">
        <v>270000</v>
      </c>
      <c r="B890" s="7">
        <v>1159447.3999999999</v>
      </c>
      <c r="C890" s="2">
        <v>268.34100000000001</v>
      </c>
      <c r="D890" s="2">
        <v>268.60300000000001</v>
      </c>
      <c r="E890" s="2">
        <v>0.26200000000000001</v>
      </c>
      <c r="F890" s="2">
        <v>267.66899999999998</v>
      </c>
      <c r="G890" s="2">
        <v>267.89</v>
      </c>
      <c r="H890" s="2">
        <v>0.221</v>
      </c>
      <c r="I890" s="2">
        <v>265.75900000000001</v>
      </c>
      <c r="J890" s="2">
        <v>265.61500000000001</v>
      </c>
      <c r="K890" s="15">
        <v>2.2749999999999999</v>
      </c>
      <c r="L890" s="2">
        <v>8.8420000000000005</v>
      </c>
      <c r="N890" s="7">
        <f>N887+(B890-B887)</f>
        <v>500.39999999990687</v>
      </c>
      <c r="O890" s="1">
        <v>0</v>
      </c>
      <c r="P890" s="1" t="str">
        <f t="shared" ref="P890" si="125">CONCATENATE(N890,",",O890)</f>
        <v>500.399999999907,0</v>
      </c>
      <c r="Q890" s="6" t="s">
        <v>10</v>
      </c>
      <c r="R890" s="1">
        <v>90</v>
      </c>
      <c r="S890" s="1">
        <v>2.5</v>
      </c>
      <c r="T890" s="1" t="str">
        <f t="shared" si="122"/>
        <v>-text 500.399999999907,0 2.5 90 1159447.4</v>
      </c>
    </row>
    <row r="891" spans="1:20" s="10" customFormat="1" x14ac:dyDescent="0.35">
      <c r="B891" s="11"/>
      <c r="C891" s="9"/>
      <c r="D891" s="9"/>
      <c r="E891" s="9"/>
      <c r="F891" s="9"/>
      <c r="G891" s="9"/>
      <c r="H891" s="9"/>
      <c r="I891" s="9"/>
      <c r="J891" s="9"/>
      <c r="K891" s="16"/>
      <c r="L891" s="9"/>
      <c r="M891" s="9"/>
      <c r="N891" s="11"/>
      <c r="Q891" s="12"/>
    </row>
    <row r="892" spans="1:20" x14ac:dyDescent="0.35">
      <c r="A892" s="1">
        <v>270000</v>
      </c>
      <c r="B892" s="7">
        <v>1159447.3999999999</v>
      </c>
      <c r="C892" s="2">
        <v>268.34100000000001</v>
      </c>
      <c r="D892" s="2">
        <v>268.60300000000001</v>
      </c>
      <c r="E892" s="2">
        <v>0.26200000000000001</v>
      </c>
      <c r="F892" s="2">
        <v>267.66899999999998</v>
      </c>
      <c r="G892" s="2">
        <v>267.89</v>
      </c>
      <c r="H892" s="2">
        <v>0.221</v>
      </c>
      <c r="I892" s="2">
        <v>265.75900000000001</v>
      </c>
      <c r="J892" s="2">
        <v>265.61500000000001</v>
      </c>
      <c r="K892" s="15">
        <v>2.2749999999999999</v>
      </c>
      <c r="L892" s="2">
        <v>8.8420000000000005</v>
      </c>
      <c r="N892" s="7">
        <v>0</v>
      </c>
      <c r="O892" s="1">
        <v>0</v>
      </c>
      <c r="P892" s="1" t="str">
        <f t="shared" si="124"/>
        <v>0,0</v>
      </c>
      <c r="Q892" s="6" t="s">
        <v>10</v>
      </c>
      <c r="R892" s="1">
        <v>90</v>
      </c>
      <c r="S892" s="1">
        <v>2.5</v>
      </c>
      <c r="T892" s="1" t="str">
        <f t="shared" ref="T892:T917" si="126">$Q892&amp;" "&amp;$P892&amp;" "&amp;$S892&amp;" "&amp;$R892&amp;" "&amp;$B892</f>
        <v>-text 0,0 2.5 90 1159447.4</v>
      </c>
    </row>
    <row r="893" spans="1:20" x14ac:dyDescent="0.35">
      <c r="A893" s="1">
        <v>270020</v>
      </c>
      <c r="B893" s="7">
        <v>1159467.3999999999</v>
      </c>
      <c r="C893" s="2">
        <v>268.35500000000002</v>
      </c>
      <c r="D893" s="2">
        <v>268.62099999999998</v>
      </c>
      <c r="E893" s="2">
        <v>0.26600000000000001</v>
      </c>
      <c r="F893" s="2">
        <v>267.68299999999999</v>
      </c>
      <c r="G893" s="2">
        <v>267.90800000000002</v>
      </c>
      <c r="H893" s="2">
        <v>0.22500000000000001</v>
      </c>
      <c r="I893" s="2">
        <v>265.77199999999999</v>
      </c>
      <c r="J893" s="2">
        <v>265.49799999999999</v>
      </c>
      <c r="K893" s="15">
        <v>2.41</v>
      </c>
      <c r="L893" s="2">
        <v>8.6850000000000005</v>
      </c>
      <c r="N893" s="7">
        <f t="shared" ref="N893:N916" si="127">N892+(B893-B892)</f>
        <v>20</v>
      </c>
      <c r="O893" s="1">
        <v>0</v>
      </c>
      <c r="P893" s="1" t="str">
        <f t="shared" si="124"/>
        <v>20,0</v>
      </c>
      <c r="Q893" s="6" t="s">
        <v>10</v>
      </c>
      <c r="R893" s="1">
        <v>90</v>
      </c>
      <c r="S893" s="1">
        <v>2.5</v>
      </c>
      <c r="T893" s="1" t="str">
        <f t="shared" si="126"/>
        <v>-text 20,0 2.5 90 1159467.4</v>
      </c>
    </row>
    <row r="894" spans="1:20" x14ac:dyDescent="0.35">
      <c r="A894" s="1">
        <v>270040</v>
      </c>
      <c r="B894" s="7">
        <v>1159487.3999999999</v>
      </c>
      <c r="C894" s="2">
        <v>268.37</v>
      </c>
      <c r="D894" s="2">
        <v>268.63900000000001</v>
      </c>
      <c r="E894" s="2">
        <v>0.26900000000000002</v>
      </c>
      <c r="F894" s="2">
        <v>267.69799999999998</v>
      </c>
      <c r="G894" s="2">
        <v>267.92599999999999</v>
      </c>
      <c r="H894" s="2">
        <v>0.22800000000000001</v>
      </c>
      <c r="I894" s="2">
        <v>265.77300000000002</v>
      </c>
      <c r="J894" s="2">
        <v>265.41399999999999</v>
      </c>
      <c r="K894" s="15">
        <v>2.512</v>
      </c>
      <c r="L894" s="2">
        <v>8.77</v>
      </c>
      <c r="N894" s="7">
        <f t="shared" si="127"/>
        <v>40</v>
      </c>
      <c r="O894" s="1">
        <v>0</v>
      </c>
      <c r="P894" s="1" t="str">
        <f t="shared" si="124"/>
        <v>40,0</v>
      </c>
      <c r="Q894" s="6" t="s">
        <v>10</v>
      </c>
      <c r="R894" s="1">
        <v>90</v>
      </c>
      <c r="S894" s="1">
        <v>2.5</v>
      </c>
      <c r="T894" s="1" t="str">
        <f t="shared" si="126"/>
        <v>-text 40,0 2.5 90 1159487.4</v>
      </c>
    </row>
    <row r="895" spans="1:20" x14ac:dyDescent="0.35">
      <c r="A895" s="1">
        <v>270060</v>
      </c>
      <c r="B895" s="7">
        <v>1159507.3</v>
      </c>
      <c r="C895" s="2">
        <v>268.392</v>
      </c>
      <c r="D895" s="2">
        <v>268.65699999999998</v>
      </c>
      <c r="E895" s="2">
        <v>0.26500000000000001</v>
      </c>
      <c r="F895" s="2">
        <v>267.72000000000003</v>
      </c>
      <c r="G895" s="2">
        <v>267.94400000000002</v>
      </c>
      <c r="H895" s="2">
        <v>0.224</v>
      </c>
      <c r="I895" s="2">
        <v>265.505</v>
      </c>
      <c r="J895" s="2">
        <v>265.31599999999997</v>
      </c>
      <c r="K895" s="15">
        <v>2.6280000000000001</v>
      </c>
      <c r="L895" s="2">
        <v>8.7769999999999992</v>
      </c>
      <c r="N895" s="7">
        <f t="shared" si="127"/>
        <v>59.900000000139698</v>
      </c>
      <c r="O895" s="1">
        <v>0</v>
      </c>
      <c r="P895" s="1" t="str">
        <f t="shared" si="124"/>
        <v>59.9000000001397,0</v>
      </c>
      <c r="Q895" s="6" t="s">
        <v>10</v>
      </c>
      <c r="R895" s="1">
        <v>90</v>
      </c>
      <c r="S895" s="1">
        <v>2.5</v>
      </c>
      <c r="T895" s="1" t="str">
        <f t="shared" si="126"/>
        <v>-text 59.9000000001397,0 2.5 90 1159507.3</v>
      </c>
    </row>
    <row r="896" spans="1:20" x14ac:dyDescent="0.35">
      <c r="A896" s="1">
        <v>270080</v>
      </c>
      <c r="B896" s="7">
        <v>1159527.3999999999</v>
      </c>
      <c r="C896" s="2">
        <v>268.40499999999997</v>
      </c>
      <c r="D896" s="2">
        <v>268.67500000000001</v>
      </c>
      <c r="E896" s="2">
        <v>0.27</v>
      </c>
      <c r="F896" s="2">
        <v>267.733</v>
      </c>
      <c r="G896" s="2">
        <v>267.96199999999999</v>
      </c>
      <c r="H896" s="2">
        <v>0.22900000000000001</v>
      </c>
      <c r="I896" s="2">
        <v>265.697</v>
      </c>
      <c r="J896" s="2">
        <v>265.75900000000001</v>
      </c>
      <c r="K896" s="15">
        <v>2.2029999999999998</v>
      </c>
      <c r="L896" s="2">
        <v>8.8000000000000007</v>
      </c>
      <c r="N896" s="7">
        <f t="shared" si="127"/>
        <v>80</v>
      </c>
      <c r="O896" s="1">
        <v>0</v>
      </c>
      <c r="P896" s="1" t="str">
        <f t="shared" si="124"/>
        <v>80,0</v>
      </c>
      <c r="Q896" s="6" t="s">
        <v>10</v>
      </c>
      <c r="R896" s="1">
        <v>90</v>
      </c>
      <c r="S896" s="1">
        <v>2.5</v>
      </c>
      <c r="T896" s="1" t="str">
        <f t="shared" si="126"/>
        <v>-text 80,0 2.5 90 1159527.4</v>
      </c>
    </row>
    <row r="897" spans="1:20" x14ac:dyDescent="0.35">
      <c r="A897" s="1">
        <v>270100</v>
      </c>
      <c r="B897" s="7">
        <v>1159547.3</v>
      </c>
      <c r="C897" s="2">
        <v>268.40499999999997</v>
      </c>
      <c r="D897" s="2">
        <v>268.69299999999998</v>
      </c>
      <c r="E897" s="2">
        <v>0.28799999999999998</v>
      </c>
      <c r="F897" s="2">
        <v>267.733</v>
      </c>
      <c r="G897" s="2">
        <v>267.98</v>
      </c>
      <c r="H897" s="2">
        <v>0.247</v>
      </c>
      <c r="I897" s="2">
        <v>266.12</v>
      </c>
      <c r="J897" s="2">
        <v>265.327</v>
      </c>
      <c r="K897" s="15">
        <v>2.653</v>
      </c>
      <c r="L897" s="2">
        <v>8.8650000000000002</v>
      </c>
      <c r="N897" s="7">
        <f t="shared" si="127"/>
        <v>99.900000000139698</v>
      </c>
      <c r="O897" s="1">
        <v>0</v>
      </c>
      <c r="P897" s="1" t="str">
        <f t="shared" si="124"/>
        <v>99.9000000001397,0</v>
      </c>
      <c r="Q897" s="6" t="s">
        <v>10</v>
      </c>
      <c r="R897" s="1">
        <v>90</v>
      </c>
      <c r="S897" s="1">
        <v>2.5</v>
      </c>
      <c r="T897" s="1" t="str">
        <f t="shared" si="126"/>
        <v>-text 99.9000000001397,0 2.5 90 1159547.3</v>
      </c>
    </row>
    <row r="898" spans="1:20" x14ac:dyDescent="0.35">
      <c r="A898" s="1">
        <v>270120</v>
      </c>
      <c r="B898" s="7">
        <v>1159567.3</v>
      </c>
      <c r="C898" s="2">
        <v>268.41000000000003</v>
      </c>
      <c r="D898" s="2">
        <v>268.71100000000001</v>
      </c>
      <c r="E898" s="2">
        <v>0.30099999999999999</v>
      </c>
      <c r="F898" s="2">
        <v>267.738</v>
      </c>
      <c r="G898" s="2">
        <v>267.99799999999999</v>
      </c>
      <c r="H898" s="2">
        <v>0.26</v>
      </c>
      <c r="I898" s="2">
        <v>264.39699999999999</v>
      </c>
      <c r="J898" s="2">
        <v>266.62900000000002</v>
      </c>
      <c r="K898" s="15">
        <v>1.369</v>
      </c>
      <c r="L898" s="2">
        <v>8.9139999999999997</v>
      </c>
      <c r="N898" s="7">
        <f t="shared" si="127"/>
        <v>119.9000000001397</v>
      </c>
      <c r="O898" s="1">
        <v>0</v>
      </c>
      <c r="P898" s="1" t="str">
        <f t="shared" si="124"/>
        <v>119.90000000014,0</v>
      </c>
      <c r="Q898" s="6" t="s">
        <v>10</v>
      </c>
      <c r="R898" s="1">
        <v>90</v>
      </c>
      <c r="S898" s="1">
        <v>2.5</v>
      </c>
      <c r="T898" s="1" t="str">
        <f t="shared" si="126"/>
        <v>-text 119.90000000014,0 2.5 90 1159567.3</v>
      </c>
    </row>
    <row r="899" spans="1:20" x14ac:dyDescent="0.35">
      <c r="A899" s="1">
        <v>270140</v>
      </c>
      <c r="B899" s="7">
        <v>1159587.3</v>
      </c>
      <c r="C899" s="2">
        <v>268.42</v>
      </c>
      <c r="D899" s="2">
        <v>268.71499999999997</v>
      </c>
      <c r="E899" s="2">
        <v>0.29499999999999998</v>
      </c>
      <c r="F899" s="2">
        <v>267.74799999999999</v>
      </c>
      <c r="G899" s="2">
        <v>268.00200000000001</v>
      </c>
      <c r="H899" s="2">
        <v>0.254</v>
      </c>
      <c r="I899" s="2">
        <v>265.553</v>
      </c>
      <c r="J899" s="2">
        <v>266.58800000000002</v>
      </c>
      <c r="K899" s="15">
        <v>1.4139999999999999</v>
      </c>
      <c r="L899" s="2">
        <v>8.9440000000000008</v>
      </c>
      <c r="N899" s="7">
        <f t="shared" si="127"/>
        <v>139.9000000001397</v>
      </c>
      <c r="O899" s="1">
        <v>0</v>
      </c>
      <c r="P899" s="1" t="str">
        <f t="shared" si="124"/>
        <v>139.90000000014,0</v>
      </c>
      <c r="Q899" s="6" t="s">
        <v>10</v>
      </c>
      <c r="R899" s="1">
        <v>90</v>
      </c>
      <c r="S899" s="1">
        <v>2.5</v>
      </c>
      <c r="T899" s="1" t="str">
        <f t="shared" si="126"/>
        <v>-text 139.90000000014,0 2.5 90 1159587.3</v>
      </c>
    </row>
    <row r="900" spans="1:20" x14ac:dyDescent="0.35">
      <c r="A900" s="1">
        <v>270160</v>
      </c>
      <c r="B900" s="7">
        <v>1159607.3999999999</v>
      </c>
      <c r="C900" s="2">
        <v>268.41300000000001</v>
      </c>
      <c r="D900" s="2">
        <v>268.70499999999998</v>
      </c>
      <c r="E900" s="2">
        <v>0.29199999999999998</v>
      </c>
      <c r="F900" s="2">
        <v>267.74099999999999</v>
      </c>
      <c r="G900" s="2">
        <v>267.99200000000002</v>
      </c>
      <c r="H900" s="2">
        <v>0.251</v>
      </c>
      <c r="I900" s="2">
        <v>266.41300000000001</v>
      </c>
      <c r="J900" s="2">
        <v>266.93799999999999</v>
      </c>
      <c r="K900" s="15">
        <v>1.054</v>
      </c>
      <c r="L900" s="2">
        <v>8.9930000000000003</v>
      </c>
      <c r="N900" s="7">
        <f t="shared" si="127"/>
        <v>160</v>
      </c>
      <c r="O900" s="1">
        <v>0</v>
      </c>
      <c r="P900" s="1" t="str">
        <f t="shared" si="124"/>
        <v>160,0</v>
      </c>
      <c r="Q900" s="6" t="s">
        <v>10</v>
      </c>
      <c r="R900" s="1">
        <v>90</v>
      </c>
      <c r="S900" s="1">
        <v>2.5</v>
      </c>
      <c r="T900" s="1" t="str">
        <f t="shared" si="126"/>
        <v>-text 160,0 2.5 90 1159607.4</v>
      </c>
    </row>
    <row r="901" spans="1:20" x14ac:dyDescent="0.35">
      <c r="A901" s="1">
        <v>270180</v>
      </c>
      <c r="B901" s="7">
        <v>1159627.3</v>
      </c>
      <c r="C901" s="2">
        <v>268.387</v>
      </c>
      <c r="D901" s="2">
        <v>268.69499999999999</v>
      </c>
      <c r="E901" s="2">
        <v>0.308</v>
      </c>
      <c r="F901" s="2">
        <v>267.71499999999997</v>
      </c>
      <c r="G901" s="2">
        <v>267.98200000000003</v>
      </c>
      <c r="H901" s="2">
        <v>0.26700000000000002</v>
      </c>
      <c r="I901" s="2">
        <v>266.447</v>
      </c>
      <c r="J901" s="2">
        <v>266.52300000000002</v>
      </c>
      <c r="K901" s="15">
        <v>1.4590000000000001</v>
      </c>
      <c r="L901" s="2">
        <v>9.0380000000000003</v>
      </c>
      <c r="N901" s="7">
        <f t="shared" si="127"/>
        <v>179.9000000001397</v>
      </c>
      <c r="O901" s="1">
        <v>0</v>
      </c>
      <c r="P901" s="1" t="str">
        <f t="shared" si="124"/>
        <v>179.90000000014,0</v>
      </c>
      <c r="Q901" s="6" t="s">
        <v>10</v>
      </c>
      <c r="R901" s="1">
        <v>90</v>
      </c>
      <c r="S901" s="1">
        <v>2.5</v>
      </c>
      <c r="T901" s="1" t="str">
        <f t="shared" si="126"/>
        <v>-text 179.90000000014,0 2.5 90 1159627.3</v>
      </c>
    </row>
    <row r="902" spans="1:20" x14ac:dyDescent="0.35">
      <c r="A902" s="1">
        <v>270200</v>
      </c>
      <c r="B902" s="7">
        <v>1159647.3</v>
      </c>
      <c r="C902" s="2">
        <v>268.351</v>
      </c>
      <c r="D902" s="2">
        <v>268.685</v>
      </c>
      <c r="E902" s="2">
        <v>0.33300000000000002</v>
      </c>
      <c r="F902" s="2">
        <v>267.67899999999997</v>
      </c>
      <c r="G902" s="2">
        <v>267.97199999999998</v>
      </c>
      <c r="H902" s="2">
        <v>0.29199999999999998</v>
      </c>
      <c r="I902" s="2">
        <v>266.721</v>
      </c>
      <c r="J902" s="2">
        <v>267.32299999999998</v>
      </c>
      <c r="K902" s="15">
        <v>0.64800000000000002</v>
      </c>
      <c r="L902" s="2">
        <v>9.0380000000000003</v>
      </c>
      <c r="N902" s="7">
        <f t="shared" si="127"/>
        <v>199.9000000001397</v>
      </c>
      <c r="O902" s="1">
        <v>0</v>
      </c>
      <c r="P902" s="1" t="str">
        <f t="shared" si="124"/>
        <v>199.90000000014,0</v>
      </c>
      <c r="Q902" s="6" t="s">
        <v>10</v>
      </c>
      <c r="R902" s="1">
        <v>90</v>
      </c>
      <c r="S902" s="1">
        <v>2.5</v>
      </c>
      <c r="T902" s="1" t="str">
        <f t="shared" si="126"/>
        <v>-text 199.90000000014,0 2.5 90 1159647.3</v>
      </c>
    </row>
    <row r="903" spans="1:20" x14ac:dyDescent="0.35">
      <c r="A903" s="1">
        <v>270220</v>
      </c>
      <c r="B903" s="7">
        <v>1159667.3</v>
      </c>
      <c r="C903" s="2">
        <v>268.30500000000001</v>
      </c>
      <c r="D903" s="2">
        <v>268.67500000000001</v>
      </c>
      <c r="E903" s="2">
        <v>0.37</v>
      </c>
      <c r="F903" s="2">
        <v>267.63299999999998</v>
      </c>
      <c r="G903" s="2">
        <v>267.96199999999999</v>
      </c>
      <c r="H903" s="2">
        <v>0.32900000000000001</v>
      </c>
      <c r="I903" s="2">
        <v>266.99099999999999</v>
      </c>
      <c r="J903" s="2">
        <v>266.11200000000002</v>
      </c>
      <c r="K903" s="15">
        <v>1.85</v>
      </c>
      <c r="L903" s="2">
        <v>9.0079999999999991</v>
      </c>
      <c r="N903" s="7">
        <f t="shared" si="127"/>
        <v>219.9000000001397</v>
      </c>
      <c r="O903" s="1">
        <v>0</v>
      </c>
      <c r="P903" s="1" t="str">
        <f t="shared" si="124"/>
        <v>219.90000000014,0</v>
      </c>
      <c r="Q903" s="6" t="s">
        <v>10</v>
      </c>
      <c r="R903" s="1">
        <v>90</v>
      </c>
      <c r="S903" s="1">
        <v>2.5</v>
      </c>
      <c r="T903" s="1" t="str">
        <f t="shared" si="126"/>
        <v>-text 219.90000000014,0 2.5 90 1159667.3</v>
      </c>
    </row>
    <row r="904" spans="1:20" x14ac:dyDescent="0.35">
      <c r="A904" s="1">
        <v>270240</v>
      </c>
      <c r="B904" s="7">
        <v>1159687.3</v>
      </c>
      <c r="C904" s="2">
        <v>268.25400000000002</v>
      </c>
      <c r="D904" s="2">
        <v>268.66399999999999</v>
      </c>
      <c r="E904" s="2">
        <v>0.41099999999999998</v>
      </c>
      <c r="F904" s="2">
        <v>267.58199999999999</v>
      </c>
      <c r="G904" s="2">
        <v>267.95100000000002</v>
      </c>
      <c r="H904" s="2">
        <v>0.37</v>
      </c>
      <c r="I904" s="2">
        <v>266.55700000000002</v>
      </c>
      <c r="J904" s="2">
        <v>267.10000000000002</v>
      </c>
      <c r="K904" s="15">
        <v>0.85099999999999998</v>
      </c>
      <c r="L904" s="2">
        <v>8.9550000000000001</v>
      </c>
      <c r="N904" s="7">
        <f t="shared" si="127"/>
        <v>239.9000000001397</v>
      </c>
      <c r="O904" s="1">
        <v>0</v>
      </c>
      <c r="P904" s="1" t="str">
        <f t="shared" si="124"/>
        <v>239.90000000014,0</v>
      </c>
      <c r="Q904" s="6" t="s">
        <v>10</v>
      </c>
      <c r="R904" s="1">
        <v>90</v>
      </c>
      <c r="S904" s="1">
        <v>2.5</v>
      </c>
      <c r="T904" s="1" t="str">
        <f t="shared" si="126"/>
        <v>-text 239.90000000014,0 2.5 90 1159687.3</v>
      </c>
    </row>
    <row r="905" spans="1:20" x14ac:dyDescent="0.35">
      <c r="A905" s="1">
        <v>270260</v>
      </c>
      <c r="B905" s="7">
        <v>1159707.3</v>
      </c>
      <c r="C905" s="2">
        <v>268.23899999999998</v>
      </c>
      <c r="D905" s="2">
        <v>268.654</v>
      </c>
      <c r="E905" s="2">
        <v>0.41499999999999998</v>
      </c>
      <c r="F905" s="2">
        <v>267.56700000000001</v>
      </c>
      <c r="G905" s="2">
        <v>267.94099999999997</v>
      </c>
      <c r="H905" s="2">
        <v>0.374</v>
      </c>
      <c r="I905" s="2">
        <v>266.02</v>
      </c>
      <c r="J905" s="2">
        <v>265.661</v>
      </c>
      <c r="K905" s="15">
        <v>2.2799999999999998</v>
      </c>
      <c r="L905" s="2">
        <v>8.9009999999999998</v>
      </c>
      <c r="N905" s="7">
        <f t="shared" si="127"/>
        <v>259.9000000001397</v>
      </c>
      <c r="O905" s="1">
        <v>0</v>
      </c>
      <c r="P905" s="1" t="str">
        <f t="shared" si="124"/>
        <v>259.90000000014,0</v>
      </c>
      <c r="Q905" s="6" t="s">
        <v>10</v>
      </c>
      <c r="R905" s="1">
        <v>90</v>
      </c>
      <c r="S905" s="1">
        <v>2.5</v>
      </c>
      <c r="T905" s="1" t="str">
        <f t="shared" si="126"/>
        <v>-text 259.90000000014,0 2.5 90 1159707.3</v>
      </c>
    </row>
    <row r="906" spans="1:20" x14ac:dyDescent="0.35">
      <c r="A906" s="1">
        <v>270280</v>
      </c>
      <c r="B906" s="7">
        <v>1159727.3999999999</v>
      </c>
      <c r="C906" s="2">
        <v>268.214</v>
      </c>
      <c r="D906" s="2">
        <v>268.64400000000001</v>
      </c>
      <c r="E906" s="2">
        <v>0.43099999999999999</v>
      </c>
      <c r="F906" s="2">
        <v>267.54199999999997</v>
      </c>
      <c r="G906" s="2">
        <v>267.93099999999998</v>
      </c>
      <c r="H906" s="2">
        <v>0.39</v>
      </c>
      <c r="I906" s="2">
        <v>266.40499999999997</v>
      </c>
      <c r="J906" s="2">
        <v>265.36900000000003</v>
      </c>
      <c r="K906" s="15">
        <v>2.5619999999999998</v>
      </c>
      <c r="L906" s="2">
        <v>8.9670000000000005</v>
      </c>
      <c r="N906" s="7">
        <f t="shared" si="127"/>
        <v>280</v>
      </c>
      <c r="O906" s="1">
        <v>0</v>
      </c>
      <c r="P906" s="1" t="str">
        <f t="shared" si="124"/>
        <v>280,0</v>
      </c>
      <c r="Q906" s="6" t="s">
        <v>10</v>
      </c>
      <c r="R906" s="1">
        <v>90</v>
      </c>
      <c r="S906" s="1">
        <v>2.5</v>
      </c>
      <c r="T906" s="1" t="str">
        <f t="shared" si="126"/>
        <v>-text 280,0 2.5 90 1159727.4</v>
      </c>
    </row>
    <row r="907" spans="1:20" x14ac:dyDescent="0.35">
      <c r="A907" s="1">
        <v>270300</v>
      </c>
      <c r="B907" s="7">
        <v>1159747.3</v>
      </c>
      <c r="C907" s="2">
        <v>268.18200000000002</v>
      </c>
      <c r="D907" s="2">
        <v>268.63400000000001</v>
      </c>
      <c r="E907" s="2">
        <v>0.45200000000000001</v>
      </c>
      <c r="F907" s="2">
        <v>267.51</v>
      </c>
      <c r="G907" s="2">
        <v>267.92099999999999</v>
      </c>
      <c r="H907" s="2">
        <v>0.41099999999999998</v>
      </c>
      <c r="I907" s="2">
        <v>266.065</v>
      </c>
      <c r="J907" s="2">
        <v>265.26100000000002</v>
      </c>
      <c r="K907" s="15">
        <v>2.66</v>
      </c>
      <c r="L907" s="2">
        <v>9.1300000000000008</v>
      </c>
      <c r="N907" s="7">
        <f t="shared" si="127"/>
        <v>299.9000000001397</v>
      </c>
      <c r="O907" s="1">
        <v>0</v>
      </c>
      <c r="P907" s="1" t="str">
        <f t="shared" si="124"/>
        <v>299.90000000014,0</v>
      </c>
      <c r="Q907" s="6" t="s">
        <v>10</v>
      </c>
      <c r="R907" s="1">
        <v>90</v>
      </c>
      <c r="S907" s="1">
        <v>2.5</v>
      </c>
      <c r="T907" s="1" t="str">
        <f t="shared" si="126"/>
        <v>-text 299.90000000014,0 2.5 90 1159747.3</v>
      </c>
    </row>
    <row r="908" spans="1:20" x14ac:dyDescent="0.35">
      <c r="A908" s="1">
        <v>270320</v>
      </c>
      <c r="B908" s="7">
        <v>1159767.3</v>
      </c>
      <c r="C908" s="2">
        <v>268.14600000000002</v>
      </c>
      <c r="D908" s="2">
        <v>268.62400000000002</v>
      </c>
      <c r="E908" s="2">
        <v>0.47799999999999998</v>
      </c>
      <c r="F908" s="2">
        <v>267.47399999999999</v>
      </c>
      <c r="G908" s="2">
        <v>267.911</v>
      </c>
      <c r="H908" s="2">
        <v>0.437</v>
      </c>
      <c r="I908" s="2">
        <v>265.72199999999998</v>
      </c>
      <c r="J908" s="2">
        <v>266.214</v>
      </c>
      <c r="K908" s="15">
        <v>1.6970000000000001</v>
      </c>
      <c r="L908" s="2">
        <v>9.266</v>
      </c>
      <c r="N908" s="7">
        <f t="shared" si="127"/>
        <v>319.9000000001397</v>
      </c>
      <c r="O908" s="1">
        <v>0</v>
      </c>
      <c r="P908" s="1" t="str">
        <f t="shared" si="124"/>
        <v>319.90000000014,0</v>
      </c>
      <c r="Q908" s="6" t="s">
        <v>10</v>
      </c>
      <c r="R908" s="1">
        <v>90</v>
      </c>
      <c r="S908" s="1">
        <v>2.5</v>
      </c>
      <c r="T908" s="1" t="str">
        <f t="shared" si="126"/>
        <v>-text 319.90000000014,0 2.5 90 1159767.3</v>
      </c>
    </row>
    <row r="909" spans="1:20" x14ac:dyDescent="0.35">
      <c r="A909" s="1">
        <v>270340</v>
      </c>
      <c r="B909" s="7">
        <v>1159787.3</v>
      </c>
      <c r="C909" s="2">
        <v>268.14499999999998</v>
      </c>
      <c r="D909" s="2">
        <v>268.61399999999998</v>
      </c>
      <c r="E909" s="2">
        <v>0.46800000000000003</v>
      </c>
      <c r="F909" s="2">
        <v>267.47300000000001</v>
      </c>
      <c r="G909" s="2">
        <v>267.90100000000001</v>
      </c>
      <c r="H909" s="2">
        <v>0.42699999999999999</v>
      </c>
      <c r="I909" s="2">
        <v>266.07100000000003</v>
      </c>
      <c r="J909" s="2">
        <v>266.017</v>
      </c>
      <c r="K909" s="15">
        <v>1.8839999999999999</v>
      </c>
      <c r="L909" s="2">
        <v>9.51</v>
      </c>
      <c r="N909" s="7">
        <f t="shared" si="127"/>
        <v>339.9000000001397</v>
      </c>
      <c r="O909" s="1">
        <v>0</v>
      </c>
      <c r="P909" s="1" t="str">
        <f t="shared" si="124"/>
        <v>339.90000000014,0</v>
      </c>
      <c r="Q909" s="6" t="s">
        <v>10</v>
      </c>
      <c r="R909" s="1">
        <v>90</v>
      </c>
      <c r="S909" s="1">
        <v>2.5</v>
      </c>
      <c r="T909" s="1" t="str">
        <f t="shared" si="126"/>
        <v>-text 339.90000000014,0 2.5 90 1159787.3</v>
      </c>
    </row>
    <row r="910" spans="1:20" x14ac:dyDescent="0.35">
      <c r="A910" s="1">
        <v>270360</v>
      </c>
      <c r="B910" s="7">
        <v>1159807.2</v>
      </c>
      <c r="C910" s="2">
        <v>268.20400000000001</v>
      </c>
      <c r="D910" s="2">
        <v>268.60399999999998</v>
      </c>
      <c r="E910" s="2">
        <v>0.39900000000000002</v>
      </c>
      <c r="F910" s="2">
        <v>267.53199999999998</v>
      </c>
      <c r="G910" s="2">
        <v>267.89100000000002</v>
      </c>
      <c r="H910" s="2">
        <v>0.35799999999999998</v>
      </c>
      <c r="I910" s="2">
        <v>265.80099999999999</v>
      </c>
      <c r="J910" s="2">
        <v>265.964</v>
      </c>
      <c r="K910" s="15">
        <v>1.927</v>
      </c>
      <c r="L910" s="2">
        <v>9.8109999999999999</v>
      </c>
      <c r="N910" s="7">
        <f t="shared" si="127"/>
        <v>359.80000000004657</v>
      </c>
      <c r="O910" s="1">
        <v>0</v>
      </c>
      <c r="P910" s="1" t="str">
        <f t="shared" si="124"/>
        <v>359.800000000047,0</v>
      </c>
      <c r="Q910" s="6" t="s">
        <v>10</v>
      </c>
      <c r="R910" s="1">
        <v>90</v>
      </c>
      <c r="S910" s="1">
        <v>2.5</v>
      </c>
      <c r="T910" s="1" t="str">
        <f t="shared" si="126"/>
        <v>-text 359.800000000047,0 2.5 90 1159807.2</v>
      </c>
    </row>
    <row r="911" spans="1:20" x14ac:dyDescent="0.35">
      <c r="A911" s="1">
        <v>270380</v>
      </c>
      <c r="B911" s="7">
        <v>1159827.2</v>
      </c>
      <c r="C911" s="2">
        <v>268.26499999999999</v>
      </c>
      <c r="D911" s="2">
        <v>268.59399999999999</v>
      </c>
      <c r="E911" s="2">
        <v>0.32900000000000001</v>
      </c>
      <c r="F911" s="2">
        <v>267.59300000000002</v>
      </c>
      <c r="G911" s="2">
        <v>267.88099999999997</v>
      </c>
      <c r="H911" s="2">
        <v>0.28799999999999998</v>
      </c>
      <c r="I911" s="2">
        <v>265.738</v>
      </c>
      <c r="J911" s="2">
        <v>265.76400000000001</v>
      </c>
      <c r="K911" s="15">
        <v>2.1160000000000001</v>
      </c>
      <c r="L911" s="2">
        <v>10.042</v>
      </c>
      <c r="N911" s="7">
        <f t="shared" si="127"/>
        <v>379.80000000004657</v>
      </c>
      <c r="O911" s="1">
        <v>0</v>
      </c>
      <c r="P911" s="1" t="str">
        <f t="shared" si="124"/>
        <v>379.800000000047,0</v>
      </c>
      <c r="Q911" s="6" t="s">
        <v>10</v>
      </c>
      <c r="R911" s="1">
        <v>90</v>
      </c>
      <c r="S911" s="1">
        <v>2.5</v>
      </c>
      <c r="T911" s="1" t="str">
        <f t="shared" si="126"/>
        <v>-text 379.800000000047,0 2.5 90 1159827.2</v>
      </c>
    </row>
    <row r="912" spans="1:20" x14ac:dyDescent="0.35">
      <c r="A912" s="1">
        <v>270400</v>
      </c>
      <c r="B912" s="7">
        <v>1159847.2</v>
      </c>
      <c r="C912" s="2">
        <v>268.29300000000001</v>
      </c>
      <c r="D912" s="2">
        <v>268.584</v>
      </c>
      <c r="E912" s="2">
        <v>0.28999999999999998</v>
      </c>
      <c r="F912" s="2">
        <v>267.62099999999998</v>
      </c>
      <c r="G912" s="2">
        <v>267.87099999999998</v>
      </c>
      <c r="H912" s="2">
        <v>0.249</v>
      </c>
      <c r="I912" s="2">
        <v>265.78199999999998</v>
      </c>
      <c r="J912" s="2">
        <v>265.77999999999997</v>
      </c>
      <c r="K912" s="15">
        <v>2.09</v>
      </c>
      <c r="L912" s="2">
        <v>10.36</v>
      </c>
      <c r="N912" s="7">
        <f t="shared" si="127"/>
        <v>399.80000000004657</v>
      </c>
      <c r="O912" s="1">
        <v>0</v>
      </c>
      <c r="P912" s="1" t="str">
        <f t="shared" si="124"/>
        <v>399.800000000047,0</v>
      </c>
      <c r="Q912" s="6" t="s">
        <v>10</v>
      </c>
      <c r="R912" s="1">
        <v>90</v>
      </c>
      <c r="S912" s="1">
        <v>2.5</v>
      </c>
      <c r="T912" s="1" t="str">
        <f t="shared" si="126"/>
        <v>-text 399.800000000047,0 2.5 90 1159847.2</v>
      </c>
    </row>
    <row r="913" spans="1:20" x14ac:dyDescent="0.35">
      <c r="A913" s="1">
        <v>270420</v>
      </c>
      <c r="B913" s="7">
        <v>1159867</v>
      </c>
      <c r="C913" s="2">
        <v>268.298</v>
      </c>
      <c r="D913" s="2">
        <v>268.57299999999998</v>
      </c>
      <c r="E913" s="2">
        <v>0.27600000000000002</v>
      </c>
      <c r="F913" s="2">
        <v>267.62599999999998</v>
      </c>
      <c r="G913" s="2">
        <v>267.86</v>
      </c>
      <c r="H913" s="2">
        <v>0.23499999999999999</v>
      </c>
      <c r="I913" s="2">
        <v>265.55500000000001</v>
      </c>
      <c r="J913" s="2">
        <v>265.39299999999997</v>
      </c>
      <c r="K913" s="15">
        <v>2.4670000000000001</v>
      </c>
      <c r="L913" s="2">
        <v>10.563000000000001</v>
      </c>
      <c r="N913" s="7">
        <f t="shared" si="127"/>
        <v>419.60000000009313</v>
      </c>
      <c r="O913" s="1">
        <v>0</v>
      </c>
      <c r="P913" s="1" t="str">
        <f t="shared" si="124"/>
        <v>419.600000000093,0</v>
      </c>
      <c r="Q913" s="6" t="s">
        <v>10</v>
      </c>
      <c r="R913" s="1">
        <v>90</v>
      </c>
      <c r="S913" s="1">
        <v>2.5</v>
      </c>
      <c r="T913" s="1" t="str">
        <f t="shared" si="126"/>
        <v>-text 419.600000000093,0 2.5 90 1159867</v>
      </c>
    </row>
    <row r="914" spans="1:20" x14ac:dyDescent="0.35">
      <c r="A914" s="1">
        <v>270440</v>
      </c>
      <c r="B914" s="7">
        <v>1159887</v>
      </c>
      <c r="C914" s="2">
        <v>268.3</v>
      </c>
      <c r="D914" s="2">
        <v>268.56299999999999</v>
      </c>
      <c r="E914" s="2">
        <v>0.26300000000000001</v>
      </c>
      <c r="F914" s="2">
        <v>267.62799999999999</v>
      </c>
      <c r="G914" s="2">
        <v>267.85000000000002</v>
      </c>
      <c r="H914" s="2">
        <v>0.222</v>
      </c>
      <c r="I914" s="2">
        <v>265.33100000000002</v>
      </c>
      <c r="J914" s="2">
        <v>265.32799999999997</v>
      </c>
      <c r="K914" s="15">
        <v>2.5230000000000001</v>
      </c>
      <c r="L914" s="2">
        <v>10.766</v>
      </c>
      <c r="N914" s="7">
        <f t="shared" si="127"/>
        <v>439.60000000009313</v>
      </c>
      <c r="O914" s="1">
        <v>0</v>
      </c>
      <c r="P914" s="1" t="str">
        <f t="shared" si="124"/>
        <v>439.600000000093,0</v>
      </c>
      <c r="Q914" s="6" t="s">
        <v>10</v>
      </c>
      <c r="R914" s="1">
        <v>90</v>
      </c>
      <c r="S914" s="1">
        <v>2.5</v>
      </c>
      <c r="T914" s="1" t="str">
        <f t="shared" si="126"/>
        <v>-text 439.600000000093,0 2.5 90 1159887</v>
      </c>
    </row>
    <row r="915" spans="1:20" x14ac:dyDescent="0.35">
      <c r="A915" s="1">
        <v>270460</v>
      </c>
      <c r="B915" s="7">
        <v>1159906.8999999999</v>
      </c>
      <c r="C915" s="2">
        <v>268.27</v>
      </c>
      <c r="D915" s="2">
        <v>268.553</v>
      </c>
      <c r="E915" s="2">
        <v>0.28299999999999997</v>
      </c>
      <c r="F915" s="2">
        <v>267.59800000000001</v>
      </c>
      <c r="G915" s="2">
        <v>267.83999999999997</v>
      </c>
      <c r="H915" s="2">
        <v>0.24199999999999999</v>
      </c>
      <c r="I915" s="2">
        <v>265.29599999999999</v>
      </c>
      <c r="J915" s="2">
        <v>265.29599999999999</v>
      </c>
      <c r="K915" s="15">
        <v>2.544</v>
      </c>
      <c r="L915" s="2">
        <v>10.848000000000001</v>
      </c>
      <c r="N915" s="7">
        <f t="shared" si="127"/>
        <v>459.5</v>
      </c>
      <c r="O915" s="1">
        <v>0</v>
      </c>
      <c r="P915" s="1" t="str">
        <f t="shared" si="124"/>
        <v>459.5,0</v>
      </c>
      <c r="Q915" s="6" t="s">
        <v>10</v>
      </c>
      <c r="R915" s="1">
        <v>90</v>
      </c>
      <c r="S915" s="1">
        <v>2.5</v>
      </c>
      <c r="T915" s="1" t="str">
        <f t="shared" si="126"/>
        <v>-text 459.5,0 2.5 90 1159906.9</v>
      </c>
    </row>
    <row r="916" spans="1:20" x14ac:dyDescent="0.35">
      <c r="A916" s="1">
        <v>270480</v>
      </c>
      <c r="B916" s="7">
        <v>1159926.8999999999</v>
      </c>
      <c r="C916" s="2">
        <v>268.23</v>
      </c>
      <c r="D916" s="2">
        <v>268.54300000000001</v>
      </c>
      <c r="E916" s="2">
        <v>0.313</v>
      </c>
      <c r="F916" s="2">
        <v>267.55799999999999</v>
      </c>
      <c r="G916" s="2">
        <v>267.83</v>
      </c>
      <c r="H916" s="2">
        <v>0.27200000000000002</v>
      </c>
      <c r="I916" s="2">
        <v>265.62599999999998</v>
      </c>
      <c r="J916" s="2">
        <v>265.32799999999997</v>
      </c>
      <c r="K916" s="15">
        <v>2.5019999999999998</v>
      </c>
      <c r="L916" s="2">
        <v>10.88</v>
      </c>
      <c r="N916" s="7">
        <f t="shared" si="127"/>
        <v>479.5</v>
      </c>
      <c r="O916" s="1">
        <v>0</v>
      </c>
      <c r="P916" s="1" t="str">
        <f t="shared" si="124"/>
        <v>479.5,0</v>
      </c>
      <c r="Q916" s="6" t="s">
        <v>10</v>
      </c>
      <c r="R916" s="1">
        <v>90</v>
      </c>
      <c r="S916" s="1">
        <v>2.5</v>
      </c>
      <c r="T916" s="1" t="str">
        <f t="shared" si="126"/>
        <v>-text 479.5,0 2.5 90 1159926.9</v>
      </c>
    </row>
    <row r="917" spans="1:20" x14ac:dyDescent="0.35">
      <c r="A917" s="1">
        <v>270500</v>
      </c>
      <c r="B917" s="7">
        <v>1159946.8999999999</v>
      </c>
      <c r="C917" s="2">
        <v>268.20299999999997</v>
      </c>
      <c r="D917" s="2">
        <v>268.53300000000002</v>
      </c>
      <c r="E917" s="2">
        <v>0.33</v>
      </c>
      <c r="F917" s="2">
        <v>267.53100000000001</v>
      </c>
      <c r="G917" s="2">
        <v>267.82</v>
      </c>
      <c r="H917" s="2">
        <v>0.28899999999999998</v>
      </c>
      <c r="I917" s="2">
        <v>265.52199999999999</v>
      </c>
      <c r="J917" s="2">
        <v>265.47199999999998</v>
      </c>
      <c r="K917" s="15">
        <v>2.3490000000000002</v>
      </c>
      <c r="L917" s="2">
        <v>10.867000000000001</v>
      </c>
      <c r="N917" s="7">
        <f>N914+(B917-B914)</f>
        <v>499.5</v>
      </c>
      <c r="O917" s="1">
        <v>0</v>
      </c>
      <c r="P917" s="1" t="str">
        <f t="shared" ref="P917" si="128">CONCATENATE(N917,",",O917)</f>
        <v>499.5,0</v>
      </c>
      <c r="Q917" s="6" t="s">
        <v>10</v>
      </c>
      <c r="R917" s="1">
        <v>90</v>
      </c>
      <c r="S917" s="1">
        <v>2.5</v>
      </c>
      <c r="T917" s="1" t="str">
        <f t="shared" si="126"/>
        <v>-text 499.5,0 2.5 90 1159946.9</v>
      </c>
    </row>
    <row r="918" spans="1:20" s="10" customFormat="1" x14ac:dyDescent="0.35">
      <c r="B918" s="11"/>
      <c r="C918" s="9"/>
      <c r="D918" s="9"/>
      <c r="E918" s="9"/>
      <c r="F918" s="9"/>
      <c r="G918" s="9"/>
      <c r="H918" s="9"/>
      <c r="I918" s="9"/>
      <c r="J918" s="9"/>
      <c r="K918" s="16"/>
      <c r="L918" s="9"/>
      <c r="M918" s="9"/>
      <c r="N918" s="11"/>
      <c r="Q918" s="12"/>
    </row>
    <row r="919" spans="1:20" x14ac:dyDescent="0.35">
      <c r="A919" s="1">
        <v>270500</v>
      </c>
      <c r="B919" s="7">
        <v>1159946.8999999999</v>
      </c>
      <c r="C919" s="2">
        <v>268.20299999999997</v>
      </c>
      <c r="D919" s="2">
        <v>268.53300000000002</v>
      </c>
      <c r="E919" s="2">
        <v>0.33</v>
      </c>
      <c r="F919" s="2">
        <v>267.53100000000001</v>
      </c>
      <c r="G919" s="2">
        <v>267.82</v>
      </c>
      <c r="H919" s="2">
        <v>0.28899999999999998</v>
      </c>
      <c r="I919" s="2">
        <v>265.52199999999999</v>
      </c>
      <c r="J919" s="2">
        <v>265.47199999999998</v>
      </c>
      <c r="K919" s="15">
        <v>2.3490000000000002</v>
      </c>
      <c r="L919" s="2">
        <v>10.867000000000001</v>
      </c>
      <c r="N919" s="7">
        <v>0</v>
      </c>
      <c r="O919" s="1">
        <v>0</v>
      </c>
      <c r="P919" s="1" t="str">
        <f t="shared" si="124"/>
        <v>0,0</v>
      </c>
      <c r="Q919" s="6" t="s">
        <v>10</v>
      </c>
      <c r="R919" s="1">
        <v>90</v>
      </c>
      <c r="S919" s="1">
        <v>2.5</v>
      </c>
      <c r="T919" s="1" t="str">
        <f t="shared" ref="T919:T944" si="129">$Q919&amp;" "&amp;$P919&amp;" "&amp;$S919&amp;" "&amp;$R919&amp;" "&amp;$B919</f>
        <v>-text 0,0 2.5 90 1159946.9</v>
      </c>
    </row>
    <row r="920" spans="1:20" x14ac:dyDescent="0.35">
      <c r="A920" s="1">
        <v>270520</v>
      </c>
      <c r="B920" s="7">
        <v>1159966.8999999999</v>
      </c>
      <c r="C920" s="2">
        <v>268.197</v>
      </c>
      <c r="D920" s="2">
        <v>268.52300000000002</v>
      </c>
      <c r="E920" s="2">
        <v>0.32500000000000001</v>
      </c>
      <c r="F920" s="2">
        <v>267.52499999999998</v>
      </c>
      <c r="G920" s="2">
        <v>267.81</v>
      </c>
      <c r="H920" s="2">
        <v>0.28399999999999997</v>
      </c>
      <c r="I920" s="2">
        <v>265.66300000000001</v>
      </c>
      <c r="J920" s="2">
        <v>265.50799999999998</v>
      </c>
      <c r="K920" s="15">
        <v>2.302</v>
      </c>
      <c r="L920" s="2">
        <v>10.856</v>
      </c>
      <c r="N920" s="7">
        <f t="shared" ref="N920:N943" si="130">N919+(B920-B919)</f>
        <v>20</v>
      </c>
      <c r="O920" s="1">
        <v>0</v>
      </c>
      <c r="P920" s="1" t="str">
        <f t="shared" si="124"/>
        <v>20,0</v>
      </c>
      <c r="Q920" s="6" t="s">
        <v>10</v>
      </c>
      <c r="R920" s="1">
        <v>90</v>
      </c>
      <c r="S920" s="1">
        <v>2.5</v>
      </c>
      <c r="T920" s="1" t="str">
        <f t="shared" si="129"/>
        <v>-text 20,0 2.5 90 1159966.9</v>
      </c>
    </row>
    <row r="921" spans="1:20" x14ac:dyDescent="0.35">
      <c r="A921" s="1">
        <v>270540</v>
      </c>
      <c r="B921" s="7">
        <v>1159986.8999999999</v>
      </c>
      <c r="C921" s="2">
        <v>268.226</v>
      </c>
      <c r="D921" s="2">
        <v>268.51299999999998</v>
      </c>
      <c r="E921" s="2">
        <v>0.28599999999999998</v>
      </c>
      <c r="F921" s="2">
        <v>267.55399999999997</v>
      </c>
      <c r="G921" s="2">
        <v>267.8</v>
      </c>
      <c r="H921" s="2">
        <v>0.245</v>
      </c>
      <c r="I921" s="2">
        <v>265.61399999999998</v>
      </c>
      <c r="J921" s="2">
        <v>265.553</v>
      </c>
      <c r="K921" s="15">
        <v>2.246</v>
      </c>
      <c r="L921" s="2">
        <v>10.851000000000001</v>
      </c>
      <c r="N921" s="7">
        <f t="shared" si="130"/>
        <v>40</v>
      </c>
      <c r="O921" s="1">
        <v>0</v>
      </c>
      <c r="P921" s="1" t="str">
        <f t="shared" si="124"/>
        <v>40,0</v>
      </c>
      <c r="Q921" s="6" t="s">
        <v>10</v>
      </c>
      <c r="R921" s="1">
        <v>90</v>
      </c>
      <c r="S921" s="1">
        <v>2.5</v>
      </c>
      <c r="T921" s="1" t="str">
        <f t="shared" si="129"/>
        <v>-text 40,0 2.5 90 1159986.9</v>
      </c>
    </row>
    <row r="922" spans="1:20" x14ac:dyDescent="0.35">
      <c r="A922" s="1">
        <v>270560</v>
      </c>
      <c r="B922" s="7">
        <v>1160006.8999999999</v>
      </c>
      <c r="C922" s="2">
        <v>268.29399999999998</v>
      </c>
      <c r="D922" s="2">
        <v>268.50299999999999</v>
      </c>
      <c r="E922" s="2">
        <v>0.20899999999999999</v>
      </c>
      <c r="F922" s="2">
        <v>267.62200000000001</v>
      </c>
      <c r="G922" s="2">
        <v>267.79000000000002</v>
      </c>
      <c r="H922" s="2">
        <v>0.16800000000000001</v>
      </c>
      <c r="I922" s="2">
        <v>265.63600000000002</v>
      </c>
      <c r="J922" s="2">
        <v>265.73099999999999</v>
      </c>
      <c r="K922" s="15">
        <v>2.0579999999999998</v>
      </c>
      <c r="L922" s="2">
        <v>10.868</v>
      </c>
      <c r="N922" s="7">
        <f t="shared" si="130"/>
        <v>60</v>
      </c>
      <c r="O922" s="1">
        <v>0</v>
      </c>
      <c r="P922" s="1" t="str">
        <f t="shared" si="124"/>
        <v>60,0</v>
      </c>
      <c r="Q922" s="6" t="s">
        <v>10</v>
      </c>
      <c r="R922" s="1">
        <v>90</v>
      </c>
      <c r="S922" s="1">
        <v>2.5</v>
      </c>
      <c r="T922" s="1" t="str">
        <f t="shared" si="129"/>
        <v>-text 60,0 2.5 90 1160006.9</v>
      </c>
    </row>
    <row r="923" spans="1:20" x14ac:dyDescent="0.35">
      <c r="A923" s="1">
        <v>270580</v>
      </c>
      <c r="B923" s="7">
        <v>1160026.8999999999</v>
      </c>
      <c r="C923" s="2">
        <v>268.33699999999999</v>
      </c>
      <c r="D923" s="2">
        <v>268.49299999999999</v>
      </c>
      <c r="E923" s="2">
        <v>0.156</v>
      </c>
      <c r="F923" s="2">
        <v>267.66500000000002</v>
      </c>
      <c r="G923" s="2">
        <v>267.77999999999997</v>
      </c>
      <c r="H923" s="2">
        <v>0.115</v>
      </c>
      <c r="I923" s="2">
        <v>266.78500000000003</v>
      </c>
      <c r="J923" s="2">
        <v>267.13099999999997</v>
      </c>
      <c r="K923" s="15">
        <v>0.64900000000000002</v>
      </c>
      <c r="L923" s="2">
        <v>10.879</v>
      </c>
      <c r="N923" s="7">
        <f t="shared" si="130"/>
        <v>80</v>
      </c>
      <c r="O923" s="1">
        <v>0</v>
      </c>
      <c r="P923" s="1" t="str">
        <f t="shared" si="124"/>
        <v>80,0</v>
      </c>
      <c r="Q923" s="6" t="s">
        <v>10</v>
      </c>
      <c r="R923" s="1">
        <v>90</v>
      </c>
      <c r="S923" s="1">
        <v>2.5</v>
      </c>
      <c r="T923" s="1" t="str">
        <f t="shared" si="129"/>
        <v>-text 80,0 2.5 90 1160026.9</v>
      </c>
    </row>
    <row r="924" spans="1:20" x14ac:dyDescent="0.35">
      <c r="A924" s="1">
        <v>270600</v>
      </c>
      <c r="B924" s="7">
        <v>1160046.8999999999</v>
      </c>
      <c r="C924" s="2">
        <v>268.327</v>
      </c>
      <c r="D924" s="2">
        <v>268.48200000000003</v>
      </c>
      <c r="E924" s="2">
        <v>0.155</v>
      </c>
      <c r="F924" s="2">
        <v>267.65499999999997</v>
      </c>
      <c r="G924" s="2">
        <v>267.76900000000001</v>
      </c>
      <c r="H924" s="2">
        <v>0.114</v>
      </c>
      <c r="I924" s="2">
        <v>267.06900000000002</v>
      </c>
      <c r="J924" s="2">
        <v>267.625</v>
      </c>
      <c r="K924" s="15">
        <v>0.14499999999999999</v>
      </c>
      <c r="L924" s="2">
        <v>10.88</v>
      </c>
      <c r="N924" s="7">
        <f t="shared" si="130"/>
        <v>100</v>
      </c>
      <c r="O924" s="1">
        <v>0</v>
      </c>
      <c r="P924" s="1" t="str">
        <f t="shared" si="124"/>
        <v>100,0</v>
      </c>
      <c r="Q924" s="6" t="s">
        <v>10</v>
      </c>
      <c r="R924" s="1">
        <v>90</v>
      </c>
      <c r="S924" s="1">
        <v>2.5</v>
      </c>
      <c r="T924" s="1" t="str">
        <f t="shared" si="129"/>
        <v>-text 100,0 2.5 90 1160046.9</v>
      </c>
    </row>
    <row r="925" spans="1:20" x14ac:dyDescent="0.35">
      <c r="A925" s="1">
        <v>270620</v>
      </c>
      <c r="B925" s="7">
        <v>1160066.8999999999</v>
      </c>
      <c r="C925" s="2">
        <v>268.31200000000001</v>
      </c>
      <c r="D925" s="2">
        <v>268.47199999999998</v>
      </c>
      <c r="E925" s="2">
        <v>0.16</v>
      </c>
      <c r="F925" s="2">
        <v>267.64</v>
      </c>
      <c r="G925" s="2">
        <v>267.75900000000001</v>
      </c>
      <c r="H925" s="2">
        <v>0.11899999999999999</v>
      </c>
      <c r="I925" s="2">
        <v>265.15199999999999</v>
      </c>
      <c r="J925" s="2">
        <v>265.78899999999999</v>
      </c>
      <c r="K925" s="15">
        <v>1.97</v>
      </c>
      <c r="L925" s="2">
        <v>10.865</v>
      </c>
      <c r="N925" s="7">
        <f t="shared" si="130"/>
        <v>120</v>
      </c>
      <c r="O925" s="1">
        <v>0</v>
      </c>
      <c r="P925" s="1" t="str">
        <f t="shared" si="124"/>
        <v>120,0</v>
      </c>
      <c r="Q925" s="6" t="s">
        <v>10</v>
      </c>
      <c r="R925" s="1">
        <v>90</v>
      </c>
      <c r="S925" s="1">
        <v>2.5</v>
      </c>
      <c r="T925" s="1" t="str">
        <f t="shared" si="129"/>
        <v>-text 120,0 2.5 90 1160066.9</v>
      </c>
    </row>
    <row r="926" spans="1:20" x14ac:dyDescent="0.35">
      <c r="A926" s="1">
        <v>270640</v>
      </c>
      <c r="B926" s="7">
        <v>1160086.8999999999</v>
      </c>
      <c r="C926" s="2">
        <v>268.29399999999998</v>
      </c>
      <c r="D926" s="2">
        <v>268.46199999999999</v>
      </c>
      <c r="E926" s="2">
        <v>0.16800000000000001</v>
      </c>
      <c r="F926" s="2">
        <v>267.62200000000001</v>
      </c>
      <c r="G926" s="2">
        <v>267.74900000000002</v>
      </c>
      <c r="H926" s="2">
        <v>0.127</v>
      </c>
      <c r="I926" s="2">
        <v>265.065</v>
      </c>
      <c r="J926" s="2">
        <v>265.54300000000001</v>
      </c>
      <c r="K926" s="15">
        <v>2.206</v>
      </c>
      <c r="L926" s="2">
        <v>10.837999999999999</v>
      </c>
      <c r="N926" s="7">
        <f t="shared" si="130"/>
        <v>140</v>
      </c>
      <c r="O926" s="1">
        <v>0</v>
      </c>
      <c r="P926" s="1" t="str">
        <f t="shared" si="124"/>
        <v>140,0</v>
      </c>
      <c r="Q926" s="6" t="s">
        <v>10</v>
      </c>
      <c r="R926" s="1">
        <v>90</v>
      </c>
      <c r="S926" s="1">
        <v>2.5</v>
      </c>
      <c r="T926" s="1" t="str">
        <f t="shared" si="129"/>
        <v>-text 140,0 2.5 90 1160086.9</v>
      </c>
    </row>
    <row r="927" spans="1:20" x14ac:dyDescent="0.35">
      <c r="A927" s="1">
        <v>270660</v>
      </c>
      <c r="B927" s="7">
        <v>1160106.8999999999</v>
      </c>
      <c r="C927" s="2">
        <v>268.245</v>
      </c>
      <c r="D927" s="2">
        <v>268.452</v>
      </c>
      <c r="E927" s="2">
        <v>0.20699999999999999</v>
      </c>
      <c r="F927" s="2">
        <v>267.57299999999998</v>
      </c>
      <c r="G927" s="2">
        <v>267.73899999999998</v>
      </c>
      <c r="H927" s="2">
        <v>0.16600000000000001</v>
      </c>
      <c r="I927" s="2">
        <v>265.12900000000002</v>
      </c>
      <c r="J927" s="2">
        <v>265.423</v>
      </c>
      <c r="K927" s="15">
        <v>2.3159999999999998</v>
      </c>
      <c r="L927" s="2">
        <v>10.811999999999999</v>
      </c>
      <c r="N927" s="7">
        <f t="shared" si="130"/>
        <v>160</v>
      </c>
      <c r="O927" s="1">
        <v>0</v>
      </c>
      <c r="P927" s="1" t="str">
        <f t="shared" si="124"/>
        <v>160,0</v>
      </c>
      <c r="Q927" s="6" t="s">
        <v>10</v>
      </c>
      <c r="R927" s="1">
        <v>90</v>
      </c>
      <c r="S927" s="1">
        <v>2.5</v>
      </c>
      <c r="T927" s="1" t="str">
        <f t="shared" si="129"/>
        <v>-text 160,0 2.5 90 1160106.9</v>
      </c>
    </row>
    <row r="928" spans="1:20" x14ac:dyDescent="0.35">
      <c r="A928" s="1">
        <v>270680</v>
      </c>
      <c r="B928" s="7">
        <v>1160126.8999999999</v>
      </c>
      <c r="C928" s="2">
        <v>268.19600000000003</v>
      </c>
      <c r="D928" s="2">
        <v>268.45499999999998</v>
      </c>
      <c r="E928" s="2">
        <v>0.25800000000000001</v>
      </c>
      <c r="F928" s="2">
        <v>267.524</v>
      </c>
      <c r="G928" s="2">
        <v>267.74200000000002</v>
      </c>
      <c r="H928" s="2">
        <v>0.217</v>
      </c>
      <c r="I928" s="2">
        <v>265.01299999999998</v>
      </c>
      <c r="J928" s="2">
        <v>265.322</v>
      </c>
      <c r="K928" s="15">
        <v>2.42</v>
      </c>
      <c r="L928" s="2">
        <v>10.787000000000001</v>
      </c>
      <c r="N928" s="7">
        <f t="shared" si="130"/>
        <v>180</v>
      </c>
      <c r="O928" s="1">
        <v>0</v>
      </c>
      <c r="P928" s="1" t="str">
        <f t="shared" si="124"/>
        <v>180,0</v>
      </c>
      <c r="Q928" s="6" t="s">
        <v>10</v>
      </c>
      <c r="R928" s="1">
        <v>90</v>
      </c>
      <c r="S928" s="1">
        <v>2.5</v>
      </c>
      <c r="T928" s="1" t="str">
        <f t="shared" si="129"/>
        <v>-text 180,0 2.5 90 1160126.9</v>
      </c>
    </row>
    <row r="929" spans="1:20" x14ac:dyDescent="0.35">
      <c r="A929" s="1">
        <v>270700</v>
      </c>
      <c r="B929" s="7">
        <v>1160146.8999999999</v>
      </c>
      <c r="C929" s="2">
        <v>268.18400000000003</v>
      </c>
      <c r="D929" s="2">
        <v>268.48700000000002</v>
      </c>
      <c r="E929" s="2">
        <v>0.30299999999999999</v>
      </c>
      <c r="F929" s="2">
        <v>267.512</v>
      </c>
      <c r="G929" s="2">
        <v>267.774</v>
      </c>
      <c r="H929" s="2">
        <v>0.26200000000000001</v>
      </c>
      <c r="I929" s="2">
        <v>265.06900000000002</v>
      </c>
      <c r="J929" s="2">
        <v>265.221</v>
      </c>
      <c r="K929" s="15">
        <v>2.5529999999999999</v>
      </c>
      <c r="L929" s="2">
        <v>10.785</v>
      </c>
      <c r="N929" s="7">
        <f t="shared" si="130"/>
        <v>200</v>
      </c>
      <c r="O929" s="1">
        <v>0</v>
      </c>
      <c r="P929" s="1" t="str">
        <f t="shared" si="124"/>
        <v>200,0</v>
      </c>
      <c r="Q929" s="6" t="s">
        <v>10</v>
      </c>
      <c r="R929" s="1">
        <v>90</v>
      </c>
      <c r="S929" s="1">
        <v>2.5</v>
      </c>
      <c r="T929" s="1" t="str">
        <f t="shared" si="129"/>
        <v>-text 200,0 2.5 90 1160146.9</v>
      </c>
    </row>
    <row r="930" spans="1:20" x14ac:dyDescent="0.35">
      <c r="A930" s="1">
        <v>270720</v>
      </c>
      <c r="B930" s="7">
        <v>1160166.8999999999</v>
      </c>
      <c r="C930" s="2">
        <v>268.17599999999999</v>
      </c>
      <c r="D930" s="2">
        <v>268.51900000000001</v>
      </c>
      <c r="E930" s="2">
        <v>0.34300000000000003</v>
      </c>
      <c r="F930" s="2">
        <v>267.50400000000002</v>
      </c>
      <c r="G930" s="2">
        <v>267.80599999999998</v>
      </c>
      <c r="H930" s="2">
        <v>0.30199999999999999</v>
      </c>
      <c r="I930" s="2">
        <v>264.95600000000002</v>
      </c>
      <c r="J930" s="2">
        <v>265.41699999999997</v>
      </c>
      <c r="K930" s="15">
        <v>2.39</v>
      </c>
      <c r="L930" s="2">
        <v>10.798999999999999</v>
      </c>
      <c r="N930" s="7">
        <f t="shared" si="130"/>
        <v>220</v>
      </c>
      <c r="O930" s="1">
        <v>0</v>
      </c>
      <c r="P930" s="1" t="str">
        <f t="shared" si="124"/>
        <v>220,0</v>
      </c>
      <c r="Q930" s="6" t="s">
        <v>10</v>
      </c>
      <c r="R930" s="1">
        <v>90</v>
      </c>
      <c r="S930" s="1">
        <v>2.5</v>
      </c>
      <c r="T930" s="1" t="str">
        <f t="shared" si="129"/>
        <v>-text 220,0 2.5 90 1160166.9</v>
      </c>
    </row>
    <row r="931" spans="1:20" x14ac:dyDescent="0.35">
      <c r="A931" s="1">
        <v>270740</v>
      </c>
      <c r="B931" s="7">
        <v>1160186.8999999999</v>
      </c>
      <c r="C931" s="2">
        <v>268.14499999999998</v>
      </c>
      <c r="D931" s="2">
        <v>268.55099999999999</v>
      </c>
      <c r="E931" s="2">
        <v>0.40699999999999997</v>
      </c>
      <c r="F931" s="2">
        <v>267.47300000000001</v>
      </c>
      <c r="G931" s="2">
        <v>267.83800000000002</v>
      </c>
      <c r="H931" s="2">
        <v>0.36599999999999999</v>
      </c>
      <c r="I931" s="2">
        <v>264.88</v>
      </c>
      <c r="J931" s="2">
        <v>265.44600000000003</v>
      </c>
      <c r="K931" s="15">
        <v>2.3929999999999998</v>
      </c>
      <c r="L931" s="2">
        <v>10.787000000000001</v>
      </c>
      <c r="N931" s="7">
        <f t="shared" si="130"/>
        <v>240</v>
      </c>
      <c r="O931" s="1">
        <v>0</v>
      </c>
      <c r="P931" s="1" t="str">
        <f t="shared" si="124"/>
        <v>240,0</v>
      </c>
      <c r="Q931" s="6" t="s">
        <v>10</v>
      </c>
      <c r="R931" s="1">
        <v>90</v>
      </c>
      <c r="S931" s="1">
        <v>2.5</v>
      </c>
      <c r="T931" s="1" t="str">
        <f t="shared" si="129"/>
        <v>-text 240,0 2.5 90 1160186.9</v>
      </c>
    </row>
    <row r="932" spans="1:20" x14ac:dyDescent="0.35">
      <c r="A932" s="1">
        <v>270760</v>
      </c>
      <c r="B932" s="7">
        <v>1160206.8999999999</v>
      </c>
      <c r="C932" s="2">
        <v>268.09899999999999</v>
      </c>
      <c r="D932" s="2">
        <v>268.584</v>
      </c>
      <c r="E932" s="2">
        <v>0.48399999999999999</v>
      </c>
      <c r="F932" s="2">
        <v>267.42700000000002</v>
      </c>
      <c r="G932" s="2">
        <v>267.87099999999998</v>
      </c>
      <c r="H932" s="2">
        <v>0.443</v>
      </c>
      <c r="I932" s="2">
        <v>264.88499999999999</v>
      </c>
      <c r="J932" s="2">
        <v>265.13900000000001</v>
      </c>
      <c r="K932" s="15">
        <v>2.7309999999999999</v>
      </c>
      <c r="L932" s="2">
        <v>10.76</v>
      </c>
      <c r="N932" s="7">
        <f t="shared" si="130"/>
        <v>260</v>
      </c>
      <c r="O932" s="1">
        <v>0</v>
      </c>
      <c r="P932" s="1" t="str">
        <f t="shared" si="124"/>
        <v>260,0</v>
      </c>
      <c r="Q932" s="6" t="s">
        <v>10</v>
      </c>
      <c r="R932" s="1">
        <v>90</v>
      </c>
      <c r="S932" s="1">
        <v>2.5</v>
      </c>
      <c r="T932" s="1" t="str">
        <f t="shared" si="129"/>
        <v>-text 260,0 2.5 90 1160206.9</v>
      </c>
    </row>
    <row r="933" spans="1:20" x14ac:dyDescent="0.35">
      <c r="A933" s="1">
        <v>270780</v>
      </c>
      <c r="B933" s="7">
        <v>1160226.8999999999</v>
      </c>
      <c r="C933" s="2">
        <v>268.07100000000003</v>
      </c>
      <c r="D933" s="2">
        <v>268.61599999999999</v>
      </c>
      <c r="E933" s="2">
        <v>0.54500000000000004</v>
      </c>
      <c r="F933" s="2">
        <v>267.399</v>
      </c>
      <c r="G933" s="2">
        <v>267.90300000000002</v>
      </c>
      <c r="H933" s="2">
        <v>0.504</v>
      </c>
      <c r="I933" s="2">
        <v>264.91300000000001</v>
      </c>
      <c r="J933" s="2">
        <v>265.05700000000002</v>
      </c>
      <c r="K933" s="15">
        <v>2.8460000000000001</v>
      </c>
      <c r="L933" s="2">
        <v>10.762</v>
      </c>
      <c r="N933" s="7">
        <f t="shared" si="130"/>
        <v>280</v>
      </c>
      <c r="O933" s="1">
        <v>0</v>
      </c>
      <c r="P933" s="1" t="str">
        <f t="shared" si="124"/>
        <v>280,0</v>
      </c>
      <c r="Q933" s="6" t="s">
        <v>10</v>
      </c>
      <c r="R933" s="1">
        <v>90</v>
      </c>
      <c r="S933" s="1">
        <v>2.5</v>
      </c>
      <c r="T933" s="1" t="str">
        <f t="shared" si="129"/>
        <v>-text 280,0 2.5 90 1160226.9</v>
      </c>
    </row>
    <row r="934" spans="1:20" x14ac:dyDescent="0.35">
      <c r="A934" s="1">
        <v>270800</v>
      </c>
      <c r="B934" s="7">
        <v>1160246.8999999999</v>
      </c>
      <c r="C934" s="2">
        <v>268.053</v>
      </c>
      <c r="D934" s="2">
        <v>268.64800000000002</v>
      </c>
      <c r="E934" s="2">
        <v>0.59499999999999997</v>
      </c>
      <c r="F934" s="2">
        <v>267.38099999999997</v>
      </c>
      <c r="G934" s="2">
        <v>267.935</v>
      </c>
      <c r="H934" s="2">
        <v>0.55400000000000005</v>
      </c>
      <c r="I934" s="2">
        <v>265.149</v>
      </c>
      <c r="J934" s="2">
        <v>265.142</v>
      </c>
      <c r="K934" s="15">
        <v>2.7930000000000001</v>
      </c>
      <c r="L934" s="2">
        <v>10.779</v>
      </c>
      <c r="N934" s="7">
        <f t="shared" si="130"/>
        <v>300</v>
      </c>
      <c r="O934" s="1">
        <v>0</v>
      </c>
      <c r="P934" s="1" t="str">
        <f t="shared" si="124"/>
        <v>300,0</v>
      </c>
      <c r="Q934" s="6" t="s">
        <v>10</v>
      </c>
      <c r="R934" s="1">
        <v>90</v>
      </c>
      <c r="S934" s="1">
        <v>2.5</v>
      </c>
      <c r="T934" s="1" t="str">
        <f t="shared" si="129"/>
        <v>-text 300,0 2.5 90 1160246.9</v>
      </c>
    </row>
    <row r="935" spans="1:20" x14ac:dyDescent="0.35">
      <c r="A935" s="1">
        <v>270820</v>
      </c>
      <c r="B935" s="7">
        <v>1160266.8999999999</v>
      </c>
      <c r="C935" s="2">
        <v>268.029</v>
      </c>
      <c r="D935" s="2">
        <v>268.68</v>
      </c>
      <c r="E935" s="2">
        <v>0.65100000000000002</v>
      </c>
      <c r="F935" s="2">
        <v>267.35700000000003</v>
      </c>
      <c r="G935" s="2">
        <v>267.96699999999998</v>
      </c>
      <c r="H935" s="2">
        <v>0.61</v>
      </c>
      <c r="I935" s="2">
        <v>264.80900000000003</v>
      </c>
      <c r="J935" s="2">
        <v>264.93099999999998</v>
      </c>
      <c r="K935" s="15">
        <v>3.036</v>
      </c>
      <c r="L935" s="2">
        <v>10.81</v>
      </c>
      <c r="N935" s="7">
        <f t="shared" si="130"/>
        <v>320</v>
      </c>
      <c r="O935" s="1">
        <v>0</v>
      </c>
      <c r="P935" s="1" t="str">
        <f t="shared" ref="P935:P1004" si="131">CONCATENATE(N935,",",O935)</f>
        <v>320,0</v>
      </c>
      <c r="Q935" s="6" t="s">
        <v>10</v>
      </c>
      <c r="R935" s="1">
        <v>90</v>
      </c>
      <c r="S935" s="1">
        <v>2.5</v>
      </c>
      <c r="T935" s="1" t="str">
        <f t="shared" si="129"/>
        <v>-text 320,0 2.5 90 1160266.9</v>
      </c>
    </row>
    <row r="936" spans="1:20" x14ac:dyDescent="0.35">
      <c r="A936" s="1">
        <v>270840</v>
      </c>
      <c r="B936" s="7">
        <v>1160286.8999999999</v>
      </c>
      <c r="C936" s="2">
        <v>268.00200000000001</v>
      </c>
      <c r="D936" s="2">
        <v>268.71199999999999</v>
      </c>
      <c r="E936" s="2">
        <v>0.71</v>
      </c>
      <c r="F936" s="2">
        <v>267.33</v>
      </c>
      <c r="G936" s="2">
        <v>267.99900000000002</v>
      </c>
      <c r="H936" s="2">
        <v>0.66900000000000004</v>
      </c>
      <c r="I936" s="2">
        <v>264.70400000000001</v>
      </c>
      <c r="J936" s="2">
        <v>264.8</v>
      </c>
      <c r="K936" s="15">
        <v>3.1989999999999998</v>
      </c>
      <c r="L936" s="2">
        <v>10.847</v>
      </c>
      <c r="N936" s="7">
        <f t="shared" si="130"/>
        <v>340</v>
      </c>
      <c r="O936" s="1">
        <v>0</v>
      </c>
      <c r="P936" s="1" t="str">
        <f t="shared" si="131"/>
        <v>340,0</v>
      </c>
      <c r="Q936" s="6" t="s">
        <v>10</v>
      </c>
      <c r="R936" s="1">
        <v>90</v>
      </c>
      <c r="S936" s="1">
        <v>2.5</v>
      </c>
      <c r="T936" s="1" t="str">
        <f t="shared" si="129"/>
        <v>-text 340,0 2.5 90 1160286.9</v>
      </c>
    </row>
    <row r="937" spans="1:20" x14ac:dyDescent="0.35">
      <c r="A937" s="1">
        <v>270860</v>
      </c>
      <c r="B937" s="7">
        <v>1160306.8999999999</v>
      </c>
      <c r="C937" s="2">
        <v>267.96199999999999</v>
      </c>
      <c r="D937" s="2">
        <v>268.745</v>
      </c>
      <c r="E937" s="2">
        <v>0.78200000000000003</v>
      </c>
      <c r="F937" s="2">
        <v>267.29000000000002</v>
      </c>
      <c r="G937" s="2">
        <v>268.03199999999998</v>
      </c>
      <c r="H937" s="2">
        <v>0.74099999999999999</v>
      </c>
      <c r="I937" s="2">
        <v>264.75400000000002</v>
      </c>
      <c r="J937" s="2">
        <v>264.77800000000002</v>
      </c>
      <c r="K937" s="15">
        <v>3.254</v>
      </c>
      <c r="L937" s="2">
        <v>10.86</v>
      </c>
      <c r="N937" s="7">
        <f t="shared" si="130"/>
        <v>360</v>
      </c>
      <c r="O937" s="1">
        <v>0</v>
      </c>
      <c r="P937" s="1" t="str">
        <f t="shared" si="131"/>
        <v>360,0</v>
      </c>
      <c r="Q937" s="6" t="s">
        <v>10</v>
      </c>
      <c r="R937" s="1">
        <v>90</v>
      </c>
      <c r="S937" s="1">
        <v>2.5</v>
      </c>
      <c r="T937" s="1" t="str">
        <f t="shared" si="129"/>
        <v>-text 360,0 2.5 90 1160306.9</v>
      </c>
    </row>
    <row r="938" spans="1:20" x14ac:dyDescent="0.35">
      <c r="A938" s="1">
        <v>270880</v>
      </c>
      <c r="B938" s="7">
        <v>1160326.8999999999</v>
      </c>
      <c r="C938" s="2">
        <v>267.91500000000002</v>
      </c>
      <c r="D938" s="2">
        <v>268.77699999999999</v>
      </c>
      <c r="E938" s="2">
        <v>0.86199999999999999</v>
      </c>
      <c r="F938" s="2">
        <v>267.24299999999999</v>
      </c>
      <c r="G938" s="2">
        <v>268.06400000000002</v>
      </c>
      <c r="H938" s="2">
        <v>0.82099999999999995</v>
      </c>
      <c r="I938" s="2">
        <v>264.822</v>
      </c>
      <c r="J938" s="2">
        <v>265.072</v>
      </c>
      <c r="K938" s="15">
        <v>2.992</v>
      </c>
      <c r="L938" s="2">
        <v>10.86</v>
      </c>
      <c r="N938" s="7">
        <f t="shared" si="130"/>
        <v>380</v>
      </c>
      <c r="O938" s="1">
        <v>0</v>
      </c>
      <c r="P938" s="1" t="str">
        <f t="shared" si="131"/>
        <v>380,0</v>
      </c>
      <c r="Q938" s="6" t="s">
        <v>10</v>
      </c>
      <c r="R938" s="1">
        <v>90</v>
      </c>
      <c r="S938" s="1">
        <v>2.5</v>
      </c>
      <c r="T938" s="1" t="str">
        <f t="shared" si="129"/>
        <v>-text 380,0 2.5 90 1160326.9</v>
      </c>
    </row>
    <row r="939" spans="1:20" x14ac:dyDescent="0.35">
      <c r="A939" s="1">
        <v>270900</v>
      </c>
      <c r="B939" s="7">
        <v>1160346.8999999999</v>
      </c>
      <c r="C939" s="2">
        <v>267.90600000000001</v>
      </c>
      <c r="D939" s="2">
        <v>268.80900000000003</v>
      </c>
      <c r="E939" s="2">
        <v>0.90300000000000002</v>
      </c>
      <c r="F939" s="2">
        <v>267.23399999999998</v>
      </c>
      <c r="G939" s="2">
        <v>268.096</v>
      </c>
      <c r="H939" s="2">
        <v>0.86199999999999999</v>
      </c>
      <c r="I939" s="2">
        <v>265.52100000000002</v>
      </c>
      <c r="J939" s="2">
        <v>264.76100000000002</v>
      </c>
      <c r="K939" s="15">
        <v>3.335</v>
      </c>
      <c r="L939" s="2">
        <v>10.852</v>
      </c>
      <c r="N939" s="7">
        <f t="shared" si="130"/>
        <v>400</v>
      </c>
      <c r="O939" s="1">
        <v>0</v>
      </c>
      <c r="P939" s="1" t="str">
        <f t="shared" si="131"/>
        <v>400,0</v>
      </c>
      <c r="Q939" s="6" t="s">
        <v>10</v>
      </c>
      <c r="R939" s="1">
        <v>90</v>
      </c>
      <c r="S939" s="1">
        <v>2.5</v>
      </c>
      <c r="T939" s="1" t="str">
        <f t="shared" si="129"/>
        <v>-text 400,0 2.5 90 1160346.9</v>
      </c>
    </row>
    <row r="940" spans="1:20" x14ac:dyDescent="0.35">
      <c r="A940" s="1">
        <v>270920</v>
      </c>
      <c r="B940" s="7">
        <v>1160366.8999999999</v>
      </c>
      <c r="C940" s="2">
        <v>267.90600000000001</v>
      </c>
      <c r="D940" s="2">
        <v>268.84100000000001</v>
      </c>
      <c r="E940" s="2">
        <v>0.93500000000000005</v>
      </c>
      <c r="F940" s="2">
        <v>267.23399999999998</v>
      </c>
      <c r="G940" s="2">
        <v>268.12799999999999</v>
      </c>
      <c r="H940" s="2">
        <v>0.89400000000000002</v>
      </c>
      <c r="I940" s="2">
        <v>264.82100000000003</v>
      </c>
      <c r="J940" s="2">
        <v>265.01100000000002</v>
      </c>
      <c r="K940" s="15">
        <v>3.117</v>
      </c>
      <c r="L940" s="2">
        <v>10.840999999999999</v>
      </c>
      <c r="N940" s="7">
        <f t="shared" si="130"/>
        <v>420</v>
      </c>
      <c r="O940" s="1">
        <v>0</v>
      </c>
      <c r="P940" s="1" t="str">
        <f t="shared" si="131"/>
        <v>420,0</v>
      </c>
      <c r="Q940" s="6" t="s">
        <v>10</v>
      </c>
      <c r="R940" s="1">
        <v>90</v>
      </c>
      <c r="S940" s="1">
        <v>2.5</v>
      </c>
      <c r="T940" s="1" t="str">
        <f t="shared" si="129"/>
        <v>-text 420,0 2.5 90 1160366.9</v>
      </c>
    </row>
    <row r="941" spans="1:20" x14ac:dyDescent="0.35">
      <c r="A941" s="1">
        <v>270940</v>
      </c>
      <c r="B941" s="7">
        <v>1160386.8999999999</v>
      </c>
      <c r="C941" s="2">
        <v>267.89</v>
      </c>
      <c r="D941" s="2">
        <v>268.87299999999999</v>
      </c>
      <c r="E941" s="2">
        <v>0.98299999999999998</v>
      </c>
      <c r="F941" s="2">
        <v>267.21800000000002</v>
      </c>
      <c r="G941" s="2">
        <v>268.16000000000003</v>
      </c>
      <c r="H941" s="2">
        <v>0.94199999999999995</v>
      </c>
      <c r="I941" s="2">
        <v>264.68700000000001</v>
      </c>
      <c r="J941" s="2">
        <v>265.06700000000001</v>
      </c>
      <c r="K941" s="15">
        <v>3.093</v>
      </c>
      <c r="L941" s="2">
        <v>10.833</v>
      </c>
      <c r="N941" s="7">
        <f t="shared" si="130"/>
        <v>440</v>
      </c>
      <c r="O941" s="1">
        <v>0</v>
      </c>
      <c r="P941" s="1" t="str">
        <f t="shared" si="131"/>
        <v>440,0</v>
      </c>
      <c r="Q941" s="6" t="s">
        <v>10</v>
      </c>
      <c r="R941" s="1">
        <v>90</v>
      </c>
      <c r="S941" s="1">
        <v>2.5</v>
      </c>
      <c r="T941" s="1" t="str">
        <f t="shared" si="129"/>
        <v>-text 440,0 2.5 90 1160386.9</v>
      </c>
    </row>
    <row r="942" spans="1:20" x14ac:dyDescent="0.35">
      <c r="A942" s="1">
        <v>270960</v>
      </c>
      <c r="B942" s="7">
        <v>1160406.8999999999</v>
      </c>
      <c r="C942" s="2">
        <v>267.87099999999998</v>
      </c>
      <c r="D942" s="2">
        <v>268.90499999999997</v>
      </c>
      <c r="E942" s="2">
        <v>1.034</v>
      </c>
      <c r="F942" s="2">
        <v>267.19900000000001</v>
      </c>
      <c r="G942" s="2">
        <v>268.19200000000001</v>
      </c>
      <c r="H942" s="2">
        <v>0.99299999999999999</v>
      </c>
      <c r="I942" s="2">
        <v>264.59899999999999</v>
      </c>
      <c r="J942" s="2">
        <v>265.17</v>
      </c>
      <c r="K942" s="15">
        <v>3.0219999999999998</v>
      </c>
      <c r="L942" s="2">
        <v>10.824</v>
      </c>
      <c r="N942" s="7">
        <f t="shared" si="130"/>
        <v>460</v>
      </c>
      <c r="O942" s="1">
        <v>0</v>
      </c>
      <c r="P942" s="1" t="str">
        <f t="shared" si="131"/>
        <v>460,0</v>
      </c>
      <c r="Q942" s="6" t="s">
        <v>10</v>
      </c>
      <c r="R942" s="1">
        <v>90</v>
      </c>
      <c r="S942" s="1">
        <v>2.5</v>
      </c>
      <c r="T942" s="1" t="str">
        <f t="shared" si="129"/>
        <v>-text 460,0 2.5 90 1160406.9</v>
      </c>
    </row>
    <row r="943" spans="1:20" x14ac:dyDescent="0.35">
      <c r="A943" s="1">
        <v>270980</v>
      </c>
      <c r="B943" s="7">
        <v>1160426.8999999999</v>
      </c>
      <c r="C943" s="2">
        <v>267.81299999999999</v>
      </c>
      <c r="D943" s="2">
        <v>268.93799999999999</v>
      </c>
      <c r="E943" s="2">
        <v>1.125</v>
      </c>
      <c r="F943" s="2">
        <v>267.14100000000002</v>
      </c>
      <c r="G943" s="2">
        <v>268.22500000000002</v>
      </c>
      <c r="H943" s="2">
        <v>1.0840000000000001</v>
      </c>
      <c r="I943" s="2">
        <v>264.53899999999999</v>
      </c>
      <c r="J943" s="2">
        <v>265.17599999999999</v>
      </c>
      <c r="K943" s="15">
        <v>3.0489999999999999</v>
      </c>
      <c r="L943" s="2">
        <v>10.836</v>
      </c>
      <c r="N943" s="7">
        <f t="shared" si="130"/>
        <v>480</v>
      </c>
      <c r="O943" s="1">
        <v>0</v>
      </c>
      <c r="P943" s="1" t="str">
        <f t="shared" si="131"/>
        <v>480,0</v>
      </c>
      <c r="Q943" s="6" t="s">
        <v>10</v>
      </c>
      <c r="R943" s="1">
        <v>90</v>
      </c>
      <c r="S943" s="1">
        <v>2.5</v>
      </c>
      <c r="T943" s="1" t="str">
        <f t="shared" si="129"/>
        <v>-text 480,0 2.5 90 1160426.9</v>
      </c>
    </row>
    <row r="944" spans="1:20" x14ac:dyDescent="0.35">
      <c r="A944" s="1">
        <v>271000</v>
      </c>
      <c r="B944" s="7">
        <v>1160446.8999999999</v>
      </c>
      <c r="C944" s="2">
        <v>267.75</v>
      </c>
      <c r="D944" s="2">
        <v>268.97000000000003</v>
      </c>
      <c r="E944" s="2">
        <v>1.22</v>
      </c>
      <c r="F944" s="2">
        <v>267.07799999999997</v>
      </c>
      <c r="G944" s="2">
        <v>268.25700000000001</v>
      </c>
      <c r="H944" s="2">
        <v>1.179</v>
      </c>
      <c r="I944" s="2">
        <v>264.54399999999998</v>
      </c>
      <c r="J944" s="2">
        <v>265.19600000000003</v>
      </c>
      <c r="K944" s="15">
        <v>3.0609999999999999</v>
      </c>
      <c r="L944" s="2">
        <v>10.85</v>
      </c>
      <c r="N944" s="7">
        <f>N941+(B944-B941)</f>
        <v>500</v>
      </c>
      <c r="O944" s="1">
        <v>0</v>
      </c>
      <c r="P944" s="1" t="str">
        <f t="shared" ref="P944" si="132">CONCATENATE(N944,",",O944)</f>
        <v>500,0</v>
      </c>
      <c r="Q944" s="6" t="s">
        <v>10</v>
      </c>
      <c r="R944" s="1">
        <v>90</v>
      </c>
      <c r="S944" s="1">
        <v>2.5</v>
      </c>
      <c r="T944" s="1" t="str">
        <f t="shared" si="129"/>
        <v>-text 500,0 2.5 90 1160446.9</v>
      </c>
    </row>
    <row r="945" spans="1:20" s="10" customFormat="1" x14ac:dyDescent="0.35">
      <c r="B945" s="11"/>
      <c r="C945" s="9"/>
      <c r="D945" s="9"/>
      <c r="E945" s="9"/>
      <c r="F945" s="9"/>
      <c r="G945" s="9"/>
      <c r="H945" s="9"/>
      <c r="I945" s="9"/>
      <c r="J945" s="9"/>
      <c r="K945" s="16"/>
      <c r="L945" s="9"/>
      <c r="M945" s="9"/>
      <c r="N945" s="11"/>
      <c r="Q945" s="12"/>
    </row>
    <row r="946" spans="1:20" x14ac:dyDescent="0.35">
      <c r="A946" s="1">
        <v>271000</v>
      </c>
      <c r="B946" s="7">
        <v>1160446.8999999999</v>
      </c>
      <c r="C946" s="2">
        <v>267.75</v>
      </c>
      <c r="D946" s="2">
        <v>268.97000000000003</v>
      </c>
      <c r="E946" s="2">
        <v>1.22</v>
      </c>
      <c r="F946" s="2">
        <v>267.07799999999997</v>
      </c>
      <c r="G946" s="2">
        <v>268.25700000000001</v>
      </c>
      <c r="H946" s="2">
        <v>1.179</v>
      </c>
      <c r="I946" s="2">
        <v>264.54399999999998</v>
      </c>
      <c r="J946" s="2">
        <v>265.19600000000003</v>
      </c>
      <c r="K946" s="15">
        <v>3.0609999999999999</v>
      </c>
      <c r="L946" s="2">
        <v>10.85</v>
      </c>
      <c r="N946" s="7">
        <v>0</v>
      </c>
      <c r="O946" s="1">
        <v>0</v>
      </c>
      <c r="P946" s="1" t="str">
        <f t="shared" si="131"/>
        <v>0,0</v>
      </c>
      <c r="Q946" s="6" t="s">
        <v>10</v>
      </c>
      <c r="R946" s="1">
        <v>90</v>
      </c>
      <c r="S946" s="1">
        <v>2.5</v>
      </c>
      <c r="T946" s="1" t="str">
        <f t="shared" ref="T946:T971" si="133">$Q946&amp;" "&amp;$P946&amp;" "&amp;$S946&amp;" "&amp;$R946&amp;" "&amp;$B946</f>
        <v>-text 0,0 2.5 90 1160446.9</v>
      </c>
    </row>
    <row r="947" spans="1:20" x14ac:dyDescent="0.35">
      <c r="A947" s="1">
        <v>271020</v>
      </c>
      <c r="B947" s="7">
        <v>1160466.8999999999</v>
      </c>
      <c r="C947" s="2">
        <v>267.70699999999999</v>
      </c>
      <c r="D947" s="2">
        <v>269.00200000000001</v>
      </c>
      <c r="E947" s="2">
        <v>1.2949999999999999</v>
      </c>
      <c r="F947" s="2">
        <v>267.03500000000003</v>
      </c>
      <c r="G947" s="2">
        <v>268.28899999999999</v>
      </c>
      <c r="H947" s="2">
        <v>1.254</v>
      </c>
      <c r="I947" s="2">
        <v>264.51100000000002</v>
      </c>
      <c r="J947" s="2">
        <v>265.23399999999998</v>
      </c>
      <c r="K947" s="15">
        <v>3.0550000000000002</v>
      </c>
      <c r="L947" s="2">
        <v>10.866</v>
      </c>
      <c r="N947" s="7">
        <f t="shared" ref="N947:N970" si="134">N946+(B947-B946)</f>
        <v>20</v>
      </c>
      <c r="O947" s="1">
        <v>0</v>
      </c>
      <c r="P947" s="1" t="str">
        <f t="shared" si="131"/>
        <v>20,0</v>
      </c>
      <c r="Q947" s="6" t="s">
        <v>10</v>
      </c>
      <c r="R947" s="1">
        <v>90</v>
      </c>
      <c r="S947" s="1">
        <v>2.5</v>
      </c>
      <c r="T947" s="1" t="str">
        <f t="shared" si="133"/>
        <v>-text 20,0 2.5 90 1160466.9</v>
      </c>
    </row>
    <row r="948" spans="1:20" x14ac:dyDescent="0.35">
      <c r="A948" s="1">
        <v>271040</v>
      </c>
      <c r="B948" s="7">
        <v>1160486.8</v>
      </c>
      <c r="C948" s="2">
        <v>267.67200000000003</v>
      </c>
      <c r="D948" s="2">
        <v>269.03399999999999</v>
      </c>
      <c r="E948" s="2">
        <v>1.3620000000000001</v>
      </c>
      <c r="F948" s="2">
        <v>267</v>
      </c>
      <c r="G948" s="2">
        <v>268.32100000000003</v>
      </c>
      <c r="H948" s="2">
        <v>1.321</v>
      </c>
      <c r="I948" s="2">
        <v>264.55099999999999</v>
      </c>
      <c r="J948" s="2">
        <v>264.86599999999999</v>
      </c>
      <c r="K948" s="15">
        <v>3.4550000000000001</v>
      </c>
      <c r="L948" s="2">
        <v>10.843999999999999</v>
      </c>
      <c r="N948" s="7">
        <f t="shared" si="134"/>
        <v>39.900000000139698</v>
      </c>
      <c r="O948" s="1">
        <v>0</v>
      </c>
      <c r="P948" s="1" t="str">
        <f t="shared" si="131"/>
        <v>39.9000000001397,0</v>
      </c>
      <c r="Q948" s="6" t="s">
        <v>10</v>
      </c>
      <c r="R948" s="1">
        <v>90</v>
      </c>
      <c r="S948" s="1">
        <v>2.5</v>
      </c>
      <c r="T948" s="1" t="str">
        <f t="shared" si="133"/>
        <v>-text 39.9000000001397,0 2.5 90 1160486.8</v>
      </c>
    </row>
    <row r="949" spans="1:20" x14ac:dyDescent="0.35">
      <c r="A949" s="1">
        <v>271060</v>
      </c>
      <c r="B949" s="7">
        <v>1160506.8999999999</v>
      </c>
      <c r="C949" s="2">
        <v>267.72800000000001</v>
      </c>
      <c r="D949" s="2">
        <v>269.06599999999997</v>
      </c>
      <c r="E949" s="2">
        <v>1.3380000000000001</v>
      </c>
      <c r="F949" s="2">
        <v>267.05599999999998</v>
      </c>
      <c r="G949" s="2">
        <v>268.35300000000001</v>
      </c>
      <c r="H949" s="2">
        <v>1.2969999999999999</v>
      </c>
      <c r="I949" s="2">
        <v>264.87900000000002</v>
      </c>
      <c r="J949" s="2">
        <v>265.11200000000002</v>
      </c>
      <c r="K949" s="15">
        <v>3.242</v>
      </c>
      <c r="L949" s="2">
        <v>10.903</v>
      </c>
      <c r="N949" s="7">
        <f t="shared" si="134"/>
        <v>60</v>
      </c>
      <c r="O949" s="1">
        <v>0</v>
      </c>
      <c r="P949" s="1" t="str">
        <f t="shared" si="131"/>
        <v>60,0</v>
      </c>
      <c r="Q949" s="6" t="s">
        <v>10</v>
      </c>
      <c r="R949" s="1">
        <v>90</v>
      </c>
      <c r="S949" s="1">
        <v>2.5</v>
      </c>
      <c r="T949" s="1" t="str">
        <f t="shared" si="133"/>
        <v>-text 60,0 2.5 90 1160506.9</v>
      </c>
    </row>
    <row r="950" spans="1:20" x14ac:dyDescent="0.35">
      <c r="A950" s="1">
        <v>271080</v>
      </c>
      <c r="B950" s="7">
        <v>1160526.8999999999</v>
      </c>
      <c r="C950" s="2">
        <v>267.73</v>
      </c>
      <c r="D950" s="2">
        <v>269.09800000000001</v>
      </c>
      <c r="E950" s="2">
        <v>1.3680000000000001</v>
      </c>
      <c r="F950" s="2">
        <v>267.05799999999999</v>
      </c>
      <c r="G950" s="2">
        <v>268.38499999999999</v>
      </c>
      <c r="H950" s="2">
        <v>1.327</v>
      </c>
      <c r="I950" s="2">
        <v>264.69299999999998</v>
      </c>
      <c r="J950" s="2">
        <v>265.13</v>
      </c>
      <c r="K950" s="15">
        <v>3.2559999999999998</v>
      </c>
      <c r="L950" s="2">
        <v>10.923</v>
      </c>
      <c r="N950" s="7">
        <f t="shared" si="134"/>
        <v>80</v>
      </c>
      <c r="O950" s="1">
        <v>0</v>
      </c>
      <c r="P950" s="1" t="str">
        <f t="shared" si="131"/>
        <v>80,0</v>
      </c>
      <c r="Q950" s="6" t="s">
        <v>10</v>
      </c>
      <c r="R950" s="1">
        <v>90</v>
      </c>
      <c r="S950" s="1">
        <v>2.5</v>
      </c>
      <c r="T950" s="1" t="str">
        <f t="shared" si="133"/>
        <v>-text 80,0 2.5 90 1160526.9</v>
      </c>
    </row>
    <row r="951" spans="1:20" x14ac:dyDescent="0.35">
      <c r="A951" s="1">
        <v>271100</v>
      </c>
      <c r="B951" s="7">
        <v>1160546.8</v>
      </c>
      <c r="C951" s="2">
        <v>267.73200000000003</v>
      </c>
      <c r="D951" s="2">
        <v>269.13099999999997</v>
      </c>
      <c r="E951" s="2">
        <v>1.399</v>
      </c>
      <c r="F951" s="2">
        <v>267.06</v>
      </c>
      <c r="G951" s="2">
        <v>268.41800000000001</v>
      </c>
      <c r="H951" s="2">
        <v>1.3580000000000001</v>
      </c>
      <c r="I951" s="2">
        <v>264.83699999999999</v>
      </c>
      <c r="J951" s="2">
        <v>265.15499999999997</v>
      </c>
      <c r="K951" s="15">
        <v>3.2629999999999999</v>
      </c>
      <c r="L951" s="2">
        <v>10.901</v>
      </c>
      <c r="N951" s="7">
        <f t="shared" si="134"/>
        <v>99.900000000139698</v>
      </c>
      <c r="O951" s="1">
        <v>0</v>
      </c>
      <c r="P951" s="1" t="str">
        <f t="shared" si="131"/>
        <v>99.9000000001397,0</v>
      </c>
      <c r="Q951" s="6" t="s">
        <v>10</v>
      </c>
      <c r="R951" s="1">
        <v>90</v>
      </c>
      <c r="S951" s="1">
        <v>2.5</v>
      </c>
      <c r="T951" s="1" t="str">
        <f t="shared" si="133"/>
        <v>-text 99.9000000001397,0 2.5 90 1160546.8</v>
      </c>
    </row>
    <row r="952" spans="1:20" x14ac:dyDescent="0.35">
      <c r="A952" s="1">
        <v>271120</v>
      </c>
      <c r="B952" s="7">
        <v>1160567</v>
      </c>
      <c r="C952" s="2">
        <v>267.72300000000001</v>
      </c>
      <c r="D952" s="2">
        <v>269.16300000000001</v>
      </c>
      <c r="E952" s="2">
        <v>1.44</v>
      </c>
      <c r="F952" s="2">
        <v>267.05099999999999</v>
      </c>
      <c r="G952" s="2">
        <v>268.45</v>
      </c>
      <c r="H952" s="2">
        <v>1.399</v>
      </c>
      <c r="I952" s="2">
        <v>264.65499999999997</v>
      </c>
      <c r="J952" s="2">
        <v>265.15300000000002</v>
      </c>
      <c r="K952" s="15">
        <v>3.2970000000000002</v>
      </c>
      <c r="L952" s="2">
        <v>10.843</v>
      </c>
      <c r="N952" s="7">
        <f t="shared" si="134"/>
        <v>120.10000000009313</v>
      </c>
      <c r="O952" s="1">
        <v>0</v>
      </c>
      <c r="P952" s="1" t="str">
        <f t="shared" si="131"/>
        <v>120.100000000093,0</v>
      </c>
      <c r="Q952" s="6" t="s">
        <v>10</v>
      </c>
      <c r="R952" s="1">
        <v>90</v>
      </c>
      <c r="S952" s="1">
        <v>2.5</v>
      </c>
      <c r="T952" s="1" t="str">
        <f t="shared" si="133"/>
        <v>-text 120.100000000093,0 2.5 90 1160567</v>
      </c>
    </row>
    <row r="953" spans="1:20" x14ac:dyDescent="0.35">
      <c r="A953" s="1">
        <v>271140</v>
      </c>
      <c r="B953" s="7">
        <v>1160586.8999999999</v>
      </c>
      <c r="C953" s="2">
        <v>267.673</v>
      </c>
      <c r="D953" s="2">
        <v>269.19499999999999</v>
      </c>
      <c r="E953" s="2">
        <v>1.522</v>
      </c>
      <c r="F953" s="2">
        <v>267.00099999999998</v>
      </c>
      <c r="G953" s="2">
        <v>268.48200000000003</v>
      </c>
      <c r="H953" s="2">
        <v>1.4810000000000001</v>
      </c>
      <c r="I953" s="2">
        <v>264.57600000000002</v>
      </c>
      <c r="J953" s="2">
        <v>265.15499999999997</v>
      </c>
      <c r="K953" s="15">
        <v>3.327</v>
      </c>
      <c r="L953" s="2">
        <v>10.914999999999999</v>
      </c>
      <c r="N953" s="7">
        <f t="shared" si="134"/>
        <v>140</v>
      </c>
      <c r="O953" s="1">
        <v>0</v>
      </c>
      <c r="P953" s="1" t="str">
        <f t="shared" si="131"/>
        <v>140,0</v>
      </c>
      <c r="Q953" s="6" t="s">
        <v>10</v>
      </c>
      <c r="R953" s="1">
        <v>90</v>
      </c>
      <c r="S953" s="1">
        <v>2.5</v>
      </c>
      <c r="T953" s="1" t="str">
        <f t="shared" si="133"/>
        <v>-text 140,0 2.5 90 1160586.9</v>
      </c>
    </row>
    <row r="954" spans="1:20" x14ac:dyDescent="0.35">
      <c r="A954" s="1">
        <v>271160</v>
      </c>
      <c r="B954" s="7">
        <v>1160606.8999999999</v>
      </c>
      <c r="C954" s="2">
        <v>267.69099999999997</v>
      </c>
      <c r="D954" s="2">
        <v>269.22699999999998</v>
      </c>
      <c r="E954" s="2">
        <v>1.536</v>
      </c>
      <c r="F954" s="2">
        <v>267.01900000000001</v>
      </c>
      <c r="G954" s="2">
        <v>268.51400000000001</v>
      </c>
      <c r="H954" s="2">
        <v>1.4950000000000001</v>
      </c>
      <c r="I954" s="2">
        <v>264.51900000000001</v>
      </c>
      <c r="J954" s="2">
        <v>264.86500000000001</v>
      </c>
      <c r="K954" s="15">
        <v>3.649</v>
      </c>
      <c r="L954" s="2">
        <v>10.92</v>
      </c>
      <c r="N954" s="7">
        <f t="shared" si="134"/>
        <v>160</v>
      </c>
      <c r="O954" s="1">
        <v>0</v>
      </c>
      <c r="P954" s="1" t="str">
        <f t="shared" si="131"/>
        <v>160,0</v>
      </c>
      <c r="Q954" s="6" t="s">
        <v>10</v>
      </c>
      <c r="R954" s="1">
        <v>90</v>
      </c>
      <c r="S954" s="1">
        <v>2.5</v>
      </c>
      <c r="T954" s="1" t="str">
        <f t="shared" si="133"/>
        <v>-text 160,0 2.5 90 1160606.9</v>
      </c>
    </row>
    <row r="955" spans="1:20" x14ac:dyDescent="0.35">
      <c r="A955" s="1">
        <v>271180</v>
      </c>
      <c r="B955" s="7">
        <v>1160626.8999999999</v>
      </c>
      <c r="C955" s="2">
        <v>267.74</v>
      </c>
      <c r="D955" s="2">
        <v>269.25900000000001</v>
      </c>
      <c r="E955" s="2">
        <v>1.5189999999999999</v>
      </c>
      <c r="F955" s="2">
        <v>267.06799999999998</v>
      </c>
      <c r="G955" s="2">
        <v>268.54599999999999</v>
      </c>
      <c r="H955" s="2">
        <v>1.478</v>
      </c>
      <c r="I955" s="2">
        <v>264.72000000000003</v>
      </c>
      <c r="J955" s="2">
        <v>264.71699999999998</v>
      </c>
      <c r="K955" s="15">
        <v>3.8290000000000002</v>
      </c>
      <c r="L955" s="2">
        <v>10.898999999999999</v>
      </c>
      <c r="N955" s="7">
        <f t="shared" si="134"/>
        <v>180</v>
      </c>
      <c r="O955" s="1">
        <v>0</v>
      </c>
      <c r="P955" s="1" t="str">
        <f t="shared" si="131"/>
        <v>180,0</v>
      </c>
      <c r="Q955" s="6" t="s">
        <v>10</v>
      </c>
      <c r="R955" s="1">
        <v>90</v>
      </c>
      <c r="S955" s="1">
        <v>2.5</v>
      </c>
      <c r="T955" s="1" t="str">
        <f t="shared" si="133"/>
        <v>-text 180,0 2.5 90 1160626.9</v>
      </c>
    </row>
    <row r="956" spans="1:20" x14ac:dyDescent="0.35">
      <c r="A956" s="1">
        <v>271200</v>
      </c>
      <c r="B956" s="7">
        <v>1160646.8999999999</v>
      </c>
      <c r="C956" s="2">
        <v>267.762</v>
      </c>
      <c r="D956" s="2">
        <v>269.29199999999997</v>
      </c>
      <c r="E956" s="2">
        <v>1.53</v>
      </c>
      <c r="F956" s="2">
        <v>267.08999999999997</v>
      </c>
      <c r="G956" s="2">
        <v>268.57900000000001</v>
      </c>
      <c r="H956" s="2">
        <v>1.4890000000000001</v>
      </c>
      <c r="I956" s="2">
        <v>264.51299999999998</v>
      </c>
      <c r="J956" s="2">
        <v>264.73</v>
      </c>
      <c r="K956" s="15">
        <v>3.8490000000000002</v>
      </c>
      <c r="L956" s="2">
        <v>10.933</v>
      </c>
      <c r="N956" s="7">
        <f t="shared" si="134"/>
        <v>200</v>
      </c>
      <c r="O956" s="1">
        <v>0</v>
      </c>
      <c r="P956" s="1" t="str">
        <f t="shared" si="131"/>
        <v>200,0</v>
      </c>
      <c r="Q956" s="6" t="s">
        <v>10</v>
      </c>
      <c r="R956" s="1">
        <v>90</v>
      </c>
      <c r="S956" s="1">
        <v>2.5</v>
      </c>
      <c r="T956" s="1" t="str">
        <f t="shared" si="133"/>
        <v>-text 200,0 2.5 90 1160646.9</v>
      </c>
    </row>
    <row r="957" spans="1:20" x14ac:dyDescent="0.35">
      <c r="A957" s="1">
        <v>271220</v>
      </c>
      <c r="B957" s="7">
        <v>1160666.8999999999</v>
      </c>
      <c r="C957" s="2">
        <v>267.76600000000002</v>
      </c>
      <c r="D957" s="2">
        <v>269.29300000000001</v>
      </c>
      <c r="E957" s="2">
        <v>1.5269999999999999</v>
      </c>
      <c r="F957" s="2">
        <v>267.09399999999999</v>
      </c>
      <c r="G957" s="2">
        <v>268.58</v>
      </c>
      <c r="H957" s="2">
        <v>1.486</v>
      </c>
      <c r="I957" s="2">
        <v>264.76600000000002</v>
      </c>
      <c r="J957" s="2">
        <v>265.15699999999998</v>
      </c>
      <c r="K957" s="15">
        <v>3.4239999999999999</v>
      </c>
      <c r="L957" s="2">
        <v>10.96</v>
      </c>
      <c r="N957" s="7">
        <f t="shared" si="134"/>
        <v>220</v>
      </c>
      <c r="O957" s="1">
        <v>0</v>
      </c>
      <c r="P957" s="1" t="str">
        <f t="shared" si="131"/>
        <v>220,0</v>
      </c>
      <c r="Q957" s="6" t="s">
        <v>10</v>
      </c>
      <c r="R957" s="1">
        <v>90</v>
      </c>
      <c r="S957" s="1">
        <v>2.5</v>
      </c>
      <c r="T957" s="1" t="str">
        <f t="shared" si="133"/>
        <v>-text 220,0 2.5 90 1160666.9</v>
      </c>
    </row>
    <row r="958" spans="1:20" x14ac:dyDescent="0.35">
      <c r="A958" s="1">
        <v>271240</v>
      </c>
      <c r="B958" s="7">
        <v>1160686.8</v>
      </c>
      <c r="C958" s="2">
        <v>267.76799999999997</v>
      </c>
      <c r="D958" s="2">
        <v>269.27300000000002</v>
      </c>
      <c r="E958" s="2">
        <v>1.5049999999999999</v>
      </c>
      <c r="F958" s="2">
        <v>267.096</v>
      </c>
      <c r="G958" s="2">
        <v>268.56</v>
      </c>
      <c r="H958" s="2">
        <v>1.464</v>
      </c>
      <c r="I958" s="2">
        <v>264.815</v>
      </c>
      <c r="J958" s="2">
        <v>265.322</v>
      </c>
      <c r="K958" s="15">
        <v>3.238</v>
      </c>
      <c r="L958" s="2">
        <v>10.916</v>
      </c>
      <c r="N958" s="7">
        <f t="shared" si="134"/>
        <v>239.9000000001397</v>
      </c>
      <c r="O958" s="1">
        <v>0</v>
      </c>
      <c r="P958" s="1" t="str">
        <f t="shared" si="131"/>
        <v>239.90000000014,0</v>
      </c>
      <c r="Q958" s="6" t="s">
        <v>10</v>
      </c>
      <c r="R958" s="1">
        <v>90</v>
      </c>
      <c r="S958" s="1">
        <v>2.5</v>
      </c>
      <c r="T958" s="1" t="str">
        <f t="shared" si="133"/>
        <v>-text 239.90000000014,0 2.5 90 1160686.8</v>
      </c>
    </row>
    <row r="959" spans="1:20" x14ac:dyDescent="0.35">
      <c r="A959" s="1">
        <v>271260</v>
      </c>
      <c r="B959" s="7">
        <v>1160706.8999999999</v>
      </c>
      <c r="C959" s="2">
        <v>267.75400000000002</v>
      </c>
      <c r="D959" s="2">
        <v>269.25299999999999</v>
      </c>
      <c r="E959" s="2">
        <v>1.4990000000000001</v>
      </c>
      <c r="F959" s="2">
        <v>267.08199999999999</v>
      </c>
      <c r="G959" s="2">
        <v>268.54000000000002</v>
      </c>
      <c r="H959" s="2">
        <v>1.458</v>
      </c>
      <c r="I959" s="2">
        <v>264.81400000000002</v>
      </c>
      <c r="J959" s="2">
        <v>265.17599999999999</v>
      </c>
      <c r="K959" s="15">
        <v>3.3639999999999999</v>
      </c>
      <c r="L959" s="2">
        <v>10.858000000000001</v>
      </c>
      <c r="N959" s="7">
        <f t="shared" si="134"/>
        <v>260</v>
      </c>
      <c r="O959" s="1">
        <v>0</v>
      </c>
      <c r="P959" s="1" t="str">
        <f t="shared" si="131"/>
        <v>260,0</v>
      </c>
      <c r="Q959" s="6" t="s">
        <v>10</v>
      </c>
      <c r="R959" s="1">
        <v>90</v>
      </c>
      <c r="S959" s="1">
        <v>2.5</v>
      </c>
      <c r="T959" s="1" t="str">
        <f t="shared" si="133"/>
        <v>-text 260,0 2.5 90 1160706.9</v>
      </c>
    </row>
    <row r="960" spans="1:20" x14ac:dyDescent="0.35">
      <c r="A960" s="1">
        <v>271280</v>
      </c>
      <c r="B960" s="7">
        <v>1160726.8999999999</v>
      </c>
      <c r="C960" s="2">
        <v>267.70400000000001</v>
      </c>
      <c r="D960" s="2">
        <v>269.233</v>
      </c>
      <c r="E960" s="2">
        <v>1.5289999999999999</v>
      </c>
      <c r="F960" s="2">
        <v>267.03199999999998</v>
      </c>
      <c r="G960" s="2">
        <v>268.52</v>
      </c>
      <c r="H960" s="2">
        <v>1.488</v>
      </c>
      <c r="I960" s="2">
        <v>264.85599999999999</v>
      </c>
      <c r="J960" s="2">
        <v>265.07600000000002</v>
      </c>
      <c r="K960" s="15">
        <v>3.444</v>
      </c>
      <c r="L960" s="2">
        <v>10.914999999999999</v>
      </c>
      <c r="N960" s="7">
        <f t="shared" si="134"/>
        <v>280</v>
      </c>
      <c r="O960" s="1">
        <v>0</v>
      </c>
      <c r="P960" s="1" t="str">
        <f t="shared" si="131"/>
        <v>280,0</v>
      </c>
      <c r="Q960" s="6" t="s">
        <v>10</v>
      </c>
      <c r="R960" s="1">
        <v>90</v>
      </c>
      <c r="S960" s="1">
        <v>2.5</v>
      </c>
      <c r="T960" s="1" t="str">
        <f t="shared" si="133"/>
        <v>-text 280,0 2.5 90 1160726.9</v>
      </c>
    </row>
    <row r="961" spans="1:21" x14ac:dyDescent="0.35">
      <c r="A961" s="1">
        <v>271300</v>
      </c>
      <c r="B961" s="7">
        <v>1160746.8999999999</v>
      </c>
      <c r="C961" s="2">
        <v>267.70400000000001</v>
      </c>
      <c r="D961" s="2">
        <v>269.21300000000002</v>
      </c>
      <c r="E961" s="2">
        <v>1.5089999999999999</v>
      </c>
      <c r="F961" s="2">
        <v>267.03199999999998</v>
      </c>
      <c r="G961" s="2">
        <v>268.5</v>
      </c>
      <c r="H961" s="2">
        <v>1.468</v>
      </c>
      <c r="I961" s="2">
        <v>265.04300000000001</v>
      </c>
      <c r="J961" s="2">
        <v>265.44200000000001</v>
      </c>
      <c r="K961" s="15">
        <v>3.0569999999999999</v>
      </c>
      <c r="L961" s="2">
        <v>10.948</v>
      </c>
      <c r="N961" s="7">
        <f t="shared" si="134"/>
        <v>300</v>
      </c>
      <c r="O961" s="1">
        <v>0</v>
      </c>
      <c r="P961" s="1" t="str">
        <f t="shared" si="131"/>
        <v>300,0</v>
      </c>
      <c r="Q961" s="6" t="s">
        <v>10</v>
      </c>
      <c r="R961" s="1">
        <v>90</v>
      </c>
      <c r="S961" s="1">
        <v>2.5</v>
      </c>
      <c r="T961" s="1" t="str">
        <f t="shared" si="133"/>
        <v>-text 300,0 2.5 90 1160746.9</v>
      </c>
    </row>
    <row r="962" spans="1:21" x14ac:dyDescent="0.35">
      <c r="A962" s="1">
        <v>271320</v>
      </c>
      <c r="B962" s="7">
        <v>1160766.8999999999</v>
      </c>
      <c r="C962" s="2">
        <v>267.70400000000001</v>
      </c>
      <c r="D962" s="2">
        <v>269.19200000000001</v>
      </c>
      <c r="E962" s="2">
        <v>1.488</v>
      </c>
      <c r="F962" s="2">
        <v>267.03199999999998</v>
      </c>
      <c r="G962" s="2">
        <v>268.47899999999998</v>
      </c>
      <c r="H962" s="2">
        <v>1.4470000000000001</v>
      </c>
      <c r="I962" s="2">
        <v>265.42399999999998</v>
      </c>
      <c r="J962" s="2">
        <v>265.75799999999998</v>
      </c>
      <c r="K962" s="15">
        <v>2.7210000000000001</v>
      </c>
      <c r="L962" s="2">
        <v>11.065</v>
      </c>
      <c r="N962" s="7">
        <f t="shared" si="134"/>
        <v>320</v>
      </c>
      <c r="O962" s="1">
        <v>0</v>
      </c>
      <c r="P962" s="1" t="str">
        <f t="shared" si="131"/>
        <v>320,0</v>
      </c>
      <c r="Q962" s="6" t="s">
        <v>10</v>
      </c>
      <c r="R962" s="1">
        <v>90</v>
      </c>
      <c r="S962" s="1">
        <v>2.5</v>
      </c>
      <c r="T962" s="1" t="str">
        <f t="shared" si="133"/>
        <v>-text 320,0 2.5 90 1160766.9</v>
      </c>
    </row>
    <row r="963" spans="1:21" x14ac:dyDescent="0.35">
      <c r="A963" s="1">
        <v>271340</v>
      </c>
      <c r="B963" s="7">
        <v>1160786.8999999999</v>
      </c>
      <c r="C963" s="2">
        <v>267.70400000000001</v>
      </c>
      <c r="D963" s="2">
        <v>269.17200000000003</v>
      </c>
      <c r="E963" s="2">
        <v>1.468</v>
      </c>
      <c r="F963" s="2">
        <v>267.03199999999998</v>
      </c>
      <c r="G963" s="2">
        <v>268.459</v>
      </c>
      <c r="H963" s="2">
        <v>1.427</v>
      </c>
      <c r="I963" s="2">
        <v>265.834</v>
      </c>
      <c r="J963" s="2">
        <v>266.00599999999997</v>
      </c>
      <c r="K963" s="15">
        <v>2.4529999999999998</v>
      </c>
      <c r="L963" s="2">
        <v>11.298</v>
      </c>
      <c r="N963" s="7">
        <f t="shared" si="134"/>
        <v>340</v>
      </c>
      <c r="O963" s="1">
        <v>0</v>
      </c>
      <c r="P963" s="1" t="str">
        <f t="shared" si="131"/>
        <v>340,0</v>
      </c>
      <c r="Q963" s="6" t="s">
        <v>10</v>
      </c>
      <c r="R963" s="1">
        <v>90</v>
      </c>
      <c r="S963" s="1">
        <v>2.5</v>
      </c>
      <c r="T963" s="1" t="str">
        <f t="shared" si="133"/>
        <v>-text 340,0 2.5 90 1160786.9</v>
      </c>
    </row>
    <row r="964" spans="1:21" x14ac:dyDescent="0.35">
      <c r="A964" s="1">
        <v>271360</v>
      </c>
      <c r="B964" s="7">
        <v>1160806.8999999999</v>
      </c>
      <c r="C964" s="2">
        <v>267.70400000000001</v>
      </c>
      <c r="D964" s="2">
        <v>269.15199999999999</v>
      </c>
      <c r="E964" s="2">
        <v>1.448</v>
      </c>
      <c r="F964" s="2">
        <v>267.03199999999998</v>
      </c>
      <c r="G964" s="2">
        <v>268.43900000000002</v>
      </c>
      <c r="H964" s="2">
        <v>1.407</v>
      </c>
      <c r="I964" s="2">
        <v>265.38200000000001</v>
      </c>
      <c r="J964" s="2">
        <v>265.65300000000002</v>
      </c>
      <c r="K964" s="15">
        <v>2.786</v>
      </c>
      <c r="L964" s="2">
        <v>11.645</v>
      </c>
      <c r="N964" s="7">
        <f t="shared" si="134"/>
        <v>360</v>
      </c>
      <c r="O964" s="1">
        <v>0</v>
      </c>
      <c r="P964" s="1" t="str">
        <f t="shared" si="131"/>
        <v>360,0</v>
      </c>
      <c r="Q964" s="6" t="s">
        <v>10</v>
      </c>
      <c r="R964" s="1">
        <v>90</v>
      </c>
      <c r="S964" s="1">
        <v>2.5</v>
      </c>
      <c r="T964" s="1" t="str">
        <f t="shared" si="133"/>
        <v>-text 360,0 2.5 90 1160806.9</v>
      </c>
    </row>
    <row r="965" spans="1:21" x14ac:dyDescent="0.35">
      <c r="A965" s="1">
        <v>271380</v>
      </c>
      <c r="B965" s="7">
        <v>1160826.8999999999</v>
      </c>
      <c r="C965" s="2">
        <v>267.72000000000003</v>
      </c>
      <c r="D965" s="2">
        <v>269.13200000000001</v>
      </c>
      <c r="E965" s="2">
        <v>1.4119999999999999</v>
      </c>
      <c r="F965" s="2">
        <v>267.048</v>
      </c>
      <c r="G965" s="2">
        <v>268.41899999999998</v>
      </c>
      <c r="H965" s="2">
        <v>1.371</v>
      </c>
      <c r="I965" s="2">
        <v>264.92</v>
      </c>
      <c r="J965" s="2">
        <v>265.25</v>
      </c>
      <c r="K965" s="15">
        <v>3.169</v>
      </c>
      <c r="L965" s="2">
        <v>12.079000000000001</v>
      </c>
      <c r="N965" s="7">
        <f t="shared" si="134"/>
        <v>380</v>
      </c>
      <c r="O965" s="1">
        <v>0</v>
      </c>
      <c r="P965" s="1" t="str">
        <f t="shared" si="131"/>
        <v>380,0</v>
      </c>
      <c r="Q965" s="6" t="s">
        <v>10</v>
      </c>
      <c r="R965" s="1">
        <v>90</v>
      </c>
      <c r="S965" s="1">
        <v>2.5</v>
      </c>
      <c r="T965" s="1" t="str">
        <f t="shared" si="133"/>
        <v>-text 380,0 2.5 90 1160826.9</v>
      </c>
    </row>
    <row r="966" spans="1:21" x14ac:dyDescent="0.35">
      <c r="A966" s="1">
        <v>271400</v>
      </c>
      <c r="B966" s="7">
        <v>1160846.8999999999</v>
      </c>
      <c r="C966" s="2">
        <v>267.74599999999998</v>
      </c>
      <c r="D966" s="2">
        <v>269.11200000000002</v>
      </c>
      <c r="E966" s="2">
        <v>1.3660000000000001</v>
      </c>
      <c r="F966" s="2">
        <v>267.07400000000001</v>
      </c>
      <c r="G966" s="2">
        <v>268.399</v>
      </c>
      <c r="H966" s="2">
        <v>1.325</v>
      </c>
      <c r="I966" s="2">
        <v>265.286</v>
      </c>
      <c r="J966" s="2">
        <v>265.786</v>
      </c>
      <c r="K966" s="15">
        <v>2.613</v>
      </c>
      <c r="L966" s="2">
        <v>12.545</v>
      </c>
      <c r="N966" s="7">
        <f t="shared" si="134"/>
        <v>400</v>
      </c>
      <c r="O966" s="1">
        <v>0</v>
      </c>
      <c r="P966" s="1" t="str">
        <f t="shared" si="131"/>
        <v>400,0</v>
      </c>
      <c r="Q966" s="6" t="s">
        <v>10</v>
      </c>
      <c r="R966" s="1">
        <v>90</v>
      </c>
      <c r="S966" s="1">
        <v>2.5</v>
      </c>
      <c r="T966" s="1" t="str">
        <f t="shared" si="133"/>
        <v>-text 400,0 2.5 90 1160846.9</v>
      </c>
    </row>
    <row r="967" spans="1:21" x14ac:dyDescent="0.35">
      <c r="A967" s="1">
        <v>271420</v>
      </c>
      <c r="B967" s="7">
        <v>1160866.8999999999</v>
      </c>
      <c r="C967" s="2">
        <v>267.762</v>
      </c>
      <c r="D967" s="2">
        <v>269.09100000000001</v>
      </c>
      <c r="E967" s="2">
        <v>1.33</v>
      </c>
      <c r="F967" s="2">
        <v>267.08999999999997</v>
      </c>
      <c r="G967" s="2">
        <v>268.37799999999999</v>
      </c>
      <c r="H967" s="2">
        <v>1.2889999999999999</v>
      </c>
      <c r="I967" s="2">
        <v>264.90499999999997</v>
      </c>
      <c r="J967" s="2">
        <v>264.96300000000002</v>
      </c>
      <c r="K967" s="15">
        <v>3.4159999999999999</v>
      </c>
      <c r="L967" s="2">
        <v>13.02</v>
      </c>
      <c r="N967" s="7">
        <f t="shared" si="134"/>
        <v>420</v>
      </c>
      <c r="O967" s="1">
        <v>0</v>
      </c>
      <c r="P967" s="1" t="str">
        <f t="shared" si="131"/>
        <v>420,0</v>
      </c>
      <c r="Q967" s="6" t="s">
        <v>10</v>
      </c>
      <c r="R967" s="1">
        <v>90</v>
      </c>
      <c r="S967" s="1">
        <v>2.5</v>
      </c>
      <c r="T967" s="1" t="str">
        <f t="shared" si="133"/>
        <v>-text 420,0 2.5 90 1160866.9</v>
      </c>
    </row>
    <row r="968" spans="1:21" x14ac:dyDescent="0.35">
      <c r="A968" s="1">
        <v>271440</v>
      </c>
      <c r="B968" s="7">
        <v>1160886.8999999999</v>
      </c>
      <c r="C968" s="2">
        <v>267.77499999999998</v>
      </c>
      <c r="D968" s="2">
        <v>269.07100000000003</v>
      </c>
      <c r="E968" s="2">
        <v>1.296</v>
      </c>
      <c r="F968" s="2">
        <v>267.10300000000001</v>
      </c>
      <c r="G968" s="2">
        <v>268.358</v>
      </c>
      <c r="H968" s="2">
        <v>1.2549999999999999</v>
      </c>
      <c r="I968" s="2">
        <v>265.03199999999998</v>
      </c>
      <c r="J968" s="2">
        <v>265.24799999999999</v>
      </c>
      <c r="K968" s="15">
        <v>3.11</v>
      </c>
      <c r="L968" s="2">
        <v>13.496</v>
      </c>
      <c r="N968" s="7">
        <f t="shared" si="134"/>
        <v>440</v>
      </c>
      <c r="O968" s="1">
        <v>0</v>
      </c>
      <c r="P968" s="1" t="str">
        <f t="shared" si="131"/>
        <v>440,0</v>
      </c>
      <c r="Q968" s="6" t="s">
        <v>10</v>
      </c>
      <c r="R968" s="1">
        <v>90</v>
      </c>
      <c r="S968" s="1">
        <v>2.5</v>
      </c>
      <c r="T968" s="1" t="str">
        <f t="shared" si="133"/>
        <v>-text 440,0 2.5 90 1160886.9</v>
      </c>
    </row>
    <row r="969" spans="1:21" x14ac:dyDescent="0.35">
      <c r="A969" s="1">
        <v>271460</v>
      </c>
      <c r="B969" s="7">
        <v>1160906.8999999999</v>
      </c>
      <c r="C969" s="2">
        <v>267.79000000000002</v>
      </c>
      <c r="D969" s="2">
        <v>269.05099999999999</v>
      </c>
      <c r="E969" s="2">
        <v>1.2609999999999999</v>
      </c>
      <c r="F969" s="2">
        <v>267.11799999999999</v>
      </c>
      <c r="G969" s="2">
        <v>268.33800000000002</v>
      </c>
      <c r="H969" s="2">
        <v>1.22</v>
      </c>
      <c r="I969" s="2">
        <v>265.31200000000001</v>
      </c>
      <c r="J969" s="2">
        <v>265.786</v>
      </c>
      <c r="K969" s="15">
        <v>2.552</v>
      </c>
      <c r="L969" s="2">
        <v>13.959</v>
      </c>
      <c r="N969" s="7">
        <f t="shared" si="134"/>
        <v>460</v>
      </c>
      <c r="O969" s="1">
        <v>0</v>
      </c>
      <c r="P969" s="1" t="str">
        <f t="shared" si="131"/>
        <v>460,0</v>
      </c>
      <c r="Q969" s="6" t="s">
        <v>10</v>
      </c>
      <c r="R969" s="1">
        <v>90</v>
      </c>
      <c r="S969" s="1">
        <v>2.5</v>
      </c>
      <c r="T969" s="1" t="str">
        <f t="shared" si="133"/>
        <v>-text 460,0 2.5 90 1160906.9</v>
      </c>
    </row>
    <row r="970" spans="1:21" x14ac:dyDescent="0.35">
      <c r="A970" s="1">
        <v>271480</v>
      </c>
      <c r="B970" s="7">
        <v>1160926.8999999999</v>
      </c>
      <c r="C970" s="2">
        <v>267.80799999999999</v>
      </c>
      <c r="D970" s="2">
        <v>269.03100000000001</v>
      </c>
      <c r="E970" s="2">
        <v>1.2230000000000001</v>
      </c>
      <c r="F970" s="2">
        <v>267.13600000000002</v>
      </c>
      <c r="G970" s="2">
        <v>268.31799999999998</v>
      </c>
      <c r="H970" s="2">
        <v>1.1819999999999999</v>
      </c>
      <c r="I970" s="2">
        <v>265.16899999999998</v>
      </c>
      <c r="J970" s="2">
        <v>265.49099999999999</v>
      </c>
      <c r="K970" s="15">
        <v>2.8260000000000001</v>
      </c>
      <c r="L970" s="2">
        <v>14.362</v>
      </c>
      <c r="N970" s="7">
        <f t="shared" si="134"/>
        <v>480</v>
      </c>
      <c r="O970" s="1">
        <v>0</v>
      </c>
      <c r="P970" s="1" t="str">
        <f t="shared" si="131"/>
        <v>480,0</v>
      </c>
      <c r="Q970" s="6" t="s">
        <v>10</v>
      </c>
      <c r="R970" s="1">
        <v>90</v>
      </c>
      <c r="S970" s="1">
        <v>2.5</v>
      </c>
      <c r="T970" s="1" t="str">
        <f t="shared" si="133"/>
        <v>-text 480,0 2.5 90 1160926.9</v>
      </c>
    </row>
    <row r="971" spans="1:21" x14ac:dyDescent="0.35">
      <c r="A971" s="1">
        <v>271500</v>
      </c>
      <c r="B971" s="7">
        <v>1160946.8999999999</v>
      </c>
      <c r="C971" s="2">
        <v>267.82400000000001</v>
      </c>
      <c r="D971" s="2">
        <v>269.01100000000002</v>
      </c>
      <c r="E971" s="2">
        <v>1.1870000000000001</v>
      </c>
      <c r="F971" s="2">
        <v>267.15199999999999</v>
      </c>
      <c r="G971" s="2">
        <v>268.298</v>
      </c>
      <c r="H971" s="2">
        <v>1.1459999999999999</v>
      </c>
      <c r="I971" s="2">
        <v>265.04199999999997</v>
      </c>
      <c r="J971" s="2">
        <v>265.12</v>
      </c>
      <c r="K971" s="15">
        <v>3.177</v>
      </c>
      <c r="L971" s="2">
        <v>14.664999999999999</v>
      </c>
      <c r="N971" s="7">
        <f>N968+(B971-B968)</f>
        <v>500</v>
      </c>
      <c r="O971" s="1">
        <v>0</v>
      </c>
      <c r="P971" s="1" t="str">
        <f t="shared" ref="P971" si="135">CONCATENATE(N971,",",O971)</f>
        <v>500,0</v>
      </c>
      <c r="Q971" s="6" t="s">
        <v>10</v>
      </c>
      <c r="R971" s="1">
        <v>90</v>
      </c>
      <c r="S971" s="1">
        <v>2.5</v>
      </c>
      <c r="T971" s="1" t="str">
        <f t="shared" si="133"/>
        <v>-text 500,0 2.5 90 1160946.9</v>
      </c>
    </row>
    <row r="972" spans="1:21" s="10" customFormat="1" x14ac:dyDescent="0.35">
      <c r="B972" s="11"/>
      <c r="C972" s="9"/>
      <c r="D972" s="9"/>
      <c r="E972" s="9"/>
      <c r="F972" s="9"/>
      <c r="G972" s="9"/>
      <c r="H972" s="9"/>
      <c r="I972" s="9"/>
      <c r="J972" s="9"/>
      <c r="K972" s="16"/>
      <c r="L972" s="9"/>
      <c r="M972" s="9"/>
      <c r="N972" s="11"/>
      <c r="Q972" s="12"/>
    </row>
    <row r="973" spans="1:21" x14ac:dyDescent="0.35">
      <c r="A973" s="1">
        <v>271500</v>
      </c>
      <c r="B973" s="7">
        <v>1160946.8999999999</v>
      </c>
      <c r="C973" s="2">
        <v>267.82400000000001</v>
      </c>
      <c r="D973" s="2">
        <v>269.01100000000002</v>
      </c>
      <c r="E973" s="2">
        <v>1.1870000000000001</v>
      </c>
      <c r="F973" s="2">
        <v>267.15199999999999</v>
      </c>
      <c r="G973" s="2">
        <v>268.298</v>
      </c>
      <c r="H973" s="2">
        <v>1.1459999999999999</v>
      </c>
      <c r="I973" s="9">
        <v>265.04199999999997</v>
      </c>
      <c r="J973" s="2">
        <v>265.12</v>
      </c>
      <c r="K973" s="15">
        <v>3.177</v>
      </c>
      <c r="L973" s="2">
        <v>14.664999999999999</v>
      </c>
      <c r="N973" s="7">
        <v>0</v>
      </c>
      <c r="O973" s="1">
        <v>0</v>
      </c>
      <c r="P973" s="1" t="str">
        <f t="shared" si="131"/>
        <v>0,0</v>
      </c>
      <c r="Q973" s="6" t="s">
        <v>10</v>
      </c>
      <c r="R973" s="1">
        <v>90</v>
      </c>
      <c r="S973" s="1">
        <v>2.5</v>
      </c>
      <c r="T973" s="1" t="str">
        <f t="shared" ref="T973:T998" si="136">$Q973&amp;" "&amp;$P973&amp;" "&amp;$S973&amp;" "&amp;$R973&amp;" "&amp;$B973</f>
        <v>-text 0,0 2.5 90 1160946.9</v>
      </c>
      <c r="U973" s="2"/>
    </row>
    <row r="974" spans="1:21" x14ac:dyDescent="0.35">
      <c r="A974" s="1">
        <v>271520</v>
      </c>
      <c r="B974" s="7">
        <v>1160966.8999999999</v>
      </c>
      <c r="C974" s="2">
        <v>267.81299999999999</v>
      </c>
      <c r="D974" s="2">
        <v>268.99</v>
      </c>
      <c r="E974" s="2">
        <v>1.177</v>
      </c>
      <c r="F974" s="2">
        <v>267.14100000000002</v>
      </c>
      <c r="G974" s="2">
        <v>268.27699999999999</v>
      </c>
      <c r="H974" s="2">
        <v>1.1359999999999999</v>
      </c>
      <c r="I974" s="9">
        <v>265.31400000000002</v>
      </c>
      <c r="J974" s="2">
        <v>265.46600000000001</v>
      </c>
      <c r="K974" s="15">
        <v>2.8109999999999999</v>
      </c>
      <c r="L974" s="2">
        <v>14.847</v>
      </c>
      <c r="N974" s="7">
        <f t="shared" ref="N974:N997" si="137">N973+(B974-B973)</f>
        <v>20</v>
      </c>
      <c r="O974" s="1">
        <v>0</v>
      </c>
      <c r="P974" s="1" t="str">
        <f t="shared" si="131"/>
        <v>20,0</v>
      </c>
      <c r="Q974" s="6" t="s">
        <v>10</v>
      </c>
      <c r="R974" s="1">
        <v>90</v>
      </c>
      <c r="S974" s="1">
        <v>2.5</v>
      </c>
      <c r="T974" s="1" t="str">
        <f t="shared" si="136"/>
        <v>-text 20,0 2.5 90 1160966.9</v>
      </c>
      <c r="U974" s="2"/>
    </row>
    <row r="975" spans="1:21" x14ac:dyDescent="0.35">
      <c r="A975" s="1">
        <v>271540</v>
      </c>
      <c r="B975" s="7">
        <v>1160986.8999999999</v>
      </c>
      <c r="C975" s="2">
        <v>267.80099999999999</v>
      </c>
      <c r="D975" s="2">
        <v>268.97000000000003</v>
      </c>
      <c r="E975" s="2">
        <v>1.169</v>
      </c>
      <c r="F975" s="2">
        <v>267.12900000000002</v>
      </c>
      <c r="G975" s="2">
        <v>268.25700000000001</v>
      </c>
      <c r="H975" s="2">
        <v>1.1279999999999999</v>
      </c>
      <c r="I975" s="9">
        <v>265.21699999999998</v>
      </c>
      <c r="J975" s="2">
        <v>265.62900000000002</v>
      </c>
      <c r="K975" s="15">
        <v>2.6280000000000001</v>
      </c>
      <c r="L975" s="2">
        <v>14.919</v>
      </c>
      <c r="N975" s="7">
        <f t="shared" si="137"/>
        <v>40</v>
      </c>
      <c r="O975" s="1">
        <v>0</v>
      </c>
      <c r="P975" s="1" t="str">
        <f t="shared" si="131"/>
        <v>40,0</v>
      </c>
      <c r="Q975" s="6" t="s">
        <v>10</v>
      </c>
      <c r="R975" s="1">
        <v>90</v>
      </c>
      <c r="S975" s="1">
        <v>2.5</v>
      </c>
      <c r="T975" s="1" t="str">
        <f t="shared" si="136"/>
        <v>-text 40,0 2.5 90 1160986.9</v>
      </c>
      <c r="U975" s="2"/>
    </row>
    <row r="976" spans="1:21" x14ac:dyDescent="0.35">
      <c r="A976" s="1">
        <v>271560</v>
      </c>
      <c r="B976" s="7">
        <v>1161006.8999999999</v>
      </c>
      <c r="C976" s="2">
        <v>267.81700000000001</v>
      </c>
      <c r="D976" s="2">
        <v>268.95</v>
      </c>
      <c r="E976" s="2">
        <v>1.133</v>
      </c>
      <c r="F976" s="2">
        <v>267.14499999999998</v>
      </c>
      <c r="G976" s="2">
        <v>268.23700000000002</v>
      </c>
      <c r="H976" s="2">
        <v>1.0920000000000001</v>
      </c>
      <c r="I976" s="9">
        <v>265.07900000000001</v>
      </c>
      <c r="J976" s="2">
        <v>265.65100000000001</v>
      </c>
      <c r="K976" s="15">
        <v>2.5859999999999999</v>
      </c>
      <c r="L976" s="2">
        <v>14.923</v>
      </c>
      <c r="N976" s="7">
        <f t="shared" si="137"/>
        <v>60</v>
      </c>
      <c r="O976" s="1">
        <v>0</v>
      </c>
      <c r="P976" s="1" t="str">
        <f t="shared" si="131"/>
        <v>60,0</v>
      </c>
      <c r="Q976" s="6" t="s">
        <v>10</v>
      </c>
      <c r="R976" s="1">
        <v>90</v>
      </c>
      <c r="S976" s="1">
        <v>2.5</v>
      </c>
      <c r="T976" s="1" t="str">
        <f t="shared" si="136"/>
        <v>-text 60,0 2.5 90 1161006.9</v>
      </c>
      <c r="U976" s="2"/>
    </row>
    <row r="977" spans="1:21" x14ac:dyDescent="0.35">
      <c r="A977" s="1">
        <v>271580</v>
      </c>
      <c r="B977" s="7">
        <v>1161026.8999999999</v>
      </c>
      <c r="C977" s="2">
        <v>267.83699999999999</v>
      </c>
      <c r="D977" s="2">
        <v>268.93</v>
      </c>
      <c r="E977" s="2">
        <v>1.093</v>
      </c>
      <c r="F977" s="2">
        <v>267.16500000000002</v>
      </c>
      <c r="G977" s="2">
        <v>268.21699999999998</v>
      </c>
      <c r="H977" s="2">
        <v>1.052</v>
      </c>
      <c r="I977" s="9">
        <v>264.92500000000001</v>
      </c>
      <c r="J977" s="2">
        <v>265.41399999999999</v>
      </c>
      <c r="K977" s="15">
        <v>2.8029999999999999</v>
      </c>
      <c r="L977" s="2">
        <v>14.911</v>
      </c>
      <c r="N977" s="7">
        <f t="shared" si="137"/>
        <v>80</v>
      </c>
      <c r="O977" s="1">
        <v>0</v>
      </c>
      <c r="P977" s="1" t="str">
        <f t="shared" si="131"/>
        <v>80,0</v>
      </c>
      <c r="Q977" s="6" t="s">
        <v>10</v>
      </c>
      <c r="R977" s="1">
        <v>90</v>
      </c>
      <c r="S977" s="1">
        <v>2.5</v>
      </c>
      <c r="T977" s="1" t="str">
        <f t="shared" si="136"/>
        <v>-text 80,0 2.5 90 1161026.9</v>
      </c>
      <c r="U977" s="2"/>
    </row>
    <row r="978" spans="1:21" x14ac:dyDescent="0.35">
      <c r="A978" s="1">
        <v>271600</v>
      </c>
      <c r="B978" s="7">
        <v>1161046.8999999999</v>
      </c>
      <c r="C978" s="2">
        <v>267.875</v>
      </c>
      <c r="D978" s="2">
        <v>268.91000000000003</v>
      </c>
      <c r="E978" s="2">
        <v>1.0349999999999999</v>
      </c>
      <c r="F978" s="2">
        <v>267.20299999999997</v>
      </c>
      <c r="G978" s="2">
        <v>268.197</v>
      </c>
      <c r="H978" s="2">
        <v>0.99399999999999999</v>
      </c>
      <c r="I978" s="9">
        <v>265.27699999999999</v>
      </c>
      <c r="J978" s="2">
        <v>265.404</v>
      </c>
      <c r="K978" s="15">
        <v>2.7930000000000001</v>
      </c>
      <c r="L978" s="2">
        <v>14.919</v>
      </c>
      <c r="N978" s="7">
        <f t="shared" si="137"/>
        <v>100</v>
      </c>
      <c r="O978" s="1">
        <v>0</v>
      </c>
      <c r="P978" s="1" t="str">
        <f t="shared" si="131"/>
        <v>100,0</v>
      </c>
      <c r="Q978" s="6" t="s">
        <v>10</v>
      </c>
      <c r="R978" s="1">
        <v>90</v>
      </c>
      <c r="S978" s="1">
        <v>2.5</v>
      </c>
      <c r="T978" s="1" t="str">
        <f t="shared" si="136"/>
        <v>-text 100,0 2.5 90 1161046.9</v>
      </c>
      <c r="U978" s="2"/>
    </row>
    <row r="979" spans="1:21" x14ac:dyDescent="0.35">
      <c r="A979" s="1">
        <v>271620</v>
      </c>
      <c r="B979" s="7">
        <v>1161066.8999999999</v>
      </c>
      <c r="C979" s="2">
        <v>267.904</v>
      </c>
      <c r="D979" s="2">
        <v>268.89</v>
      </c>
      <c r="E979" s="2">
        <v>0.98599999999999999</v>
      </c>
      <c r="F979" s="2">
        <v>267.23200000000003</v>
      </c>
      <c r="G979" s="2">
        <v>268.17700000000002</v>
      </c>
      <c r="H979" s="2">
        <v>0.94499999999999995</v>
      </c>
      <c r="I979" s="9">
        <v>265.28399999999999</v>
      </c>
      <c r="J979" s="2">
        <v>265.447</v>
      </c>
      <c r="K979" s="15">
        <v>2.7290000000000001</v>
      </c>
      <c r="L979" s="2">
        <v>14.925000000000001</v>
      </c>
      <c r="N979" s="7">
        <f t="shared" si="137"/>
        <v>120</v>
      </c>
      <c r="O979" s="1">
        <v>0</v>
      </c>
      <c r="P979" s="1" t="str">
        <f t="shared" si="131"/>
        <v>120,0</v>
      </c>
      <c r="Q979" s="6" t="s">
        <v>10</v>
      </c>
      <c r="R979" s="1">
        <v>90</v>
      </c>
      <c r="S979" s="1">
        <v>2.5</v>
      </c>
      <c r="T979" s="1" t="str">
        <f t="shared" si="136"/>
        <v>-text 120,0 2.5 90 1161066.9</v>
      </c>
      <c r="U979" s="2"/>
    </row>
    <row r="980" spans="1:21" x14ac:dyDescent="0.35">
      <c r="A980" s="1">
        <v>271640</v>
      </c>
      <c r="B980" s="7">
        <v>1161086.8999999999</v>
      </c>
      <c r="C980" s="2">
        <v>267.90899999999999</v>
      </c>
      <c r="D980" s="2">
        <v>268.86900000000003</v>
      </c>
      <c r="E980" s="2">
        <v>0.96099999999999997</v>
      </c>
      <c r="F980" s="2">
        <v>267.23700000000002</v>
      </c>
      <c r="G980" s="2">
        <v>268.15600000000001</v>
      </c>
      <c r="H980" s="2">
        <v>0.92</v>
      </c>
      <c r="I980" s="9">
        <v>265.02600000000001</v>
      </c>
      <c r="J980" s="2">
        <v>265.29000000000002</v>
      </c>
      <c r="K980" s="15">
        <v>2.8660000000000001</v>
      </c>
      <c r="L980" s="2">
        <v>14.930999999999999</v>
      </c>
      <c r="N980" s="7">
        <f t="shared" si="137"/>
        <v>140</v>
      </c>
      <c r="O980" s="1">
        <v>0</v>
      </c>
      <c r="P980" s="1" t="str">
        <f t="shared" si="131"/>
        <v>140,0</v>
      </c>
      <c r="Q980" s="6" t="s">
        <v>10</v>
      </c>
      <c r="R980" s="1">
        <v>90</v>
      </c>
      <c r="S980" s="1">
        <v>2.5</v>
      </c>
      <c r="T980" s="1" t="str">
        <f t="shared" si="136"/>
        <v>-text 140,0 2.5 90 1161086.9</v>
      </c>
      <c r="U980" s="2"/>
    </row>
    <row r="981" spans="1:21" x14ac:dyDescent="0.35">
      <c r="A981" s="1">
        <v>271660</v>
      </c>
      <c r="B981" s="7">
        <v>1161107</v>
      </c>
      <c r="C981" s="2">
        <v>267.91199999999998</v>
      </c>
      <c r="D981" s="2">
        <v>268.84899999999999</v>
      </c>
      <c r="E981" s="2">
        <v>0.93700000000000006</v>
      </c>
      <c r="F981" s="2">
        <v>267.24</v>
      </c>
      <c r="G981" s="2">
        <v>268.13600000000002</v>
      </c>
      <c r="H981" s="2">
        <v>0.89600000000000002</v>
      </c>
      <c r="I981" s="9">
        <v>265.19299999999998</v>
      </c>
      <c r="J981" s="2">
        <v>265.39699999999999</v>
      </c>
      <c r="K981" s="15">
        <v>2.7389999999999999</v>
      </c>
      <c r="L981" s="2">
        <v>14.941000000000001</v>
      </c>
      <c r="N981" s="7">
        <f t="shared" si="137"/>
        <v>160.10000000009313</v>
      </c>
      <c r="O981" s="1">
        <v>0</v>
      </c>
      <c r="P981" s="1" t="str">
        <f t="shared" si="131"/>
        <v>160.100000000093,0</v>
      </c>
      <c r="Q981" s="6" t="s">
        <v>10</v>
      </c>
      <c r="R981" s="1">
        <v>90</v>
      </c>
      <c r="S981" s="1">
        <v>2.5</v>
      </c>
      <c r="T981" s="1" t="str">
        <f t="shared" si="136"/>
        <v>-text 160.100000000093,0 2.5 90 1161107</v>
      </c>
      <c r="U981" s="2"/>
    </row>
    <row r="982" spans="1:21" x14ac:dyDescent="0.35">
      <c r="A982" s="1">
        <v>271680</v>
      </c>
      <c r="B982" s="7">
        <v>1161127</v>
      </c>
      <c r="C982" s="2">
        <v>267.911</v>
      </c>
      <c r="D982" s="2">
        <v>268.82900000000001</v>
      </c>
      <c r="E982" s="2">
        <v>0.91700000000000004</v>
      </c>
      <c r="F982" s="2">
        <v>267.23899999999998</v>
      </c>
      <c r="G982" s="2">
        <v>268.11599999999999</v>
      </c>
      <c r="H982" s="2">
        <v>0.876</v>
      </c>
      <c r="I982" s="9">
        <v>265.66199999999998</v>
      </c>
      <c r="J982" s="2">
        <v>266.36099999999999</v>
      </c>
      <c r="K982" s="15">
        <v>1.7549999999999999</v>
      </c>
      <c r="L982" s="2">
        <v>14.987</v>
      </c>
      <c r="N982" s="7">
        <f t="shared" si="137"/>
        <v>180.10000000009313</v>
      </c>
      <c r="O982" s="1">
        <v>0</v>
      </c>
      <c r="P982" s="1" t="str">
        <f t="shared" si="131"/>
        <v>180.100000000093,0</v>
      </c>
      <c r="Q982" s="6" t="s">
        <v>10</v>
      </c>
      <c r="R982" s="1">
        <v>90</v>
      </c>
      <c r="S982" s="1">
        <v>2.5</v>
      </c>
      <c r="T982" s="1" t="str">
        <f t="shared" si="136"/>
        <v>-text 180.100000000093,0 2.5 90 1161127</v>
      </c>
      <c r="U982" s="2"/>
    </row>
    <row r="983" spans="1:21" x14ac:dyDescent="0.35">
      <c r="A983" s="1">
        <v>271700</v>
      </c>
      <c r="B983" s="7">
        <v>1161147</v>
      </c>
      <c r="C983" s="2">
        <v>267.911</v>
      </c>
      <c r="D983" s="2">
        <v>268.80900000000003</v>
      </c>
      <c r="E983" s="2">
        <v>0.89800000000000002</v>
      </c>
      <c r="F983" s="2">
        <v>267.23899999999998</v>
      </c>
      <c r="G983" s="2">
        <v>268.096</v>
      </c>
      <c r="H983" s="2">
        <v>0.85699999999999998</v>
      </c>
      <c r="I983" s="9">
        <v>265.18900000000002</v>
      </c>
      <c r="J983" s="2">
        <v>265.08800000000002</v>
      </c>
      <c r="K983" s="15">
        <v>3.008</v>
      </c>
      <c r="L983" s="2">
        <v>15.032</v>
      </c>
      <c r="N983" s="7">
        <f t="shared" si="137"/>
        <v>200.10000000009313</v>
      </c>
      <c r="O983" s="1">
        <v>0</v>
      </c>
      <c r="P983" s="1" t="str">
        <f t="shared" si="131"/>
        <v>200.100000000093,0</v>
      </c>
      <c r="Q983" s="6" t="s">
        <v>10</v>
      </c>
      <c r="R983" s="1">
        <v>90</v>
      </c>
      <c r="S983" s="1">
        <v>2.5</v>
      </c>
      <c r="T983" s="1" t="str">
        <f t="shared" si="136"/>
        <v>-text 200.100000000093,0 2.5 90 1161147</v>
      </c>
      <c r="U983" s="2"/>
    </row>
    <row r="984" spans="1:21" x14ac:dyDescent="0.35">
      <c r="A984" s="1">
        <v>271720</v>
      </c>
      <c r="B984" s="7">
        <v>1161166.8999999999</v>
      </c>
      <c r="C984" s="2">
        <v>267.86700000000002</v>
      </c>
      <c r="D984" s="2">
        <v>268.78899999999999</v>
      </c>
      <c r="E984" s="2">
        <v>0.92200000000000004</v>
      </c>
      <c r="F984" s="2">
        <v>267.19499999999999</v>
      </c>
      <c r="G984" s="2">
        <v>268.07600000000002</v>
      </c>
      <c r="H984" s="2">
        <v>0.88100000000000001</v>
      </c>
      <c r="I984" s="9">
        <v>265.14299999999997</v>
      </c>
      <c r="J984" s="2">
        <v>265.32799999999997</v>
      </c>
      <c r="K984" s="15">
        <v>2.7469999999999999</v>
      </c>
      <c r="L984" s="2">
        <v>15.038</v>
      </c>
      <c r="N984" s="7">
        <f t="shared" si="137"/>
        <v>220</v>
      </c>
      <c r="O984" s="1">
        <v>0</v>
      </c>
      <c r="P984" s="1" t="str">
        <f t="shared" si="131"/>
        <v>220,0</v>
      </c>
      <c r="Q984" s="6" t="s">
        <v>10</v>
      </c>
      <c r="R984" s="1">
        <v>90</v>
      </c>
      <c r="S984" s="1">
        <v>2.5</v>
      </c>
      <c r="T984" s="1" t="str">
        <f t="shared" si="136"/>
        <v>-text 220,0 2.5 90 1161166.9</v>
      </c>
      <c r="U984" s="2"/>
    </row>
    <row r="985" spans="1:21" x14ac:dyDescent="0.35">
      <c r="A985" s="1">
        <v>271740</v>
      </c>
      <c r="B985" s="7">
        <v>1161186.8999999999</v>
      </c>
      <c r="C985" s="2">
        <v>267.81599999999997</v>
      </c>
      <c r="D985" s="2">
        <v>268.76799999999997</v>
      </c>
      <c r="E985" s="2">
        <v>0.95299999999999996</v>
      </c>
      <c r="F985" s="2">
        <v>267.14400000000001</v>
      </c>
      <c r="G985" s="2">
        <v>268.05500000000001</v>
      </c>
      <c r="H985" s="2">
        <v>0.91200000000000003</v>
      </c>
      <c r="I985" s="9">
        <v>265.27699999999999</v>
      </c>
      <c r="J985" s="2">
        <v>266.30599999999998</v>
      </c>
      <c r="K985" s="15">
        <v>1.75</v>
      </c>
      <c r="L985" s="2">
        <v>15.038</v>
      </c>
      <c r="N985" s="7">
        <f t="shared" si="137"/>
        <v>240</v>
      </c>
      <c r="O985" s="1">
        <v>0</v>
      </c>
      <c r="P985" s="1" t="str">
        <f t="shared" si="131"/>
        <v>240,0</v>
      </c>
      <c r="Q985" s="6" t="s">
        <v>10</v>
      </c>
      <c r="R985" s="1">
        <v>90</v>
      </c>
      <c r="S985" s="1">
        <v>2.5</v>
      </c>
      <c r="T985" s="1" t="str">
        <f t="shared" si="136"/>
        <v>-text 240,0 2.5 90 1161186.9</v>
      </c>
      <c r="U985" s="2"/>
    </row>
    <row r="986" spans="1:21" x14ac:dyDescent="0.35">
      <c r="A986" s="1">
        <v>271760</v>
      </c>
      <c r="B986" s="7">
        <v>1161206.8999999999</v>
      </c>
      <c r="C986" s="2">
        <v>267.86200000000002</v>
      </c>
      <c r="D986" s="2">
        <v>268.74799999999999</v>
      </c>
      <c r="E986" s="2">
        <v>0.88600000000000001</v>
      </c>
      <c r="F986" s="2">
        <v>267.19</v>
      </c>
      <c r="G986" s="2">
        <v>268.03500000000003</v>
      </c>
      <c r="H986" s="2">
        <v>0.84499999999999997</v>
      </c>
      <c r="I986" s="9">
        <v>265.18799999999999</v>
      </c>
      <c r="J986" s="2">
        <v>265.57</v>
      </c>
      <c r="K986" s="15">
        <v>2.4649999999999999</v>
      </c>
      <c r="L986" s="2">
        <v>15.063000000000001</v>
      </c>
      <c r="N986" s="7">
        <f t="shared" si="137"/>
        <v>260</v>
      </c>
      <c r="O986" s="1">
        <v>0</v>
      </c>
      <c r="P986" s="1" t="str">
        <f t="shared" si="131"/>
        <v>260,0</v>
      </c>
      <c r="Q986" s="6" t="s">
        <v>10</v>
      </c>
      <c r="R986" s="1">
        <v>90</v>
      </c>
      <c r="S986" s="1">
        <v>2.5</v>
      </c>
      <c r="T986" s="1" t="str">
        <f t="shared" si="136"/>
        <v>-text 260,0 2.5 90 1161206.9</v>
      </c>
      <c r="U986" s="2"/>
    </row>
    <row r="987" spans="1:21" x14ac:dyDescent="0.35">
      <c r="A987" s="1">
        <v>271780</v>
      </c>
      <c r="B987" s="7">
        <v>1161226.8999999999</v>
      </c>
      <c r="C987" s="2">
        <v>267.91399999999999</v>
      </c>
      <c r="D987" s="2">
        <v>268.72800000000001</v>
      </c>
      <c r="E987" s="2">
        <v>0.81399999999999995</v>
      </c>
      <c r="F987" s="2">
        <v>267.24200000000002</v>
      </c>
      <c r="G987" s="2">
        <v>268.01499999999999</v>
      </c>
      <c r="H987" s="2">
        <v>0.77300000000000002</v>
      </c>
      <c r="I987" s="9">
        <v>265.43</v>
      </c>
      <c r="J987" s="2">
        <v>265.80599999999998</v>
      </c>
      <c r="K987" s="15">
        <v>2.2090000000000001</v>
      </c>
      <c r="L987" s="2">
        <v>15.089</v>
      </c>
      <c r="N987" s="7">
        <f t="shared" si="137"/>
        <v>280</v>
      </c>
      <c r="O987" s="1">
        <v>0</v>
      </c>
      <c r="P987" s="1" t="str">
        <f t="shared" si="131"/>
        <v>280,0</v>
      </c>
      <c r="Q987" s="6" t="s">
        <v>10</v>
      </c>
      <c r="R987" s="1">
        <v>90</v>
      </c>
      <c r="S987" s="1">
        <v>2.5</v>
      </c>
      <c r="T987" s="1" t="str">
        <f t="shared" si="136"/>
        <v>-text 280,0 2.5 90 1161226.9</v>
      </c>
      <c r="U987" s="2"/>
    </row>
    <row r="988" spans="1:21" x14ac:dyDescent="0.35">
      <c r="A988" s="1">
        <v>271800</v>
      </c>
      <c r="B988" s="7">
        <v>1161246.8999999999</v>
      </c>
      <c r="C988" s="2">
        <v>267.91199999999998</v>
      </c>
      <c r="D988" s="2">
        <v>268.70800000000003</v>
      </c>
      <c r="E988" s="2">
        <v>0.79600000000000004</v>
      </c>
      <c r="F988" s="2">
        <v>267.24</v>
      </c>
      <c r="G988" s="2">
        <v>267.995</v>
      </c>
      <c r="H988" s="2">
        <v>0.755</v>
      </c>
      <c r="I988" s="9">
        <v>266.238</v>
      </c>
      <c r="J988" s="2">
        <v>266.49599999999998</v>
      </c>
      <c r="K988" s="15">
        <v>1.4990000000000001</v>
      </c>
      <c r="L988" s="2">
        <v>15.073</v>
      </c>
      <c r="N988" s="7">
        <f t="shared" si="137"/>
        <v>300</v>
      </c>
      <c r="O988" s="1">
        <v>0</v>
      </c>
      <c r="P988" s="1" t="str">
        <f t="shared" si="131"/>
        <v>300,0</v>
      </c>
      <c r="Q988" s="6" t="s">
        <v>10</v>
      </c>
      <c r="R988" s="1">
        <v>90</v>
      </c>
      <c r="S988" s="1">
        <v>2.5</v>
      </c>
      <c r="T988" s="1" t="str">
        <f t="shared" si="136"/>
        <v>-text 300,0 2.5 90 1161246.9</v>
      </c>
      <c r="U988" s="2"/>
    </row>
    <row r="989" spans="1:21" x14ac:dyDescent="0.35">
      <c r="A989" s="1">
        <v>271820</v>
      </c>
      <c r="B989" s="7">
        <v>1161266.8999999999</v>
      </c>
      <c r="C989" s="2">
        <v>267.91300000000001</v>
      </c>
      <c r="D989" s="2">
        <v>268.68799999999999</v>
      </c>
      <c r="E989" s="2">
        <v>0.77500000000000002</v>
      </c>
      <c r="F989" s="2">
        <v>267.24099999999999</v>
      </c>
      <c r="G989" s="2">
        <v>267.97500000000002</v>
      </c>
      <c r="H989" s="2">
        <v>0.73399999999999999</v>
      </c>
      <c r="I989" s="9">
        <v>265.93</v>
      </c>
      <c r="J989" s="2">
        <v>266.53699999999998</v>
      </c>
      <c r="K989" s="15">
        <v>1.4379999999999999</v>
      </c>
      <c r="L989" s="2">
        <v>15.055999999999999</v>
      </c>
      <c r="N989" s="7">
        <f t="shared" si="137"/>
        <v>320</v>
      </c>
      <c r="O989" s="1">
        <v>0</v>
      </c>
      <c r="P989" s="1" t="str">
        <f t="shared" si="131"/>
        <v>320,0</v>
      </c>
      <c r="Q989" s="6" t="s">
        <v>10</v>
      </c>
      <c r="R989" s="1">
        <v>90</v>
      </c>
      <c r="S989" s="1">
        <v>2.5</v>
      </c>
      <c r="T989" s="1" t="str">
        <f t="shared" si="136"/>
        <v>-text 320,0 2.5 90 1161266.9</v>
      </c>
      <c r="U989" s="2"/>
    </row>
    <row r="990" spans="1:21" x14ac:dyDescent="0.35">
      <c r="A990" s="1">
        <v>271840</v>
      </c>
      <c r="B990" s="7">
        <v>1161286.8999999999</v>
      </c>
      <c r="C990" s="2">
        <v>267.95</v>
      </c>
      <c r="D990" s="2">
        <v>268.66800000000001</v>
      </c>
      <c r="E990" s="2">
        <v>0.71799999999999997</v>
      </c>
      <c r="F990" s="2">
        <v>267.27800000000002</v>
      </c>
      <c r="G990" s="2">
        <v>267.95499999999998</v>
      </c>
      <c r="H990" s="2">
        <v>0.67700000000000005</v>
      </c>
      <c r="I990" s="9">
        <v>264.95600000000002</v>
      </c>
      <c r="J990" s="2">
        <v>265.55399999999997</v>
      </c>
      <c r="K990" s="15">
        <v>2.4</v>
      </c>
      <c r="L990" s="2">
        <v>15.048</v>
      </c>
      <c r="N990" s="7">
        <f t="shared" si="137"/>
        <v>340</v>
      </c>
      <c r="O990" s="1">
        <v>0</v>
      </c>
      <c r="P990" s="1" t="str">
        <f t="shared" si="131"/>
        <v>340,0</v>
      </c>
      <c r="Q990" s="6" t="s">
        <v>10</v>
      </c>
      <c r="R990" s="1">
        <v>90</v>
      </c>
      <c r="S990" s="1">
        <v>2.5</v>
      </c>
      <c r="T990" s="1" t="str">
        <f t="shared" si="136"/>
        <v>-text 340,0 2.5 90 1161286.9</v>
      </c>
      <c r="U990" s="2"/>
    </row>
    <row r="991" spans="1:21" x14ac:dyDescent="0.35">
      <c r="A991" s="1">
        <v>271860</v>
      </c>
      <c r="B991" s="7">
        <v>1161306.8999999999</v>
      </c>
      <c r="C991" s="2">
        <v>267.98700000000002</v>
      </c>
      <c r="D991" s="2">
        <v>268.64699999999999</v>
      </c>
      <c r="E991" s="2">
        <v>0.66</v>
      </c>
      <c r="F991" s="2">
        <v>267.315</v>
      </c>
      <c r="G991" s="2">
        <v>267.93400000000003</v>
      </c>
      <c r="H991" s="2">
        <v>0.61899999999999999</v>
      </c>
      <c r="I991" s="9">
        <v>266.32</v>
      </c>
      <c r="J991" s="2">
        <v>266.69600000000003</v>
      </c>
      <c r="K991" s="15">
        <v>1.2390000000000001</v>
      </c>
      <c r="L991" s="2">
        <v>15.035</v>
      </c>
      <c r="N991" s="7">
        <f t="shared" si="137"/>
        <v>360</v>
      </c>
      <c r="O991" s="1">
        <v>0</v>
      </c>
      <c r="P991" s="1" t="str">
        <f t="shared" si="131"/>
        <v>360,0</v>
      </c>
      <c r="Q991" s="6" t="s">
        <v>10</v>
      </c>
      <c r="R991" s="1">
        <v>90</v>
      </c>
      <c r="S991" s="1">
        <v>2.5</v>
      </c>
      <c r="T991" s="1" t="str">
        <f t="shared" si="136"/>
        <v>-text 360,0 2.5 90 1161306.9</v>
      </c>
      <c r="U991" s="2"/>
    </row>
    <row r="992" spans="1:21" x14ac:dyDescent="0.35">
      <c r="A992" s="1">
        <v>271880</v>
      </c>
      <c r="B992" s="7">
        <v>1161326.8999999999</v>
      </c>
      <c r="C992" s="2">
        <v>268.01</v>
      </c>
      <c r="D992" s="2">
        <v>268.62700000000001</v>
      </c>
      <c r="E992" s="2">
        <v>0.61699999999999999</v>
      </c>
      <c r="F992" s="2">
        <v>267.33800000000002</v>
      </c>
      <c r="G992" s="2">
        <v>267.91399999999999</v>
      </c>
      <c r="H992" s="2">
        <v>0.57599999999999996</v>
      </c>
      <c r="I992" s="9">
        <v>266.37900000000002</v>
      </c>
      <c r="J992" s="2">
        <v>266.45299999999997</v>
      </c>
      <c r="K992" s="15">
        <v>1.4610000000000001</v>
      </c>
      <c r="L992" s="2">
        <v>14.996</v>
      </c>
      <c r="N992" s="7">
        <f t="shared" si="137"/>
        <v>380</v>
      </c>
      <c r="O992" s="1">
        <v>0</v>
      </c>
      <c r="P992" s="1" t="str">
        <f t="shared" si="131"/>
        <v>380,0</v>
      </c>
      <c r="Q992" s="6" t="s">
        <v>10</v>
      </c>
      <c r="R992" s="1">
        <v>90</v>
      </c>
      <c r="S992" s="1">
        <v>2.5</v>
      </c>
      <c r="T992" s="1" t="str">
        <f t="shared" si="136"/>
        <v>-text 380,0 2.5 90 1161326.9</v>
      </c>
      <c r="U992" s="2"/>
    </row>
    <row r="993" spans="1:21" x14ac:dyDescent="0.35">
      <c r="A993" s="1">
        <v>271900</v>
      </c>
      <c r="B993" s="7">
        <v>1161346.8999999999</v>
      </c>
      <c r="C993" s="2">
        <v>268.029</v>
      </c>
      <c r="D993" s="2">
        <v>268.60700000000003</v>
      </c>
      <c r="E993" s="2">
        <v>0.57699999999999996</v>
      </c>
      <c r="F993" s="2">
        <v>267.35700000000003</v>
      </c>
      <c r="G993" s="2">
        <v>267.89400000000001</v>
      </c>
      <c r="H993" s="2">
        <v>0.53600000000000003</v>
      </c>
      <c r="I993" s="9">
        <v>265.06099999999998</v>
      </c>
      <c r="J993" s="2">
        <v>265.21600000000001</v>
      </c>
      <c r="K993" s="15">
        <v>2.6779999999999999</v>
      </c>
      <c r="L993" s="2">
        <v>14.882999999999999</v>
      </c>
      <c r="N993" s="7">
        <f t="shared" si="137"/>
        <v>400</v>
      </c>
      <c r="O993" s="1">
        <v>0</v>
      </c>
      <c r="P993" s="1" t="str">
        <f t="shared" si="131"/>
        <v>400,0</v>
      </c>
      <c r="Q993" s="6" t="s">
        <v>10</v>
      </c>
      <c r="R993" s="1">
        <v>90</v>
      </c>
      <c r="S993" s="1">
        <v>2.5</v>
      </c>
      <c r="T993" s="1" t="str">
        <f t="shared" si="136"/>
        <v>-text 400,0 2.5 90 1161346.9</v>
      </c>
      <c r="U993" s="2"/>
    </row>
    <row r="994" spans="1:21" x14ac:dyDescent="0.35">
      <c r="A994" s="1">
        <v>271920</v>
      </c>
      <c r="B994" s="7">
        <v>1161366.8999999999</v>
      </c>
      <c r="C994" s="2">
        <v>268.04199999999997</v>
      </c>
      <c r="D994" s="2">
        <v>268.58699999999999</v>
      </c>
      <c r="E994" s="2">
        <v>0.54400000000000004</v>
      </c>
      <c r="F994" s="2">
        <v>267.37</v>
      </c>
      <c r="G994" s="2">
        <v>267.87400000000002</v>
      </c>
      <c r="H994" s="2">
        <v>0.503</v>
      </c>
      <c r="I994" s="9">
        <v>266.41899999999998</v>
      </c>
      <c r="J994" s="2">
        <v>265.75900000000001</v>
      </c>
      <c r="K994" s="15">
        <v>2.1150000000000002</v>
      </c>
      <c r="L994" s="2">
        <v>14.657</v>
      </c>
      <c r="N994" s="7">
        <f t="shared" si="137"/>
        <v>420</v>
      </c>
      <c r="O994" s="1">
        <v>0</v>
      </c>
      <c r="P994" s="1" t="str">
        <f t="shared" si="131"/>
        <v>420,0</v>
      </c>
      <c r="Q994" s="6" t="s">
        <v>10</v>
      </c>
      <c r="R994" s="1">
        <v>90</v>
      </c>
      <c r="S994" s="1">
        <v>2.5</v>
      </c>
      <c r="T994" s="1" t="str">
        <f t="shared" si="136"/>
        <v>-text 420,0 2.5 90 1161366.9</v>
      </c>
      <c r="U994" s="2"/>
    </row>
    <row r="995" spans="1:21" x14ac:dyDescent="0.35">
      <c r="A995" s="1">
        <v>271940</v>
      </c>
      <c r="B995" s="7">
        <v>1161386.8999999999</v>
      </c>
      <c r="C995" s="2">
        <v>268.053</v>
      </c>
      <c r="D995" s="2">
        <v>268.56700000000001</v>
      </c>
      <c r="E995" s="2">
        <v>0.51300000000000001</v>
      </c>
      <c r="F995" s="2">
        <v>267.38099999999997</v>
      </c>
      <c r="G995" s="2">
        <v>267.85399999999998</v>
      </c>
      <c r="H995" s="2">
        <v>0.47199999999999998</v>
      </c>
      <c r="I995" s="9">
        <v>265.39</v>
      </c>
      <c r="J995" s="2">
        <v>264.96699999999998</v>
      </c>
      <c r="K995" s="15">
        <v>2.8860000000000001</v>
      </c>
      <c r="L995" s="2">
        <v>14.379</v>
      </c>
      <c r="N995" s="7">
        <f t="shared" si="137"/>
        <v>440</v>
      </c>
      <c r="O995" s="1">
        <v>0</v>
      </c>
      <c r="P995" s="1" t="str">
        <f t="shared" si="131"/>
        <v>440,0</v>
      </c>
      <c r="Q995" s="6" t="s">
        <v>10</v>
      </c>
      <c r="R995" s="1">
        <v>90</v>
      </c>
      <c r="S995" s="1">
        <v>2.5</v>
      </c>
      <c r="T995" s="1" t="str">
        <f t="shared" si="136"/>
        <v>-text 440,0 2.5 90 1161386.9</v>
      </c>
      <c r="U995" s="2"/>
    </row>
    <row r="996" spans="1:21" x14ac:dyDescent="0.35">
      <c r="A996" s="1">
        <v>271960</v>
      </c>
      <c r="B996" s="7">
        <v>1161406.8999999999</v>
      </c>
      <c r="C996" s="2">
        <v>268.05799999999999</v>
      </c>
      <c r="D996" s="2">
        <v>268.54599999999999</v>
      </c>
      <c r="E996" s="2">
        <v>0.48799999999999999</v>
      </c>
      <c r="F996" s="2">
        <v>267.38600000000002</v>
      </c>
      <c r="G996" s="2">
        <v>267.83300000000003</v>
      </c>
      <c r="H996" s="2">
        <v>0.44700000000000001</v>
      </c>
      <c r="I996" s="9">
        <v>265.18900000000002</v>
      </c>
      <c r="J996" s="2">
        <v>265.02100000000002</v>
      </c>
      <c r="K996" s="15">
        <v>2.8130000000000002</v>
      </c>
      <c r="L996" s="2">
        <v>14.098000000000001</v>
      </c>
      <c r="N996" s="7">
        <f t="shared" si="137"/>
        <v>460</v>
      </c>
      <c r="O996" s="1">
        <v>0</v>
      </c>
      <c r="P996" s="1" t="str">
        <f t="shared" si="131"/>
        <v>460,0</v>
      </c>
      <c r="Q996" s="6" t="s">
        <v>10</v>
      </c>
      <c r="R996" s="1">
        <v>90</v>
      </c>
      <c r="S996" s="1">
        <v>2.5</v>
      </c>
      <c r="T996" s="1" t="str">
        <f t="shared" si="136"/>
        <v>-text 460,0 2.5 90 1161406.9</v>
      </c>
      <c r="U996" s="2"/>
    </row>
    <row r="997" spans="1:21" x14ac:dyDescent="0.35">
      <c r="A997" s="1">
        <v>271980</v>
      </c>
      <c r="B997" s="7">
        <v>1161426.8999999999</v>
      </c>
      <c r="C997" s="2">
        <v>268.06200000000001</v>
      </c>
      <c r="D997" s="2">
        <v>268.52600000000001</v>
      </c>
      <c r="E997" s="2">
        <v>0.46400000000000002</v>
      </c>
      <c r="F997" s="2">
        <v>267.39</v>
      </c>
      <c r="G997" s="2">
        <v>267.81299999999999</v>
      </c>
      <c r="H997" s="2">
        <v>0.42299999999999999</v>
      </c>
      <c r="I997" s="9">
        <v>265.14699999999999</v>
      </c>
      <c r="J997" s="2">
        <v>265.04599999999999</v>
      </c>
      <c r="K997" s="15">
        <v>2.7669999999999999</v>
      </c>
      <c r="L997" s="2">
        <v>13.817</v>
      </c>
      <c r="N997" s="7">
        <f t="shared" si="137"/>
        <v>480</v>
      </c>
      <c r="O997" s="1">
        <v>0</v>
      </c>
      <c r="P997" s="1" t="str">
        <f t="shared" si="131"/>
        <v>480,0</v>
      </c>
      <c r="Q997" s="6" t="s">
        <v>10</v>
      </c>
      <c r="R997" s="1">
        <v>90</v>
      </c>
      <c r="S997" s="1">
        <v>2.5</v>
      </c>
      <c r="T997" s="1" t="str">
        <f t="shared" si="136"/>
        <v>-text 480,0 2.5 90 1161426.9</v>
      </c>
      <c r="U997" s="2"/>
    </row>
    <row r="998" spans="1:21" x14ac:dyDescent="0.35">
      <c r="A998" s="1">
        <v>272000</v>
      </c>
      <c r="B998" s="7">
        <v>1161446.8999999999</v>
      </c>
      <c r="C998" s="2">
        <v>268.06400000000002</v>
      </c>
      <c r="D998" s="2">
        <v>268.50599999999997</v>
      </c>
      <c r="E998" s="2">
        <v>0.442</v>
      </c>
      <c r="F998" s="2">
        <v>267.392</v>
      </c>
      <c r="G998" s="2">
        <v>267.79300000000001</v>
      </c>
      <c r="H998" s="2">
        <v>0.40100000000000002</v>
      </c>
      <c r="I998" s="9">
        <v>265.23</v>
      </c>
      <c r="J998" s="2">
        <v>265.06400000000002</v>
      </c>
      <c r="K998" s="15">
        <v>2.7290000000000001</v>
      </c>
      <c r="L998" s="2">
        <v>13.539</v>
      </c>
      <c r="N998" s="7">
        <f>N995+(B998-B995)</f>
        <v>500</v>
      </c>
      <c r="O998" s="1">
        <v>0</v>
      </c>
      <c r="P998" s="1" t="str">
        <f t="shared" ref="P998" si="138">CONCATENATE(N998,",",O998)</f>
        <v>500,0</v>
      </c>
      <c r="Q998" s="6" t="s">
        <v>10</v>
      </c>
      <c r="R998" s="1">
        <v>90</v>
      </c>
      <c r="S998" s="1">
        <v>2.5</v>
      </c>
      <c r="T998" s="1" t="str">
        <f t="shared" si="136"/>
        <v>-text 500,0 2.5 90 1161446.9</v>
      </c>
      <c r="U998" s="2"/>
    </row>
    <row r="999" spans="1:21" s="10" customFormat="1" x14ac:dyDescent="0.35">
      <c r="B999" s="11"/>
      <c r="C999" s="9"/>
      <c r="D999" s="9"/>
      <c r="E999" s="9"/>
      <c r="F999" s="9"/>
      <c r="G999" s="9"/>
      <c r="H999" s="9"/>
      <c r="I999" s="9"/>
      <c r="J999" s="9"/>
      <c r="K999" s="16"/>
      <c r="L999" s="9"/>
      <c r="M999" s="9"/>
      <c r="N999" s="11"/>
      <c r="Q999" s="12"/>
    </row>
    <row r="1000" spans="1:21" x14ac:dyDescent="0.35">
      <c r="A1000" s="1">
        <v>272000</v>
      </c>
      <c r="B1000" s="7">
        <v>1161446.8999999999</v>
      </c>
      <c r="C1000" s="2">
        <v>268.06400000000002</v>
      </c>
      <c r="D1000" s="2">
        <v>268.50599999999997</v>
      </c>
      <c r="E1000" s="2">
        <v>0.442</v>
      </c>
      <c r="F1000" s="2">
        <v>267.392</v>
      </c>
      <c r="G1000" s="2">
        <v>267.79300000000001</v>
      </c>
      <c r="H1000" s="2">
        <v>0.40100000000000002</v>
      </c>
      <c r="I1000" s="9">
        <v>265.23</v>
      </c>
      <c r="J1000" s="2">
        <v>265.06400000000002</v>
      </c>
      <c r="K1000" s="15">
        <v>2.7290000000000001</v>
      </c>
      <c r="L1000" s="2">
        <v>13.539</v>
      </c>
      <c r="N1000" s="7">
        <v>0</v>
      </c>
      <c r="O1000" s="1">
        <v>0</v>
      </c>
      <c r="P1000" s="1" t="str">
        <f t="shared" si="131"/>
        <v>0,0</v>
      </c>
      <c r="Q1000" s="6" t="s">
        <v>10</v>
      </c>
      <c r="R1000" s="1">
        <v>90</v>
      </c>
      <c r="S1000" s="1">
        <v>2.5</v>
      </c>
      <c r="T1000" s="1" t="str">
        <f t="shared" ref="T1000:T1025" si="139">$Q1000&amp;" "&amp;$P1000&amp;" "&amp;$S1000&amp;" "&amp;$R1000&amp;" "&amp;$B1000</f>
        <v>-text 0,0 2.5 90 1161446.9</v>
      </c>
      <c r="U1000" s="2"/>
    </row>
    <row r="1001" spans="1:21" x14ac:dyDescent="0.35">
      <c r="A1001" s="1">
        <v>272020</v>
      </c>
      <c r="B1001" s="7">
        <v>1161466.8999999999</v>
      </c>
      <c r="C1001" s="2">
        <v>268.06400000000002</v>
      </c>
      <c r="D1001" s="2">
        <v>268.48599999999999</v>
      </c>
      <c r="E1001" s="2">
        <v>0.42199999999999999</v>
      </c>
      <c r="F1001" s="2">
        <v>267.392</v>
      </c>
      <c r="G1001" s="2">
        <v>267.77300000000002</v>
      </c>
      <c r="H1001" s="2">
        <v>0.38100000000000001</v>
      </c>
      <c r="I1001" s="9">
        <v>265.43299999999999</v>
      </c>
      <c r="J1001" s="2">
        <v>265.20299999999997</v>
      </c>
      <c r="K1001" s="15">
        <v>2.57</v>
      </c>
      <c r="L1001" s="2">
        <v>13.26</v>
      </c>
      <c r="N1001" s="7">
        <f t="shared" ref="N1001:N1024" si="140">N1000+(B1001-B1000)</f>
        <v>20</v>
      </c>
      <c r="O1001" s="1">
        <v>0</v>
      </c>
      <c r="P1001" s="1" t="str">
        <f t="shared" si="131"/>
        <v>20,0</v>
      </c>
      <c r="Q1001" s="6" t="s">
        <v>10</v>
      </c>
      <c r="R1001" s="1">
        <v>90</v>
      </c>
      <c r="S1001" s="1">
        <v>2.5</v>
      </c>
      <c r="T1001" s="1" t="str">
        <f t="shared" si="139"/>
        <v>-text 20,0 2.5 90 1161466.9</v>
      </c>
      <c r="U1001" s="2"/>
    </row>
    <row r="1002" spans="1:21" x14ac:dyDescent="0.35">
      <c r="A1002" s="1">
        <v>272040</v>
      </c>
      <c r="B1002" s="7">
        <v>1161486.8999999999</v>
      </c>
      <c r="C1002" s="2">
        <v>268.05</v>
      </c>
      <c r="D1002" s="2">
        <v>268.46600000000001</v>
      </c>
      <c r="E1002" s="2">
        <v>0.41499999999999998</v>
      </c>
      <c r="F1002" s="2">
        <v>267.37799999999999</v>
      </c>
      <c r="G1002" s="2">
        <v>267.75299999999999</v>
      </c>
      <c r="H1002" s="2">
        <v>0.374</v>
      </c>
      <c r="I1002" s="9">
        <v>265.68099999999998</v>
      </c>
      <c r="J1002" s="2">
        <v>265.22699999999998</v>
      </c>
      <c r="K1002" s="15">
        <v>2.5259999999999998</v>
      </c>
      <c r="L1002" s="2">
        <v>12.987</v>
      </c>
      <c r="N1002" s="7">
        <f t="shared" si="140"/>
        <v>40</v>
      </c>
      <c r="O1002" s="1">
        <v>0</v>
      </c>
      <c r="P1002" s="1" t="str">
        <f t="shared" si="131"/>
        <v>40,0</v>
      </c>
      <c r="Q1002" s="6" t="s">
        <v>10</v>
      </c>
      <c r="R1002" s="1">
        <v>90</v>
      </c>
      <c r="S1002" s="1">
        <v>2.5</v>
      </c>
      <c r="T1002" s="1" t="str">
        <f t="shared" si="139"/>
        <v>-text 40,0 2.5 90 1161486.9</v>
      </c>
      <c r="U1002" s="2"/>
    </row>
    <row r="1003" spans="1:21" x14ac:dyDescent="0.35">
      <c r="A1003" s="1">
        <v>272060</v>
      </c>
      <c r="B1003" s="7">
        <v>1161507</v>
      </c>
      <c r="C1003" s="2">
        <v>268.036</v>
      </c>
      <c r="D1003" s="2">
        <v>268.44499999999999</v>
      </c>
      <c r="E1003" s="2">
        <v>0.40899999999999997</v>
      </c>
      <c r="F1003" s="2">
        <v>267.36399999999998</v>
      </c>
      <c r="G1003" s="2">
        <v>267.73200000000003</v>
      </c>
      <c r="H1003" s="2">
        <v>0.36799999999999999</v>
      </c>
      <c r="I1003" s="9">
        <v>265.31299999999999</v>
      </c>
      <c r="J1003" s="2">
        <v>266.39699999999999</v>
      </c>
      <c r="K1003" s="15">
        <v>1.3360000000000001</v>
      </c>
      <c r="L1003" s="2">
        <v>12.715999999999999</v>
      </c>
      <c r="N1003" s="7">
        <f t="shared" si="140"/>
        <v>60.100000000093132</v>
      </c>
      <c r="O1003" s="1">
        <v>0</v>
      </c>
      <c r="P1003" s="1" t="str">
        <f t="shared" si="131"/>
        <v>60.1000000000931,0</v>
      </c>
      <c r="Q1003" s="6" t="s">
        <v>10</v>
      </c>
      <c r="R1003" s="1">
        <v>90</v>
      </c>
      <c r="S1003" s="1">
        <v>2.5</v>
      </c>
      <c r="T1003" s="1" t="str">
        <f t="shared" si="139"/>
        <v>-text 60.1000000000931,0 2.5 90 1161507</v>
      </c>
      <c r="U1003" s="2"/>
    </row>
    <row r="1004" spans="1:21" x14ac:dyDescent="0.35">
      <c r="A1004" s="1">
        <v>272080</v>
      </c>
      <c r="B1004" s="7">
        <v>1161527</v>
      </c>
      <c r="C1004" s="2">
        <v>268.01900000000001</v>
      </c>
      <c r="D1004" s="2">
        <v>268.42500000000001</v>
      </c>
      <c r="E1004" s="2">
        <v>0.40600000000000003</v>
      </c>
      <c r="F1004" s="2">
        <v>267.34699999999998</v>
      </c>
      <c r="G1004" s="2">
        <v>267.71199999999999</v>
      </c>
      <c r="H1004" s="2">
        <v>0.36499999999999999</v>
      </c>
      <c r="I1004" s="9">
        <v>265.34899999999999</v>
      </c>
      <c r="J1004" s="2">
        <v>265.786</v>
      </c>
      <c r="K1004" s="15">
        <v>1.927</v>
      </c>
      <c r="L1004" s="2">
        <v>12.468999999999999</v>
      </c>
      <c r="N1004" s="7">
        <f t="shared" si="140"/>
        <v>80.100000000093132</v>
      </c>
      <c r="O1004" s="1">
        <v>0</v>
      </c>
      <c r="P1004" s="1" t="str">
        <f t="shared" si="131"/>
        <v>80.1000000000931,0</v>
      </c>
      <c r="Q1004" s="6" t="s">
        <v>10</v>
      </c>
      <c r="R1004" s="1">
        <v>90</v>
      </c>
      <c r="S1004" s="1">
        <v>2.5</v>
      </c>
      <c r="T1004" s="1" t="str">
        <f t="shared" si="139"/>
        <v>-text 80.1000000000931,0 2.5 90 1161527</v>
      </c>
      <c r="U1004" s="2"/>
    </row>
    <row r="1005" spans="1:21" x14ac:dyDescent="0.35">
      <c r="A1005" s="1">
        <v>272100</v>
      </c>
      <c r="B1005" s="7">
        <v>1161547</v>
      </c>
      <c r="C1005" s="2">
        <v>268.00200000000001</v>
      </c>
      <c r="D1005" s="2">
        <v>268.40499999999997</v>
      </c>
      <c r="E1005" s="2">
        <v>0.40300000000000002</v>
      </c>
      <c r="F1005" s="2">
        <v>267.33</v>
      </c>
      <c r="G1005" s="2">
        <v>267.69200000000001</v>
      </c>
      <c r="H1005" s="2">
        <v>0.36199999999999999</v>
      </c>
      <c r="I1005" s="9">
        <v>265.54000000000002</v>
      </c>
      <c r="J1005" s="2">
        <v>265.74599999999998</v>
      </c>
      <c r="K1005" s="15">
        <v>1.946</v>
      </c>
      <c r="L1005" s="2">
        <v>12.221</v>
      </c>
      <c r="N1005" s="7">
        <f t="shared" si="140"/>
        <v>100.10000000009313</v>
      </c>
      <c r="O1005" s="1">
        <v>0</v>
      </c>
      <c r="P1005" s="1" t="str">
        <f t="shared" ref="P1005:P1071" si="141">CONCATENATE(N1005,",",O1005)</f>
        <v>100.100000000093,0</v>
      </c>
      <c r="Q1005" s="6" t="s">
        <v>10</v>
      </c>
      <c r="R1005" s="1">
        <v>90</v>
      </c>
      <c r="S1005" s="1">
        <v>2.5</v>
      </c>
      <c r="T1005" s="1" t="str">
        <f t="shared" si="139"/>
        <v>-text 100.100000000093,0 2.5 90 1161547</v>
      </c>
      <c r="U1005" s="2"/>
    </row>
    <row r="1006" spans="1:21" x14ac:dyDescent="0.35">
      <c r="A1006" s="1">
        <v>272120</v>
      </c>
      <c r="B1006" s="7">
        <v>1161567</v>
      </c>
      <c r="C1006" s="2">
        <v>267.98399999999998</v>
      </c>
      <c r="D1006" s="2">
        <v>268.38499999999999</v>
      </c>
      <c r="E1006" s="2">
        <v>0.40100000000000002</v>
      </c>
      <c r="F1006" s="2">
        <v>267.31200000000001</v>
      </c>
      <c r="G1006" s="2">
        <v>267.67200000000003</v>
      </c>
      <c r="H1006" s="2">
        <v>0.36</v>
      </c>
      <c r="I1006" s="9">
        <v>265.53500000000003</v>
      </c>
      <c r="J1006" s="2">
        <v>265.714</v>
      </c>
      <c r="K1006" s="15">
        <v>1.958</v>
      </c>
      <c r="L1006" s="2">
        <v>11.973000000000001</v>
      </c>
      <c r="N1006" s="7">
        <f t="shared" si="140"/>
        <v>120.10000000009313</v>
      </c>
      <c r="O1006" s="1">
        <v>0</v>
      </c>
      <c r="P1006" s="1" t="str">
        <f t="shared" si="141"/>
        <v>120.100000000093,0</v>
      </c>
      <c r="Q1006" s="6" t="s">
        <v>10</v>
      </c>
      <c r="R1006" s="1">
        <v>90</v>
      </c>
      <c r="S1006" s="1">
        <v>2.5</v>
      </c>
      <c r="T1006" s="1" t="str">
        <f t="shared" si="139"/>
        <v>-text 120.100000000093,0 2.5 90 1161567</v>
      </c>
      <c r="U1006" s="2"/>
    </row>
    <row r="1007" spans="1:21" x14ac:dyDescent="0.35">
      <c r="A1007" s="1">
        <v>272140</v>
      </c>
      <c r="B1007" s="7">
        <v>1161587</v>
      </c>
      <c r="C1007" s="2">
        <v>267.99700000000001</v>
      </c>
      <c r="D1007" s="2">
        <v>268.36500000000001</v>
      </c>
      <c r="E1007" s="2">
        <v>0.36799999999999999</v>
      </c>
      <c r="F1007" s="2">
        <v>267.32499999999999</v>
      </c>
      <c r="G1007" s="2">
        <v>267.65199999999999</v>
      </c>
      <c r="H1007" s="2">
        <v>0.32700000000000001</v>
      </c>
      <c r="I1007" s="9">
        <v>265.67599999999999</v>
      </c>
      <c r="J1007" s="2">
        <v>265.13900000000001</v>
      </c>
      <c r="K1007" s="15">
        <v>2.5129999999999999</v>
      </c>
      <c r="L1007" s="2">
        <v>11.725</v>
      </c>
      <c r="N1007" s="7">
        <f t="shared" si="140"/>
        <v>140.10000000009313</v>
      </c>
      <c r="O1007" s="1">
        <v>0</v>
      </c>
      <c r="P1007" s="1" t="str">
        <f t="shared" si="141"/>
        <v>140.100000000093,0</v>
      </c>
      <c r="Q1007" s="6" t="s">
        <v>10</v>
      </c>
      <c r="R1007" s="1">
        <v>90</v>
      </c>
      <c r="S1007" s="1">
        <v>2.5</v>
      </c>
      <c r="T1007" s="1" t="str">
        <f t="shared" si="139"/>
        <v>-text 140.100000000093,0 2.5 90 1161587</v>
      </c>
      <c r="U1007" s="2"/>
    </row>
    <row r="1008" spans="1:21" x14ac:dyDescent="0.35">
      <c r="A1008" s="1">
        <v>272160</v>
      </c>
      <c r="B1008" s="7">
        <v>1161607</v>
      </c>
      <c r="C1008" s="2">
        <v>268.01299999999998</v>
      </c>
      <c r="D1008" s="2">
        <v>268.34500000000003</v>
      </c>
      <c r="E1008" s="2">
        <v>0.33200000000000002</v>
      </c>
      <c r="F1008" s="2">
        <v>267.34100000000001</v>
      </c>
      <c r="G1008" s="2">
        <v>267.63200000000001</v>
      </c>
      <c r="H1008" s="2">
        <v>0.29099999999999998</v>
      </c>
      <c r="I1008" s="9">
        <v>265.81299999999999</v>
      </c>
      <c r="J1008" s="2">
        <v>265.2</v>
      </c>
      <c r="K1008" s="15">
        <v>2.4319999999999999</v>
      </c>
      <c r="L1008" s="2">
        <v>11.476000000000001</v>
      </c>
      <c r="N1008" s="7">
        <f t="shared" si="140"/>
        <v>160.10000000009313</v>
      </c>
      <c r="O1008" s="1">
        <v>0</v>
      </c>
      <c r="P1008" s="1" t="str">
        <f t="shared" si="141"/>
        <v>160.100000000093,0</v>
      </c>
      <c r="Q1008" s="6" t="s">
        <v>10</v>
      </c>
      <c r="R1008" s="1">
        <v>90</v>
      </c>
      <c r="S1008" s="1">
        <v>2.5</v>
      </c>
      <c r="T1008" s="1" t="str">
        <f t="shared" si="139"/>
        <v>-text 160.100000000093,0 2.5 90 1161607</v>
      </c>
      <c r="U1008" s="2"/>
    </row>
    <row r="1009" spans="1:21" x14ac:dyDescent="0.35">
      <c r="A1009" s="1">
        <v>272180</v>
      </c>
      <c r="B1009" s="7">
        <v>1161627</v>
      </c>
      <c r="C1009" s="2">
        <v>268.00900000000001</v>
      </c>
      <c r="D1009" s="2">
        <v>268.32400000000001</v>
      </c>
      <c r="E1009" s="2">
        <v>0.316</v>
      </c>
      <c r="F1009" s="2">
        <v>267.33699999999999</v>
      </c>
      <c r="G1009" s="2">
        <v>267.61099999999999</v>
      </c>
      <c r="H1009" s="2">
        <v>0.27500000000000002</v>
      </c>
      <c r="I1009" s="9">
        <v>264.54599999999999</v>
      </c>
      <c r="J1009" s="2">
        <v>265.46199999999999</v>
      </c>
      <c r="K1009" s="15">
        <v>2.15</v>
      </c>
      <c r="L1009" s="2">
        <v>11.233000000000001</v>
      </c>
      <c r="N1009" s="7">
        <f t="shared" si="140"/>
        <v>180.10000000009313</v>
      </c>
      <c r="O1009" s="1">
        <v>0</v>
      </c>
      <c r="P1009" s="1" t="str">
        <f t="shared" si="141"/>
        <v>180.100000000093,0</v>
      </c>
      <c r="Q1009" s="6" t="s">
        <v>10</v>
      </c>
      <c r="R1009" s="1">
        <v>90</v>
      </c>
      <c r="S1009" s="1">
        <v>2.5</v>
      </c>
      <c r="T1009" s="1" t="str">
        <f t="shared" si="139"/>
        <v>-text 180.100000000093,0 2.5 90 1161627</v>
      </c>
      <c r="U1009" s="2"/>
    </row>
    <row r="1010" spans="1:21" x14ac:dyDescent="0.35">
      <c r="A1010" s="1">
        <v>272200</v>
      </c>
      <c r="B1010" s="7">
        <v>1161647</v>
      </c>
      <c r="C1010" s="2">
        <v>267.99799999999999</v>
      </c>
      <c r="D1010" s="2">
        <v>268.30399999999997</v>
      </c>
      <c r="E1010" s="2">
        <v>0.30599999999999999</v>
      </c>
      <c r="F1010" s="2">
        <v>267.32600000000002</v>
      </c>
      <c r="G1010" s="2">
        <v>267.59100000000001</v>
      </c>
      <c r="H1010" s="2">
        <v>0.26500000000000001</v>
      </c>
      <c r="I1010" s="9">
        <v>265.02199999999999</v>
      </c>
      <c r="J1010" s="2">
        <v>265.58600000000001</v>
      </c>
      <c r="K1010" s="15">
        <v>2.0049999999999999</v>
      </c>
      <c r="L1010" s="2">
        <v>11.045999999999999</v>
      </c>
      <c r="N1010" s="7">
        <f t="shared" si="140"/>
        <v>200.10000000009313</v>
      </c>
      <c r="O1010" s="1">
        <v>0</v>
      </c>
      <c r="P1010" s="1" t="str">
        <f t="shared" si="141"/>
        <v>200.100000000093,0</v>
      </c>
      <c r="Q1010" s="6" t="s">
        <v>10</v>
      </c>
      <c r="R1010" s="1">
        <v>90</v>
      </c>
      <c r="S1010" s="1">
        <v>2.5</v>
      </c>
      <c r="T1010" s="1" t="str">
        <f t="shared" si="139"/>
        <v>-text 200.100000000093,0 2.5 90 1161647</v>
      </c>
      <c r="U1010" s="2"/>
    </row>
    <row r="1011" spans="1:21" x14ac:dyDescent="0.35">
      <c r="A1011" s="1">
        <v>272220</v>
      </c>
      <c r="B1011" s="7">
        <v>1161667</v>
      </c>
      <c r="C1011" s="2">
        <v>268.01600000000002</v>
      </c>
      <c r="D1011" s="2">
        <v>268.28399999999999</v>
      </c>
      <c r="E1011" s="2">
        <v>0.26800000000000002</v>
      </c>
      <c r="F1011" s="2">
        <v>267.34399999999999</v>
      </c>
      <c r="G1011" s="2">
        <v>267.57100000000003</v>
      </c>
      <c r="H1011" s="2">
        <v>0.22700000000000001</v>
      </c>
      <c r="I1011" s="9">
        <v>265.55599999999998</v>
      </c>
      <c r="J1011" s="2">
        <v>265.77100000000002</v>
      </c>
      <c r="K1011" s="15">
        <v>1.8</v>
      </c>
      <c r="L1011" s="2">
        <v>10.939</v>
      </c>
      <c r="N1011" s="7">
        <f t="shared" si="140"/>
        <v>220.10000000009313</v>
      </c>
      <c r="O1011" s="1">
        <v>0</v>
      </c>
      <c r="P1011" s="1" t="str">
        <f t="shared" si="141"/>
        <v>220.100000000093,0</v>
      </c>
      <c r="Q1011" s="6" t="s">
        <v>10</v>
      </c>
      <c r="R1011" s="1">
        <v>90</v>
      </c>
      <c r="S1011" s="1">
        <v>2.5</v>
      </c>
      <c r="T1011" s="1" t="str">
        <f t="shared" si="139"/>
        <v>-text 220.100000000093,0 2.5 90 1161667</v>
      </c>
      <c r="U1011" s="2"/>
    </row>
    <row r="1012" spans="1:21" x14ac:dyDescent="0.35">
      <c r="A1012" s="1">
        <v>272240</v>
      </c>
      <c r="B1012" s="7">
        <v>1161686.8999999999</v>
      </c>
      <c r="C1012" s="2">
        <v>268.09300000000002</v>
      </c>
      <c r="D1012" s="2">
        <v>268.26400000000001</v>
      </c>
      <c r="E1012" s="2">
        <v>0.17100000000000001</v>
      </c>
      <c r="F1012" s="2">
        <v>267.42099999999999</v>
      </c>
      <c r="G1012" s="2">
        <v>267.55099999999999</v>
      </c>
      <c r="H1012" s="2">
        <v>0.13</v>
      </c>
      <c r="I1012" s="9">
        <v>265.89299999999997</v>
      </c>
      <c r="J1012" s="2">
        <v>265.94600000000003</v>
      </c>
      <c r="K1012" s="15">
        <v>1.605</v>
      </c>
      <c r="L1012" s="2">
        <v>10.907999999999999</v>
      </c>
      <c r="N1012" s="7">
        <f t="shared" si="140"/>
        <v>240</v>
      </c>
      <c r="O1012" s="1">
        <v>0</v>
      </c>
      <c r="P1012" s="1" t="str">
        <f t="shared" si="141"/>
        <v>240,0</v>
      </c>
      <c r="Q1012" s="6" t="s">
        <v>10</v>
      </c>
      <c r="R1012" s="1">
        <v>90</v>
      </c>
      <c r="S1012" s="1">
        <v>2.5</v>
      </c>
      <c r="T1012" s="1" t="str">
        <f t="shared" si="139"/>
        <v>-text 240,0 2.5 90 1161686.9</v>
      </c>
      <c r="U1012" s="2"/>
    </row>
    <row r="1013" spans="1:21" x14ac:dyDescent="0.35">
      <c r="A1013" s="1">
        <v>272260</v>
      </c>
      <c r="B1013" s="7">
        <v>1161706.8999999999</v>
      </c>
      <c r="C1013" s="2">
        <v>268.13</v>
      </c>
      <c r="D1013" s="2">
        <v>268.24400000000003</v>
      </c>
      <c r="E1013" s="2">
        <v>0.113</v>
      </c>
      <c r="F1013" s="2">
        <v>267.45800000000003</v>
      </c>
      <c r="G1013" s="2">
        <v>267.53100000000001</v>
      </c>
      <c r="H1013" s="2">
        <v>7.1999999999999995E-2</v>
      </c>
      <c r="I1013" s="9">
        <v>267.39699999999999</v>
      </c>
      <c r="J1013" s="2">
        <v>266.81200000000001</v>
      </c>
      <c r="K1013" s="15">
        <v>0.71799999999999997</v>
      </c>
      <c r="L1013" s="2">
        <v>10.923999999999999</v>
      </c>
      <c r="N1013" s="7">
        <f t="shared" si="140"/>
        <v>260</v>
      </c>
      <c r="O1013" s="1">
        <v>0</v>
      </c>
      <c r="P1013" s="1" t="str">
        <f t="shared" si="141"/>
        <v>260,0</v>
      </c>
      <c r="Q1013" s="6" t="s">
        <v>10</v>
      </c>
      <c r="R1013" s="1">
        <v>90</v>
      </c>
      <c r="S1013" s="1">
        <v>2.5</v>
      </c>
      <c r="T1013" s="1" t="str">
        <f t="shared" si="139"/>
        <v>-text 260,0 2.5 90 1161706.9</v>
      </c>
      <c r="U1013" s="2"/>
    </row>
    <row r="1014" spans="1:21" x14ac:dyDescent="0.35">
      <c r="A1014" s="1">
        <v>272280</v>
      </c>
      <c r="B1014" s="7">
        <v>1161726.8999999999</v>
      </c>
      <c r="C1014" s="2">
        <v>268.17</v>
      </c>
      <c r="D1014" s="2">
        <v>268.22300000000001</v>
      </c>
      <c r="E1014" s="2">
        <v>5.3999999999999999E-2</v>
      </c>
      <c r="F1014" s="2">
        <v>267.49799999999999</v>
      </c>
      <c r="G1014" s="2">
        <v>267.51</v>
      </c>
      <c r="H1014" s="2">
        <v>1.2999999999999999E-2</v>
      </c>
      <c r="I1014" s="9">
        <v>266.375</v>
      </c>
      <c r="J1014" s="2">
        <v>266.262</v>
      </c>
      <c r="K1014" s="15">
        <v>1.248</v>
      </c>
      <c r="L1014" s="2">
        <v>10.965999999999999</v>
      </c>
      <c r="N1014" s="7">
        <f t="shared" si="140"/>
        <v>280</v>
      </c>
      <c r="O1014" s="1">
        <v>0</v>
      </c>
      <c r="P1014" s="1" t="str">
        <f t="shared" si="141"/>
        <v>280,0</v>
      </c>
      <c r="Q1014" s="6" t="s">
        <v>10</v>
      </c>
      <c r="R1014" s="1">
        <v>90</v>
      </c>
      <c r="S1014" s="1">
        <v>2.5</v>
      </c>
      <c r="T1014" s="1" t="str">
        <f t="shared" si="139"/>
        <v>-text 280,0 2.5 90 1161726.9</v>
      </c>
      <c r="U1014" s="2"/>
    </row>
    <row r="1015" spans="1:21" x14ac:dyDescent="0.35">
      <c r="A1015" s="1">
        <v>272300</v>
      </c>
      <c r="B1015" s="7">
        <v>1161746.8999999999</v>
      </c>
      <c r="C1015" s="2">
        <v>268.20299999999997</v>
      </c>
      <c r="D1015" s="2">
        <v>268.20299999999997</v>
      </c>
      <c r="E1015" s="2">
        <v>0</v>
      </c>
      <c r="F1015" s="2">
        <v>267.53100000000001</v>
      </c>
      <c r="G1015" s="2">
        <v>267.49</v>
      </c>
      <c r="H1015" s="2">
        <v>-4.1000000000000002E-2</v>
      </c>
      <c r="I1015" s="9">
        <v>265.98</v>
      </c>
      <c r="J1015" s="2">
        <v>266.23399999999998</v>
      </c>
      <c r="K1015" s="15">
        <v>1.2569999999999999</v>
      </c>
      <c r="L1015" s="2">
        <v>10.993</v>
      </c>
      <c r="N1015" s="7">
        <f t="shared" si="140"/>
        <v>300</v>
      </c>
      <c r="O1015" s="1">
        <v>0</v>
      </c>
      <c r="P1015" s="1" t="str">
        <f t="shared" si="141"/>
        <v>300,0</v>
      </c>
      <c r="Q1015" s="6" t="s">
        <v>10</v>
      </c>
      <c r="R1015" s="1">
        <v>90</v>
      </c>
      <c r="S1015" s="1">
        <v>2.5</v>
      </c>
      <c r="T1015" s="1" t="str">
        <f t="shared" si="139"/>
        <v>-text 300,0 2.5 90 1161746.9</v>
      </c>
      <c r="U1015" s="2"/>
    </row>
    <row r="1016" spans="1:21" x14ac:dyDescent="0.35">
      <c r="A1016" s="1">
        <v>272320</v>
      </c>
      <c r="B1016" s="7">
        <v>1161767</v>
      </c>
      <c r="C1016" s="2">
        <v>268.202</v>
      </c>
      <c r="D1016" s="2">
        <v>268.18299999999999</v>
      </c>
      <c r="E1016" s="2">
        <v>-1.9E-2</v>
      </c>
      <c r="F1016" s="2">
        <v>267.52999999999997</v>
      </c>
      <c r="G1016" s="2">
        <v>267.47000000000003</v>
      </c>
      <c r="H1016" s="2">
        <v>-0.06</v>
      </c>
      <c r="I1016" s="9">
        <v>266.12700000000001</v>
      </c>
      <c r="J1016" s="2">
        <v>266.29399999999998</v>
      </c>
      <c r="K1016" s="15">
        <v>1.1759999999999999</v>
      </c>
      <c r="L1016" s="2">
        <v>11.041</v>
      </c>
      <c r="N1016" s="7">
        <f t="shared" si="140"/>
        <v>320.10000000009313</v>
      </c>
      <c r="O1016" s="1">
        <v>0</v>
      </c>
      <c r="P1016" s="1" t="str">
        <f t="shared" si="141"/>
        <v>320.100000000093,0</v>
      </c>
      <c r="Q1016" s="6" t="s">
        <v>10</v>
      </c>
      <c r="R1016" s="1">
        <v>90</v>
      </c>
      <c r="S1016" s="1">
        <v>2.5</v>
      </c>
      <c r="T1016" s="1" t="str">
        <f t="shared" si="139"/>
        <v>-text 320.100000000093,0 2.5 90 1161767</v>
      </c>
      <c r="U1016" s="2"/>
    </row>
    <row r="1017" spans="1:21" x14ac:dyDescent="0.35">
      <c r="A1017" s="1">
        <v>272340</v>
      </c>
      <c r="B1017" s="7">
        <v>1161787</v>
      </c>
      <c r="C1017" s="2">
        <v>268.16300000000001</v>
      </c>
      <c r="D1017" s="2">
        <v>268.17399999999998</v>
      </c>
      <c r="E1017" s="2">
        <v>1.0999999999999999E-2</v>
      </c>
      <c r="F1017" s="2">
        <v>267.49099999999999</v>
      </c>
      <c r="G1017" s="2">
        <v>267.46100000000001</v>
      </c>
      <c r="H1017" s="2">
        <v>-0.03</v>
      </c>
      <c r="I1017" s="9">
        <v>266.04500000000002</v>
      </c>
      <c r="J1017" s="2">
        <v>266.23</v>
      </c>
      <c r="K1017" s="15">
        <v>1.232</v>
      </c>
      <c r="L1017" s="2">
        <v>11.122999999999999</v>
      </c>
      <c r="N1017" s="7">
        <f t="shared" si="140"/>
        <v>340.10000000009313</v>
      </c>
      <c r="O1017" s="1">
        <v>0</v>
      </c>
      <c r="P1017" s="1" t="str">
        <f t="shared" si="141"/>
        <v>340.100000000093,0</v>
      </c>
      <c r="Q1017" s="6" t="s">
        <v>10</v>
      </c>
      <c r="R1017" s="1">
        <v>90</v>
      </c>
      <c r="S1017" s="1">
        <v>2.5</v>
      </c>
      <c r="T1017" s="1" t="str">
        <f t="shared" si="139"/>
        <v>-text 340.100000000093,0 2.5 90 1161787</v>
      </c>
      <c r="U1017" s="2"/>
    </row>
    <row r="1018" spans="1:21" x14ac:dyDescent="0.35">
      <c r="A1018" s="1">
        <v>272360</v>
      </c>
      <c r="B1018" s="7">
        <v>1161806.8999999999</v>
      </c>
      <c r="C1018" s="2">
        <v>268.21800000000002</v>
      </c>
      <c r="D1018" s="2">
        <v>268.26400000000001</v>
      </c>
      <c r="E1018" s="2">
        <v>4.5999999999999999E-2</v>
      </c>
      <c r="F1018" s="2">
        <v>267.54599999999999</v>
      </c>
      <c r="G1018" s="2">
        <v>267.55099999999999</v>
      </c>
      <c r="H1018" s="2">
        <v>5.0000000000000001E-3</v>
      </c>
      <c r="I1018" s="9">
        <v>266.15499999999997</v>
      </c>
      <c r="J1018" s="2">
        <v>266.23500000000001</v>
      </c>
      <c r="K1018" s="15">
        <v>1.3160000000000001</v>
      </c>
      <c r="L1018" s="2">
        <v>11.193</v>
      </c>
      <c r="N1018" s="7">
        <f t="shared" si="140"/>
        <v>360</v>
      </c>
      <c r="O1018" s="1">
        <v>0</v>
      </c>
      <c r="P1018" s="1" t="str">
        <f t="shared" si="141"/>
        <v>360,0</v>
      </c>
      <c r="Q1018" s="6" t="s">
        <v>10</v>
      </c>
      <c r="R1018" s="1">
        <v>90</v>
      </c>
      <c r="S1018" s="1">
        <v>2.5</v>
      </c>
      <c r="T1018" s="1" t="str">
        <f t="shared" si="139"/>
        <v>-text 360,0 2.5 90 1161806.9</v>
      </c>
      <c r="U1018" s="2"/>
    </row>
    <row r="1019" spans="1:21" x14ac:dyDescent="0.35">
      <c r="A1019" s="1">
        <v>272380</v>
      </c>
      <c r="B1019" s="7">
        <v>1161826.8999999999</v>
      </c>
      <c r="C1019" s="2">
        <v>268.274</v>
      </c>
      <c r="D1019" s="2">
        <v>268.35399999999998</v>
      </c>
      <c r="E1019" s="2">
        <v>0.08</v>
      </c>
      <c r="F1019" s="2">
        <v>267.60199999999998</v>
      </c>
      <c r="G1019" s="2">
        <v>267.64100000000002</v>
      </c>
      <c r="H1019" s="2">
        <v>3.9E-2</v>
      </c>
      <c r="I1019" s="9">
        <v>266.18200000000002</v>
      </c>
      <c r="J1019" s="2">
        <v>266.22300000000001</v>
      </c>
      <c r="K1019" s="15">
        <v>1.4179999999999999</v>
      </c>
      <c r="L1019" s="2">
        <v>11.242000000000001</v>
      </c>
      <c r="N1019" s="7">
        <f t="shared" si="140"/>
        <v>380</v>
      </c>
      <c r="O1019" s="1">
        <v>0</v>
      </c>
      <c r="P1019" s="1" t="str">
        <f t="shared" si="141"/>
        <v>380,0</v>
      </c>
      <c r="Q1019" s="6" t="s">
        <v>10</v>
      </c>
      <c r="R1019" s="1">
        <v>90</v>
      </c>
      <c r="S1019" s="1">
        <v>2.5</v>
      </c>
      <c r="T1019" s="1" t="str">
        <f t="shared" si="139"/>
        <v>-text 380,0 2.5 90 1161826.9</v>
      </c>
      <c r="U1019" s="2"/>
    </row>
    <row r="1020" spans="1:21" x14ac:dyDescent="0.35">
      <c r="A1020" s="1">
        <v>272400</v>
      </c>
      <c r="B1020" s="7">
        <v>1161846.8999999999</v>
      </c>
      <c r="C1020" s="2">
        <v>268.30200000000002</v>
      </c>
      <c r="D1020" s="2">
        <v>268.44400000000002</v>
      </c>
      <c r="E1020" s="2">
        <v>0.14199999999999999</v>
      </c>
      <c r="F1020" s="2">
        <v>267.63</v>
      </c>
      <c r="G1020" s="2">
        <v>267.73099999999999</v>
      </c>
      <c r="H1020" s="2">
        <v>0.10100000000000001</v>
      </c>
      <c r="I1020" s="9">
        <v>266.13200000000001</v>
      </c>
      <c r="J1020" s="2">
        <v>266.24200000000002</v>
      </c>
      <c r="K1020" s="15">
        <v>1.4890000000000001</v>
      </c>
      <c r="L1020" s="2">
        <v>11.298</v>
      </c>
      <c r="N1020" s="7">
        <f t="shared" si="140"/>
        <v>400</v>
      </c>
      <c r="O1020" s="1">
        <v>0</v>
      </c>
      <c r="P1020" s="1" t="str">
        <f t="shared" si="141"/>
        <v>400,0</v>
      </c>
      <c r="Q1020" s="6" t="s">
        <v>10</v>
      </c>
      <c r="R1020" s="1">
        <v>90</v>
      </c>
      <c r="S1020" s="1">
        <v>2.5</v>
      </c>
      <c r="T1020" s="1" t="str">
        <f t="shared" si="139"/>
        <v>-text 400,0 2.5 90 1161846.9</v>
      </c>
      <c r="U1020" s="2"/>
    </row>
    <row r="1021" spans="1:21" x14ac:dyDescent="0.35">
      <c r="A1021" s="1">
        <v>272420</v>
      </c>
      <c r="B1021" s="7">
        <v>1161866.8999999999</v>
      </c>
      <c r="C1021" s="2">
        <v>268.29899999999998</v>
      </c>
      <c r="D1021" s="2">
        <v>268.53399999999999</v>
      </c>
      <c r="E1021" s="2">
        <v>0.23499999999999999</v>
      </c>
      <c r="F1021" s="2">
        <v>267.62700000000001</v>
      </c>
      <c r="G1021" s="2">
        <v>267.82100000000003</v>
      </c>
      <c r="H1021" s="2">
        <v>0.19400000000000001</v>
      </c>
      <c r="I1021" s="9">
        <v>266.255</v>
      </c>
      <c r="J1021" s="2">
        <v>266.34899999999999</v>
      </c>
      <c r="K1021" s="15">
        <v>1.472</v>
      </c>
      <c r="L1021" s="2">
        <v>11.362</v>
      </c>
      <c r="N1021" s="7">
        <f t="shared" si="140"/>
        <v>420</v>
      </c>
      <c r="O1021" s="1">
        <v>0</v>
      </c>
      <c r="P1021" s="1" t="str">
        <f t="shared" si="141"/>
        <v>420,0</v>
      </c>
      <c r="Q1021" s="6" t="s">
        <v>10</v>
      </c>
      <c r="R1021" s="1">
        <v>90</v>
      </c>
      <c r="S1021" s="1">
        <v>2.5</v>
      </c>
      <c r="T1021" s="1" t="str">
        <f t="shared" si="139"/>
        <v>-text 420,0 2.5 90 1161866.9</v>
      </c>
      <c r="U1021" s="2"/>
    </row>
    <row r="1022" spans="1:21" x14ac:dyDescent="0.35">
      <c r="A1022" s="1">
        <v>272440</v>
      </c>
      <c r="B1022" s="7">
        <v>1161887</v>
      </c>
      <c r="C1022" s="2">
        <v>268.28899999999999</v>
      </c>
      <c r="D1022" s="2">
        <v>268.62400000000002</v>
      </c>
      <c r="E1022" s="2">
        <v>0.33500000000000002</v>
      </c>
      <c r="F1022" s="2">
        <v>267.61700000000002</v>
      </c>
      <c r="G1022" s="2">
        <v>267.911</v>
      </c>
      <c r="H1022" s="2">
        <v>0.29399999999999998</v>
      </c>
      <c r="I1022" s="9">
        <v>265.97399999999999</v>
      </c>
      <c r="J1022" s="2">
        <v>266.15199999999999</v>
      </c>
      <c r="K1022" s="15">
        <v>1.7589999999999999</v>
      </c>
      <c r="L1022" s="2">
        <v>11.433999999999999</v>
      </c>
      <c r="N1022" s="7">
        <f t="shared" si="140"/>
        <v>440.10000000009313</v>
      </c>
      <c r="O1022" s="1">
        <v>0</v>
      </c>
      <c r="P1022" s="1" t="str">
        <f t="shared" si="141"/>
        <v>440.100000000093,0</v>
      </c>
      <c r="Q1022" s="6" t="s">
        <v>10</v>
      </c>
      <c r="R1022" s="1">
        <v>90</v>
      </c>
      <c r="S1022" s="1">
        <v>2.5</v>
      </c>
      <c r="T1022" s="1" t="str">
        <f t="shared" si="139"/>
        <v>-text 440.100000000093,0 2.5 90 1161887</v>
      </c>
      <c r="U1022" s="2"/>
    </row>
    <row r="1023" spans="1:21" x14ac:dyDescent="0.35">
      <c r="A1023" s="1">
        <v>272460</v>
      </c>
      <c r="B1023" s="7">
        <v>1161907</v>
      </c>
      <c r="C1023" s="2">
        <v>268.27999999999997</v>
      </c>
      <c r="D1023" s="2">
        <v>268.714</v>
      </c>
      <c r="E1023" s="2">
        <v>0.434</v>
      </c>
      <c r="F1023" s="2">
        <v>267.608</v>
      </c>
      <c r="G1023" s="2">
        <v>268.00099999999998</v>
      </c>
      <c r="H1023" s="2">
        <v>0.39300000000000002</v>
      </c>
      <c r="I1023" s="9">
        <v>265.95100000000002</v>
      </c>
      <c r="J1023" s="2">
        <v>266.08600000000001</v>
      </c>
      <c r="K1023" s="15">
        <v>1.915</v>
      </c>
      <c r="L1023" s="2">
        <v>11.518000000000001</v>
      </c>
      <c r="N1023" s="7">
        <f t="shared" si="140"/>
        <v>460.10000000009313</v>
      </c>
      <c r="O1023" s="1">
        <v>0</v>
      </c>
      <c r="P1023" s="1" t="str">
        <f t="shared" si="141"/>
        <v>460.100000000093,0</v>
      </c>
      <c r="Q1023" s="6" t="s">
        <v>10</v>
      </c>
      <c r="R1023" s="1">
        <v>90</v>
      </c>
      <c r="S1023" s="1">
        <v>2.5</v>
      </c>
      <c r="T1023" s="1" t="str">
        <f t="shared" si="139"/>
        <v>-text 460.100000000093,0 2.5 90 1161907</v>
      </c>
      <c r="U1023" s="2"/>
    </row>
    <row r="1024" spans="1:21" x14ac:dyDescent="0.35">
      <c r="A1024" s="1">
        <v>272480</v>
      </c>
      <c r="B1024" s="7">
        <v>1161926.8999999999</v>
      </c>
      <c r="C1024" s="2">
        <v>268.26</v>
      </c>
      <c r="D1024" s="2">
        <v>268.80399999999997</v>
      </c>
      <c r="E1024" s="2">
        <v>0.54400000000000004</v>
      </c>
      <c r="F1024" s="2">
        <v>267.58800000000002</v>
      </c>
      <c r="G1024" s="2">
        <v>268.09100000000001</v>
      </c>
      <c r="H1024" s="2">
        <v>0.503</v>
      </c>
      <c r="I1024" s="9">
        <v>265.596</v>
      </c>
      <c r="J1024" s="2">
        <v>265.98399999999998</v>
      </c>
      <c r="K1024" s="15">
        <v>2.1070000000000002</v>
      </c>
      <c r="L1024" s="2">
        <v>11.586</v>
      </c>
      <c r="N1024" s="7">
        <f t="shared" si="140"/>
        <v>480</v>
      </c>
      <c r="O1024" s="1">
        <v>0</v>
      </c>
      <c r="P1024" s="1" t="str">
        <f t="shared" si="141"/>
        <v>480,0</v>
      </c>
      <c r="Q1024" s="6" t="s">
        <v>10</v>
      </c>
      <c r="R1024" s="1">
        <v>90</v>
      </c>
      <c r="S1024" s="1">
        <v>2.5</v>
      </c>
      <c r="T1024" s="1" t="str">
        <f t="shared" si="139"/>
        <v>-text 480,0 2.5 90 1161926.9</v>
      </c>
      <c r="U1024" s="2"/>
    </row>
    <row r="1025" spans="1:21" x14ac:dyDescent="0.35">
      <c r="A1025" s="1">
        <v>272500</v>
      </c>
      <c r="B1025" s="7">
        <v>1161946.8999999999</v>
      </c>
      <c r="C1025" s="2">
        <v>268.21800000000002</v>
      </c>
      <c r="D1025" s="2">
        <v>268.89400000000001</v>
      </c>
      <c r="E1025" s="2">
        <v>0.67600000000000005</v>
      </c>
      <c r="F1025" s="2">
        <v>267.54599999999999</v>
      </c>
      <c r="G1025" s="2">
        <v>268.18099999999998</v>
      </c>
      <c r="H1025" s="2">
        <v>0.63500000000000001</v>
      </c>
      <c r="I1025" s="9">
        <v>265.71300000000002</v>
      </c>
      <c r="J1025" s="2">
        <v>266.45100000000002</v>
      </c>
      <c r="K1025" s="15">
        <v>1.73</v>
      </c>
      <c r="L1025" s="2">
        <v>11.616</v>
      </c>
      <c r="N1025" s="7">
        <f>N1022+(B1025-B1022)</f>
        <v>500</v>
      </c>
      <c r="O1025" s="1">
        <v>0</v>
      </c>
      <c r="P1025" s="1" t="str">
        <f t="shared" ref="P1025" si="142">CONCATENATE(N1025,",",O1025)</f>
        <v>500,0</v>
      </c>
      <c r="Q1025" s="6" t="s">
        <v>10</v>
      </c>
      <c r="R1025" s="1">
        <v>90</v>
      </c>
      <c r="S1025" s="1">
        <v>2.5</v>
      </c>
      <c r="T1025" s="1" t="str">
        <f t="shared" si="139"/>
        <v>-text 500,0 2.5 90 1161946.9</v>
      </c>
      <c r="U1025" s="2"/>
    </row>
    <row r="1026" spans="1:21" s="10" customFormat="1" x14ac:dyDescent="0.35">
      <c r="B1026" s="11"/>
      <c r="C1026" s="9"/>
      <c r="D1026" s="9"/>
      <c r="E1026" s="9"/>
      <c r="F1026" s="9"/>
      <c r="G1026" s="9"/>
      <c r="H1026" s="9"/>
      <c r="I1026" s="9"/>
      <c r="J1026" s="9"/>
      <c r="K1026" s="16"/>
      <c r="L1026" s="9"/>
      <c r="M1026" s="9"/>
      <c r="N1026" s="11"/>
      <c r="Q1026" s="12"/>
    </row>
    <row r="1027" spans="1:21" x14ac:dyDescent="0.35">
      <c r="A1027" s="1">
        <v>272500</v>
      </c>
      <c r="B1027" s="7">
        <v>1161946.8999999999</v>
      </c>
      <c r="C1027" s="2">
        <v>268.21800000000002</v>
      </c>
      <c r="D1027" s="2">
        <v>268.89400000000001</v>
      </c>
      <c r="E1027" s="2">
        <v>0.67600000000000005</v>
      </c>
      <c r="F1027" s="2">
        <v>267.54599999999999</v>
      </c>
      <c r="G1027" s="2">
        <v>268.18099999999998</v>
      </c>
      <c r="H1027" s="2">
        <v>0.63500000000000001</v>
      </c>
      <c r="I1027" s="2">
        <v>265.71300000000002</v>
      </c>
      <c r="J1027" s="2">
        <v>266.45100000000002</v>
      </c>
      <c r="K1027" s="15">
        <v>1.73</v>
      </c>
      <c r="L1027" s="2">
        <v>11.616</v>
      </c>
      <c r="N1027" s="7">
        <v>0</v>
      </c>
      <c r="O1027" s="1">
        <v>0</v>
      </c>
      <c r="P1027" s="1" t="str">
        <f t="shared" si="141"/>
        <v>0,0</v>
      </c>
      <c r="Q1027" s="6" t="s">
        <v>10</v>
      </c>
      <c r="R1027" s="1">
        <v>90</v>
      </c>
      <c r="S1027" s="1">
        <v>2.5</v>
      </c>
      <c r="T1027" s="1" t="str">
        <f t="shared" ref="T1027:T1052" si="143">$Q1027&amp;" "&amp;$P1027&amp;" "&amp;$S1027&amp;" "&amp;$R1027&amp;" "&amp;$B1027</f>
        <v>-text 0,0 2.5 90 1161946.9</v>
      </c>
    </row>
    <row r="1028" spans="1:21" x14ac:dyDescent="0.35">
      <c r="A1028" s="1">
        <v>272520</v>
      </c>
      <c r="B1028" s="7">
        <v>1161967</v>
      </c>
      <c r="C1028" s="2">
        <v>268.18</v>
      </c>
      <c r="D1028" s="2">
        <v>268.98399999999998</v>
      </c>
      <c r="E1028" s="2">
        <v>0.80400000000000005</v>
      </c>
      <c r="F1028" s="2">
        <v>267.50799999999998</v>
      </c>
      <c r="G1028" s="2">
        <v>268.27100000000002</v>
      </c>
      <c r="H1028" s="2">
        <v>0.76300000000000001</v>
      </c>
      <c r="I1028" s="2">
        <v>266.26100000000002</v>
      </c>
      <c r="J1028" s="2">
        <v>266.726</v>
      </c>
      <c r="K1028" s="15">
        <v>1.5449999999999999</v>
      </c>
      <c r="L1028" s="2">
        <v>11.670999999999999</v>
      </c>
      <c r="N1028" s="7">
        <f t="shared" ref="N1028:N1052" si="144">N1027+(B1028-B1027)</f>
        <v>20.100000000093132</v>
      </c>
      <c r="O1028" s="1">
        <v>0</v>
      </c>
      <c r="P1028" s="1" t="str">
        <f t="shared" si="141"/>
        <v>20.1000000000931,0</v>
      </c>
      <c r="Q1028" s="6" t="s">
        <v>10</v>
      </c>
      <c r="R1028" s="1">
        <v>90</v>
      </c>
      <c r="S1028" s="1">
        <v>2.5</v>
      </c>
      <c r="T1028" s="1" t="str">
        <f t="shared" si="143"/>
        <v>-text 20.1000000000931,0 2.5 90 1161967</v>
      </c>
    </row>
    <row r="1029" spans="1:21" x14ac:dyDescent="0.35">
      <c r="A1029" s="1">
        <v>272540</v>
      </c>
      <c r="B1029" s="7">
        <v>1161987</v>
      </c>
      <c r="C1029" s="2">
        <v>268.14800000000002</v>
      </c>
      <c r="D1029" s="2">
        <v>269.07400000000001</v>
      </c>
      <c r="E1029" s="2">
        <v>0.92600000000000005</v>
      </c>
      <c r="F1029" s="2">
        <v>267.476</v>
      </c>
      <c r="G1029" s="2">
        <v>268.36099999999999</v>
      </c>
      <c r="H1029" s="2">
        <v>0.88500000000000001</v>
      </c>
      <c r="I1029" s="2">
        <v>265.80700000000002</v>
      </c>
      <c r="J1029" s="2">
        <v>266.755</v>
      </c>
      <c r="K1029" s="15">
        <v>1.6060000000000001</v>
      </c>
      <c r="L1029" s="2">
        <v>11.763999999999999</v>
      </c>
      <c r="N1029" s="7">
        <f t="shared" si="144"/>
        <v>40.100000000093132</v>
      </c>
      <c r="O1029" s="1">
        <v>0</v>
      </c>
      <c r="P1029" s="1" t="str">
        <f t="shared" si="141"/>
        <v>40.1000000000931,0</v>
      </c>
      <c r="Q1029" s="6" t="s">
        <v>10</v>
      </c>
      <c r="R1029" s="1">
        <v>90</v>
      </c>
      <c r="S1029" s="1">
        <v>2.5</v>
      </c>
      <c r="T1029" s="1" t="str">
        <f t="shared" si="143"/>
        <v>-text 40.1000000000931,0 2.5 90 1161987</v>
      </c>
    </row>
    <row r="1030" spans="1:21" x14ac:dyDescent="0.35">
      <c r="A1030" s="1">
        <v>272560</v>
      </c>
      <c r="B1030" s="7">
        <v>1162007</v>
      </c>
      <c r="C1030" s="2">
        <v>268.14999999999998</v>
      </c>
      <c r="D1030" s="2">
        <v>269.16399999999999</v>
      </c>
      <c r="E1030" s="2">
        <v>1.014</v>
      </c>
      <c r="F1030" s="2">
        <v>267.47800000000001</v>
      </c>
      <c r="G1030" s="2">
        <v>268.45100000000002</v>
      </c>
      <c r="H1030" s="2">
        <v>0.97299999999999998</v>
      </c>
      <c r="I1030" s="2">
        <v>266.42700000000002</v>
      </c>
      <c r="J1030" s="2">
        <v>267.00299999999999</v>
      </c>
      <c r="K1030" s="15">
        <v>1.4470000000000001</v>
      </c>
      <c r="L1030" s="2">
        <v>11.862</v>
      </c>
      <c r="N1030" s="7">
        <f t="shared" si="144"/>
        <v>60.100000000093132</v>
      </c>
      <c r="O1030" s="1">
        <v>0</v>
      </c>
      <c r="P1030" s="1" t="str">
        <f t="shared" si="141"/>
        <v>60.1000000000931,0</v>
      </c>
      <c r="Q1030" s="6" t="s">
        <v>10</v>
      </c>
      <c r="R1030" s="1">
        <v>90</v>
      </c>
      <c r="S1030" s="1">
        <v>2.5</v>
      </c>
      <c r="T1030" s="1" t="str">
        <f t="shared" si="143"/>
        <v>-text 60.1000000000931,0 2.5 90 1162007</v>
      </c>
    </row>
    <row r="1031" spans="1:21" x14ac:dyDescent="0.35">
      <c r="A1031" s="1">
        <v>272580</v>
      </c>
      <c r="B1031" s="7">
        <v>1162027</v>
      </c>
      <c r="C1031" s="2">
        <v>268.20499999999998</v>
      </c>
      <c r="D1031" s="2">
        <v>269.25400000000002</v>
      </c>
      <c r="E1031" s="2">
        <v>1.0489999999999999</v>
      </c>
      <c r="F1031" s="2">
        <v>267.53300000000002</v>
      </c>
      <c r="G1031" s="2">
        <v>268.541</v>
      </c>
      <c r="H1031" s="2">
        <v>1.008</v>
      </c>
      <c r="I1031" s="2">
        <v>265.82799999999997</v>
      </c>
      <c r="J1031" s="2">
        <v>266.76799999999997</v>
      </c>
      <c r="K1031" s="15">
        <v>1.772</v>
      </c>
      <c r="L1031" s="2">
        <v>11.97</v>
      </c>
      <c r="N1031" s="7">
        <f t="shared" si="144"/>
        <v>80.100000000093132</v>
      </c>
      <c r="O1031" s="1">
        <v>0</v>
      </c>
      <c r="P1031" s="1" t="str">
        <f t="shared" si="141"/>
        <v>80.1000000000931,0</v>
      </c>
      <c r="Q1031" s="6" t="s">
        <v>10</v>
      </c>
      <c r="R1031" s="1">
        <v>90</v>
      </c>
      <c r="S1031" s="1">
        <v>2.5</v>
      </c>
      <c r="T1031" s="1" t="str">
        <f t="shared" si="143"/>
        <v>-text 80.1000000000931,0 2.5 90 1162027</v>
      </c>
    </row>
    <row r="1032" spans="1:21" x14ac:dyDescent="0.35">
      <c r="A1032" s="1">
        <v>272600</v>
      </c>
      <c r="B1032" s="7">
        <v>1162047</v>
      </c>
      <c r="C1032" s="2">
        <v>268.23200000000003</v>
      </c>
      <c r="D1032" s="2">
        <v>269.34399999999999</v>
      </c>
      <c r="E1032" s="2">
        <v>1.1120000000000001</v>
      </c>
      <c r="F1032" s="2">
        <v>267.56</v>
      </c>
      <c r="G1032" s="2">
        <v>268.63099999999997</v>
      </c>
      <c r="H1032" s="2">
        <v>1.071</v>
      </c>
      <c r="I1032" s="2">
        <v>265.28899999999999</v>
      </c>
      <c r="J1032" s="2">
        <v>266.20800000000003</v>
      </c>
      <c r="K1032" s="15">
        <v>2.4220000000000002</v>
      </c>
      <c r="L1032" s="2">
        <v>12.061</v>
      </c>
      <c r="N1032" s="7">
        <f t="shared" si="144"/>
        <v>100.10000000009313</v>
      </c>
      <c r="O1032" s="1">
        <v>0</v>
      </c>
      <c r="P1032" s="1" t="str">
        <f t="shared" si="141"/>
        <v>100.100000000093,0</v>
      </c>
      <c r="Q1032" s="6" t="s">
        <v>10</v>
      </c>
      <c r="R1032" s="1">
        <v>90</v>
      </c>
      <c r="S1032" s="1">
        <v>2.5</v>
      </c>
      <c r="T1032" s="1" t="str">
        <f t="shared" si="143"/>
        <v>-text 100.100000000093,0 2.5 90 1162047</v>
      </c>
    </row>
    <row r="1033" spans="1:21" x14ac:dyDescent="0.35">
      <c r="A1033" s="1">
        <v>272620</v>
      </c>
      <c r="B1033" s="7">
        <v>1162067</v>
      </c>
      <c r="C1033" s="2">
        <v>268.221</v>
      </c>
      <c r="D1033" s="2">
        <v>269.43400000000003</v>
      </c>
      <c r="E1033" s="2">
        <v>1.212</v>
      </c>
      <c r="F1033" s="2">
        <v>267.54899999999998</v>
      </c>
      <c r="G1033" s="2">
        <v>268.721</v>
      </c>
      <c r="H1033" s="2">
        <v>1.171</v>
      </c>
      <c r="I1033" s="2">
        <v>265.31599999999997</v>
      </c>
      <c r="J1033" s="2">
        <v>265.959</v>
      </c>
      <c r="K1033" s="15">
        <v>2.7610000000000001</v>
      </c>
      <c r="L1033" s="2">
        <v>12.131</v>
      </c>
      <c r="N1033" s="7">
        <f t="shared" si="144"/>
        <v>120.10000000009313</v>
      </c>
      <c r="O1033" s="1">
        <v>0</v>
      </c>
      <c r="P1033" s="1" t="str">
        <f t="shared" si="141"/>
        <v>120.100000000093,0</v>
      </c>
      <c r="Q1033" s="6" t="s">
        <v>10</v>
      </c>
      <c r="R1033" s="1">
        <v>90</v>
      </c>
      <c r="S1033" s="1">
        <v>2.5</v>
      </c>
      <c r="T1033" s="1" t="str">
        <f t="shared" si="143"/>
        <v>-text 120.100000000093,0 2.5 90 1162067</v>
      </c>
    </row>
    <row r="1034" spans="1:21" x14ac:dyDescent="0.35">
      <c r="A1034" s="1">
        <v>272640</v>
      </c>
      <c r="B1034" s="7">
        <v>1162087</v>
      </c>
      <c r="C1034" s="2">
        <v>268.23200000000003</v>
      </c>
      <c r="D1034" s="2">
        <v>269.524</v>
      </c>
      <c r="E1034" s="2">
        <v>1.292</v>
      </c>
      <c r="F1034" s="2">
        <v>267.56</v>
      </c>
      <c r="G1034" s="2">
        <v>268.81099999999998</v>
      </c>
      <c r="H1034" s="2">
        <v>1.2509999999999999</v>
      </c>
      <c r="I1034" s="2">
        <v>265.399</v>
      </c>
      <c r="J1034" s="2">
        <v>265.97899999999998</v>
      </c>
      <c r="K1034" s="15">
        <v>2.831</v>
      </c>
      <c r="L1034" s="2">
        <v>12.202</v>
      </c>
      <c r="N1034" s="7">
        <f t="shared" si="144"/>
        <v>140.10000000009313</v>
      </c>
      <c r="O1034" s="1">
        <v>0</v>
      </c>
      <c r="P1034" s="1" t="str">
        <f t="shared" si="141"/>
        <v>140.100000000093,0</v>
      </c>
      <c r="Q1034" s="6" t="s">
        <v>10</v>
      </c>
      <c r="R1034" s="1">
        <v>90</v>
      </c>
      <c r="S1034" s="1">
        <v>2.5</v>
      </c>
      <c r="T1034" s="1" t="str">
        <f t="shared" si="143"/>
        <v>-text 140.100000000093,0 2.5 90 1162087</v>
      </c>
    </row>
    <row r="1035" spans="1:21" x14ac:dyDescent="0.35">
      <c r="A1035" s="1">
        <v>272660</v>
      </c>
      <c r="B1035" s="7">
        <v>1162107</v>
      </c>
      <c r="C1035" s="2">
        <v>268.267</v>
      </c>
      <c r="D1035" s="2">
        <v>269.61399999999998</v>
      </c>
      <c r="E1035" s="2">
        <v>1.347</v>
      </c>
      <c r="F1035" s="2">
        <v>267.59500000000003</v>
      </c>
      <c r="G1035" s="2">
        <v>268.90100000000001</v>
      </c>
      <c r="H1035" s="2">
        <v>1.306</v>
      </c>
      <c r="I1035" s="2">
        <v>265.37099999999998</v>
      </c>
      <c r="J1035" s="2">
        <v>266.012</v>
      </c>
      <c r="K1035" s="15">
        <v>2.8889999999999998</v>
      </c>
      <c r="L1035" s="2">
        <v>12.276</v>
      </c>
      <c r="N1035" s="7">
        <f t="shared" si="144"/>
        <v>160.10000000009313</v>
      </c>
      <c r="O1035" s="1">
        <v>0</v>
      </c>
      <c r="P1035" s="1" t="str">
        <f t="shared" si="141"/>
        <v>160.100000000093,0</v>
      </c>
      <c r="Q1035" s="6" t="s">
        <v>10</v>
      </c>
      <c r="R1035" s="1">
        <v>90</v>
      </c>
      <c r="S1035" s="1">
        <v>2.5</v>
      </c>
      <c r="T1035" s="1" t="str">
        <f t="shared" si="143"/>
        <v>-text 160.100000000093,0 2.5 90 1162107</v>
      </c>
    </row>
    <row r="1036" spans="1:21" x14ac:dyDescent="0.35">
      <c r="A1036" s="1">
        <v>272680</v>
      </c>
      <c r="B1036" s="7">
        <v>1162127</v>
      </c>
      <c r="C1036" s="2">
        <v>268.29899999999998</v>
      </c>
      <c r="D1036" s="2">
        <v>269.70299999999997</v>
      </c>
      <c r="E1036" s="2">
        <v>1.405</v>
      </c>
      <c r="F1036" s="2">
        <v>267.62700000000001</v>
      </c>
      <c r="G1036" s="2">
        <v>268.99</v>
      </c>
      <c r="H1036" s="2">
        <v>1.3640000000000001</v>
      </c>
      <c r="I1036" s="2">
        <v>265.363</v>
      </c>
      <c r="J1036" s="2">
        <v>265.96899999999999</v>
      </c>
      <c r="K1036" s="15">
        <v>3.0219999999999998</v>
      </c>
      <c r="L1036" s="2">
        <v>12.35</v>
      </c>
      <c r="N1036" s="7">
        <f t="shared" si="144"/>
        <v>180.10000000009313</v>
      </c>
      <c r="O1036" s="1">
        <v>0</v>
      </c>
      <c r="P1036" s="1" t="str">
        <f t="shared" si="141"/>
        <v>180.100000000093,0</v>
      </c>
      <c r="Q1036" s="6" t="s">
        <v>10</v>
      </c>
      <c r="R1036" s="1">
        <v>90</v>
      </c>
      <c r="S1036" s="1">
        <v>2.5</v>
      </c>
      <c r="T1036" s="1" t="str">
        <f t="shared" si="143"/>
        <v>-text 180.100000000093,0 2.5 90 1162127</v>
      </c>
    </row>
    <row r="1037" spans="1:21" x14ac:dyDescent="0.35">
      <c r="A1037" s="1">
        <v>272700</v>
      </c>
      <c r="B1037" s="7">
        <v>1162147</v>
      </c>
      <c r="C1037" s="2">
        <v>268.31599999999997</v>
      </c>
      <c r="D1037" s="2">
        <v>269.79300000000001</v>
      </c>
      <c r="E1037" s="2">
        <v>1.478</v>
      </c>
      <c r="F1037" s="2">
        <v>267.64400000000001</v>
      </c>
      <c r="G1037" s="2">
        <v>269.08</v>
      </c>
      <c r="H1037" s="2">
        <v>1.4370000000000001</v>
      </c>
      <c r="I1037" s="2">
        <v>265.44499999999999</v>
      </c>
      <c r="J1037" s="2">
        <v>265.815</v>
      </c>
      <c r="K1037" s="15">
        <v>3.2650000000000001</v>
      </c>
      <c r="L1037" s="2">
        <v>12.422000000000001</v>
      </c>
      <c r="N1037" s="7">
        <f t="shared" si="144"/>
        <v>200.10000000009313</v>
      </c>
      <c r="O1037" s="1">
        <v>0</v>
      </c>
      <c r="P1037" s="1" t="str">
        <f t="shared" si="141"/>
        <v>200.100000000093,0</v>
      </c>
      <c r="Q1037" s="6" t="s">
        <v>10</v>
      </c>
      <c r="R1037" s="1">
        <v>90</v>
      </c>
      <c r="S1037" s="1">
        <v>2.5</v>
      </c>
      <c r="T1037" s="1" t="str">
        <f t="shared" si="143"/>
        <v>-text 200.100000000093,0 2.5 90 1162147</v>
      </c>
    </row>
    <row r="1038" spans="1:21" x14ac:dyDescent="0.35">
      <c r="A1038" s="1">
        <v>272720</v>
      </c>
      <c r="B1038" s="7">
        <v>1162166.8999999999</v>
      </c>
      <c r="C1038" s="2">
        <v>268.33499999999998</v>
      </c>
      <c r="D1038" s="2">
        <v>269.88299999999998</v>
      </c>
      <c r="E1038" s="2">
        <v>1.5489999999999999</v>
      </c>
      <c r="F1038" s="2">
        <v>267.66300000000001</v>
      </c>
      <c r="G1038" s="2">
        <v>269.17</v>
      </c>
      <c r="H1038" s="2">
        <v>1.508</v>
      </c>
      <c r="I1038" s="2">
        <v>265.47399999999999</v>
      </c>
      <c r="J1038" s="2">
        <v>265.64600000000002</v>
      </c>
      <c r="K1038" s="15">
        <v>3.5249999999999999</v>
      </c>
      <c r="L1038" s="2">
        <v>12.493</v>
      </c>
      <c r="N1038" s="7">
        <f t="shared" si="144"/>
        <v>220</v>
      </c>
      <c r="O1038" s="1">
        <v>0</v>
      </c>
      <c r="P1038" s="1" t="str">
        <f t="shared" si="141"/>
        <v>220,0</v>
      </c>
      <c r="Q1038" s="6" t="s">
        <v>10</v>
      </c>
      <c r="R1038" s="1">
        <v>90</v>
      </c>
      <c r="S1038" s="1">
        <v>2.5</v>
      </c>
      <c r="T1038" s="1" t="str">
        <f t="shared" si="143"/>
        <v>-text 220,0 2.5 90 1162166.9</v>
      </c>
    </row>
    <row r="1039" spans="1:21" x14ac:dyDescent="0.35">
      <c r="A1039" s="1">
        <v>272740</v>
      </c>
      <c r="B1039" s="7">
        <v>1162186.8999999999</v>
      </c>
      <c r="C1039" s="2">
        <v>268.35899999999998</v>
      </c>
      <c r="D1039" s="2">
        <v>269.97300000000001</v>
      </c>
      <c r="E1039" s="2">
        <v>1.6140000000000001</v>
      </c>
      <c r="F1039" s="2">
        <v>267.68700000000001</v>
      </c>
      <c r="G1039" s="2">
        <v>269.26</v>
      </c>
      <c r="H1039" s="2">
        <v>1.573</v>
      </c>
      <c r="I1039" s="2">
        <v>265.36399999999998</v>
      </c>
      <c r="J1039" s="2">
        <v>265.404</v>
      </c>
      <c r="K1039" s="15">
        <v>3.8559999999999999</v>
      </c>
      <c r="L1039" s="2">
        <v>12.548</v>
      </c>
      <c r="N1039" s="7">
        <f t="shared" si="144"/>
        <v>240</v>
      </c>
      <c r="O1039" s="1">
        <v>0</v>
      </c>
      <c r="P1039" s="1" t="str">
        <f t="shared" si="141"/>
        <v>240,0</v>
      </c>
      <c r="Q1039" s="6" t="s">
        <v>10</v>
      </c>
      <c r="R1039" s="1">
        <v>90</v>
      </c>
      <c r="S1039" s="1">
        <v>2.5</v>
      </c>
      <c r="T1039" s="1" t="str">
        <f t="shared" si="143"/>
        <v>-text 240,0 2.5 90 1162186.9</v>
      </c>
    </row>
    <row r="1040" spans="1:21" x14ac:dyDescent="0.35">
      <c r="A1040" s="1">
        <v>272760</v>
      </c>
      <c r="B1040" s="7">
        <v>1162207</v>
      </c>
      <c r="C1040" s="2">
        <v>268.38900000000001</v>
      </c>
      <c r="D1040" s="2">
        <v>270.06299999999999</v>
      </c>
      <c r="E1040" s="2">
        <v>1.6739999999999999</v>
      </c>
      <c r="F1040" s="2">
        <v>267.71699999999998</v>
      </c>
      <c r="G1040" s="2">
        <v>269.35000000000002</v>
      </c>
      <c r="H1040" s="2">
        <v>1.633</v>
      </c>
      <c r="I1040" s="2">
        <v>265.24799999999999</v>
      </c>
      <c r="J1040" s="2">
        <v>265.34699999999998</v>
      </c>
      <c r="K1040" s="15">
        <v>4.0030000000000001</v>
      </c>
      <c r="L1040" s="2">
        <v>12.606999999999999</v>
      </c>
      <c r="N1040" s="7">
        <f t="shared" si="144"/>
        <v>260.10000000009313</v>
      </c>
      <c r="O1040" s="1">
        <v>0</v>
      </c>
      <c r="P1040" s="1" t="str">
        <f t="shared" si="141"/>
        <v>260.100000000093,0</v>
      </c>
      <c r="Q1040" s="6" t="s">
        <v>10</v>
      </c>
      <c r="R1040" s="1">
        <v>90</v>
      </c>
      <c r="S1040" s="1">
        <v>2.5</v>
      </c>
      <c r="T1040" s="1" t="str">
        <f t="shared" si="143"/>
        <v>-text 260.100000000093,0 2.5 90 1162207</v>
      </c>
    </row>
    <row r="1041" spans="1:20" x14ac:dyDescent="0.35">
      <c r="A1041" s="1">
        <v>272780</v>
      </c>
      <c r="B1041" s="7">
        <v>1162227</v>
      </c>
      <c r="C1041" s="2">
        <v>268.44299999999998</v>
      </c>
      <c r="D1041" s="2">
        <v>270.15300000000002</v>
      </c>
      <c r="E1041" s="2">
        <v>1.71</v>
      </c>
      <c r="F1041" s="2">
        <v>267.77100000000002</v>
      </c>
      <c r="G1041" s="2">
        <v>269.44</v>
      </c>
      <c r="H1041" s="2">
        <v>1.669</v>
      </c>
      <c r="I1041" s="2">
        <v>265.43700000000001</v>
      </c>
      <c r="J1041" s="2">
        <v>265.39</v>
      </c>
      <c r="K1041" s="15">
        <v>4.05</v>
      </c>
      <c r="L1041" s="2">
        <v>12.683</v>
      </c>
      <c r="N1041" s="7">
        <f t="shared" si="144"/>
        <v>280.10000000009313</v>
      </c>
      <c r="O1041" s="1">
        <v>0</v>
      </c>
      <c r="P1041" s="1" t="str">
        <f t="shared" si="141"/>
        <v>280.100000000093,0</v>
      </c>
      <c r="Q1041" s="6" t="s">
        <v>10</v>
      </c>
      <c r="R1041" s="1">
        <v>90</v>
      </c>
      <c r="S1041" s="1">
        <v>2.5</v>
      </c>
      <c r="T1041" s="1" t="str">
        <f t="shared" si="143"/>
        <v>-text 280.100000000093,0 2.5 90 1162227</v>
      </c>
    </row>
    <row r="1042" spans="1:20" x14ac:dyDescent="0.35">
      <c r="A1042" s="1">
        <v>272800</v>
      </c>
      <c r="B1042" s="7">
        <v>1162247</v>
      </c>
      <c r="C1042" s="2">
        <v>268.49799999999999</v>
      </c>
      <c r="D1042" s="2">
        <v>270.24299999999999</v>
      </c>
      <c r="E1042" s="2">
        <v>1.7450000000000001</v>
      </c>
      <c r="F1042" s="2">
        <v>267.82600000000002</v>
      </c>
      <c r="G1042" s="2">
        <v>269.52999999999997</v>
      </c>
      <c r="H1042" s="2">
        <v>1.704</v>
      </c>
      <c r="I1042" s="2">
        <v>265.28800000000001</v>
      </c>
      <c r="J1042" s="2">
        <v>265.65699999999998</v>
      </c>
      <c r="K1042" s="15">
        <v>3.8740000000000001</v>
      </c>
      <c r="L1042" s="2">
        <v>12.76</v>
      </c>
      <c r="N1042" s="7">
        <f t="shared" si="144"/>
        <v>300.10000000009313</v>
      </c>
      <c r="O1042" s="1">
        <v>0</v>
      </c>
      <c r="P1042" s="1" t="str">
        <f t="shared" si="141"/>
        <v>300.100000000093,0</v>
      </c>
      <c r="Q1042" s="6" t="s">
        <v>10</v>
      </c>
      <c r="R1042" s="1">
        <v>90</v>
      </c>
      <c r="S1042" s="1">
        <v>2.5</v>
      </c>
      <c r="T1042" s="1" t="str">
        <f t="shared" si="143"/>
        <v>-text 300.100000000093,0 2.5 90 1162247</v>
      </c>
    </row>
    <row r="1043" spans="1:20" x14ac:dyDescent="0.35">
      <c r="A1043" s="1">
        <v>272820</v>
      </c>
      <c r="B1043" s="7">
        <v>1162266.8999999999</v>
      </c>
      <c r="C1043" s="2">
        <v>268.488</v>
      </c>
      <c r="D1043" s="2">
        <v>270.33300000000003</v>
      </c>
      <c r="E1043" s="2">
        <v>1.8440000000000001</v>
      </c>
      <c r="F1043" s="2">
        <v>267.81599999999997</v>
      </c>
      <c r="G1043" s="2">
        <v>269.62</v>
      </c>
      <c r="H1043" s="2">
        <v>1.8029999999999999</v>
      </c>
      <c r="I1043" s="2">
        <v>265.447</v>
      </c>
      <c r="J1043" s="2">
        <v>265.61200000000002</v>
      </c>
      <c r="K1043" s="15">
        <v>4.008</v>
      </c>
      <c r="L1043" s="2">
        <v>12.763999999999999</v>
      </c>
      <c r="N1043" s="7">
        <f t="shared" si="144"/>
        <v>320</v>
      </c>
      <c r="O1043" s="1">
        <v>0</v>
      </c>
      <c r="P1043" s="1" t="str">
        <f t="shared" si="141"/>
        <v>320,0</v>
      </c>
      <c r="Q1043" s="6" t="s">
        <v>10</v>
      </c>
      <c r="R1043" s="1">
        <v>90</v>
      </c>
      <c r="S1043" s="1">
        <v>2.5</v>
      </c>
      <c r="T1043" s="1" t="str">
        <f t="shared" si="143"/>
        <v>-text 320,0 2.5 90 1162266.9</v>
      </c>
    </row>
    <row r="1044" spans="1:20" x14ac:dyDescent="0.35">
      <c r="A1044" s="1">
        <v>272840</v>
      </c>
      <c r="B1044" s="7">
        <v>1162286.8999999999</v>
      </c>
      <c r="C1044" s="2">
        <v>268.47199999999998</v>
      </c>
      <c r="D1044" s="2">
        <v>270.423</v>
      </c>
      <c r="E1044" s="2">
        <v>1.9510000000000001</v>
      </c>
      <c r="F1044" s="2">
        <v>267.8</v>
      </c>
      <c r="G1044" s="2">
        <v>269.70999999999998</v>
      </c>
      <c r="H1044" s="2">
        <v>1.91</v>
      </c>
      <c r="I1044" s="2">
        <v>265.346</v>
      </c>
      <c r="J1044" s="2">
        <v>265.78399999999999</v>
      </c>
      <c r="K1044" s="15">
        <v>3.9249999999999998</v>
      </c>
      <c r="L1044" s="2">
        <v>12.76</v>
      </c>
      <c r="N1044" s="7">
        <f t="shared" si="144"/>
        <v>340</v>
      </c>
      <c r="O1044" s="1">
        <v>0</v>
      </c>
      <c r="P1044" s="1" t="str">
        <f t="shared" si="141"/>
        <v>340,0</v>
      </c>
      <c r="Q1044" s="6" t="s">
        <v>10</v>
      </c>
      <c r="R1044" s="1">
        <v>90</v>
      </c>
      <c r="S1044" s="1">
        <v>2.5</v>
      </c>
      <c r="T1044" s="1" t="str">
        <f t="shared" si="143"/>
        <v>-text 340,0 2.5 90 1162286.9</v>
      </c>
    </row>
    <row r="1045" spans="1:20" x14ac:dyDescent="0.35">
      <c r="A1045" s="1">
        <v>272860</v>
      </c>
      <c r="B1045" s="7">
        <v>1162306.8</v>
      </c>
      <c r="C1045" s="2">
        <v>268.52699999999999</v>
      </c>
      <c r="D1045" s="2">
        <v>270.512</v>
      </c>
      <c r="E1045" s="2">
        <v>1.9850000000000001</v>
      </c>
      <c r="F1045" s="2">
        <v>267.85500000000002</v>
      </c>
      <c r="G1045" s="2">
        <v>269.79899999999998</v>
      </c>
      <c r="H1045" s="2">
        <v>1.944</v>
      </c>
      <c r="I1045" s="2">
        <v>265.32499999999999</v>
      </c>
      <c r="J1045" s="2">
        <v>265.81599999999997</v>
      </c>
      <c r="K1045" s="15">
        <v>3.9830000000000001</v>
      </c>
      <c r="L1045" s="2">
        <v>12.597</v>
      </c>
      <c r="N1045" s="7">
        <f t="shared" si="144"/>
        <v>359.9000000001397</v>
      </c>
      <c r="O1045" s="1">
        <v>0</v>
      </c>
      <c r="P1045" s="1" t="str">
        <f t="shared" si="141"/>
        <v>359.90000000014,0</v>
      </c>
      <c r="Q1045" s="6" t="s">
        <v>10</v>
      </c>
      <c r="R1045" s="1">
        <v>90</v>
      </c>
      <c r="S1045" s="1">
        <v>2.5</v>
      </c>
      <c r="T1045" s="1" t="str">
        <f t="shared" si="143"/>
        <v>-text 359.90000000014,0 2.5 90 1162306.8</v>
      </c>
    </row>
    <row r="1046" spans="1:20" x14ac:dyDescent="0.35">
      <c r="A1046" s="1">
        <v>272880</v>
      </c>
      <c r="B1046" s="7">
        <v>1162326.7</v>
      </c>
      <c r="C1046" s="2">
        <v>268.56200000000001</v>
      </c>
      <c r="D1046" s="2">
        <v>270.60199999999998</v>
      </c>
      <c r="E1046" s="2">
        <v>2.0390000000000001</v>
      </c>
      <c r="F1046" s="2">
        <v>267.89</v>
      </c>
      <c r="G1046" s="2">
        <v>269.88900000000001</v>
      </c>
      <c r="H1046" s="2">
        <v>1.998</v>
      </c>
      <c r="I1046" s="2">
        <v>265.40699999999998</v>
      </c>
      <c r="J1046" s="2">
        <v>265.81299999999999</v>
      </c>
      <c r="K1046" s="15">
        <v>4.0750000000000002</v>
      </c>
      <c r="L1046" s="2">
        <v>12.428000000000001</v>
      </c>
      <c r="N1046" s="7">
        <f t="shared" si="144"/>
        <v>379.80000000004657</v>
      </c>
      <c r="O1046" s="1">
        <v>0</v>
      </c>
      <c r="P1046" s="1" t="str">
        <f t="shared" si="141"/>
        <v>379.800000000047,0</v>
      </c>
      <c r="Q1046" s="6" t="s">
        <v>10</v>
      </c>
      <c r="R1046" s="1">
        <v>90</v>
      </c>
      <c r="S1046" s="1">
        <v>2.5</v>
      </c>
      <c r="T1046" s="1" t="str">
        <f t="shared" si="143"/>
        <v>-text 379.800000000047,0 2.5 90 1162326.7</v>
      </c>
    </row>
    <row r="1047" spans="1:20" x14ac:dyDescent="0.35">
      <c r="A1047" s="1">
        <v>272900</v>
      </c>
      <c r="B1047" s="7">
        <v>1162346.6000000001</v>
      </c>
      <c r="C1047" s="2">
        <v>268.56599999999997</v>
      </c>
      <c r="D1047" s="2">
        <v>270.69099999999997</v>
      </c>
      <c r="E1047" s="2">
        <v>2.125</v>
      </c>
      <c r="F1047" s="2">
        <v>267.89400000000001</v>
      </c>
      <c r="G1047" s="2">
        <v>269.97800000000001</v>
      </c>
      <c r="H1047" s="2">
        <v>2.0840000000000001</v>
      </c>
      <c r="I1047" s="2">
        <v>265.56700000000001</v>
      </c>
      <c r="J1047" s="2">
        <v>265.77100000000002</v>
      </c>
      <c r="K1047" s="15">
        <v>4.2080000000000002</v>
      </c>
      <c r="L1047" s="2">
        <v>12.327</v>
      </c>
      <c r="N1047" s="7">
        <f t="shared" si="144"/>
        <v>399.70000000018626</v>
      </c>
      <c r="O1047" s="1">
        <v>0</v>
      </c>
      <c r="P1047" s="1" t="str">
        <f t="shared" si="141"/>
        <v>399.700000000186,0</v>
      </c>
      <c r="Q1047" s="6" t="s">
        <v>10</v>
      </c>
      <c r="R1047" s="1">
        <v>90</v>
      </c>
      <c r="S1047" s="1">
        <v>2.5</v>
      </c>
      <c r="T1047" s="1" t="str">
        <f t="shared" si="143"/>
        <v>-text 399.700000000186,0 2.5 90 1162346.6</v>
      </c>
    </row>
    <row r="1048" spans="1:20" x14ac:dyDescent="0.35">
      <c r="A1048" s="1">
        <v>272920</v>
      </c>
      <c r="B1048" s="7">
        <v>1162366.6000000001</v>
      </c>
      <c r="C1048" s="2">
        <v>268.65100000000001</v>
      </c>
      <c r="D1048" s="2">
        <v>270.78100000000001</v>
      </c>
      <c r="E1048" s="2">
        <v>2.13</v>
      </c>
      <c r="F1048" s="2">
        <v>267.97899999999998</v>
      </c>
      <c r="G1048" s="2">
        <v>270.06799999999998</v>
      </c>
      <c r="H1048" s="2">
        <v>2.089</v>
      </c>
      <c r="I1048" s="2">
        <v>265.51400000000001</v>
      </c>
      <c r="J1048" s="2">
        <v>265.786</v>
      </c>
      <c r="K1048" s="15">
        <v>4.282</v>
      </c>
      <c r="L1048" s="2">
        <v>12.317</v>
      </c>
      <c r="N1048" s="7">
        <f t="shared" si="144"/>
        <v>419.70000000018626</v>
      </c>
      <c r="O1048" s="1">
        <v>0</v>
      </c>
      <c r="P1048" s="1" t="str">
        <f t="shared" si="141"/>
        <v>419.700000000186,0</v>
      </c>
      <c r="Q1048" s="6" t="s">
        <v>10</v>
      </c>
      <c r="R1048" s="1">
        <v>90</v>
      </c>
      <c r="S1048" s="1">
        <v>2.5</v>
      </c>
      <c r="T1048" s="1" t="str">
        <f t="shared" si="143"/>
        <v>-text 419.700000000186,0 2.5 90 1162366.6</v>
      </c>
    </row>
    <row r="1049" spans="1:20" x14ac:dyDescent="0.35">
      <c r="A1049" s="1">
        <v>272940</v>
      </c>
      <c r="B1049" s="7">
        <v>1162386.5</v>
      </c>
      <c r="C1049" s="2">
        <v>268.69900000000001</v>
      </c>
      <c r="D1049" s="2">
        <v>270.87099999999998</v>
      </c>
      <c r="E1049" s="2">
        <v>2.1720000000000002</v>
      </c>
      <c r="F1049" s="2">
        <v>268.02699999999999</v>
      </c>
      <c r="G1049" s="2">
        <v>270.15800000000002</v>
      </c>
      <c r="H1049" s="2">
        <v>2.1309999999999998</v>
      </c>
      <c r="I1049" s="2">
        <v>265.47000000000003</v>
      </c>
      <c r="J1049" s="2">
        <v>265.923</v>
      </c>
      <c r="K1049" s="15">
        <v>4.2350000000000003</v>
      </c>
      <c r="L1049" s="2">
        <v>12.435</v>
      </c>
      <c r="N1049" s="7">
        <f t="shared" si="144"/>
        <v>439.60000000009313</v>
      </c>
      <c r="O1049" s="1">
        <v>0</v>
      </c>
      <c r="P1049" s="1" t="str">
        <f t="shared" si="141"/>
        <v>439.600000000093,0</v>
      </c>
      <c r="Q1049" s="6" t="s">
        <v>10</v>
      </c>
      <c r="R1049" s="1">
        <v>90</v>
      </c>
      <c r="S1049" s="1">
        <v>2.5</v>
      </c>
      <c r="T1049" s="1" t="str">
        <f t="shared" si="143"/>
        <v>-text 439.600000000093,0 2.5 90 1162386.5</v>
      </c>
    </row>
    <row r="1050" spans="1:20" x14ac:dyDescent="0.35">
      <c r="A1050" s="1">
        <v>272960</v>
      </c>
      <c r="B1050" s="7">
        <v>1162406.5</v>
      </c>
      <c r="C1050" s="2">
        <v>268.774</v>
      </c>
      <c r="D1050" s="2">
        <v>270.95999999999998</v>
      </c>
      <c r="E1050" s="2">
        <v>2.1869999999999998</v>
      </c>
      <c r="F1050" s="2">
        <v>268.10199999999998</v>
      </c>
      <c r="G1050" s="2">
        <v>270.24700000000001</v>
      </c>
      <c r="H1050" s="2">
        <v>2.1459999999999999</v>
      </c>
      <c r="I1050" s="2">
        <v>265.565</v>
      </c>
      <c r="J1050" s="2">
        <v>265.90499999999997</v>
      </c>
      <c r="K1050" s="15">
        <v>4.3419999999999996</v>
      </c>
      <c r="L1050" s="2">
        <v>12.677</v>
      </c>
      <c r="N1050" s="7">
        <f t="shared" si="144"/>
        <v>459.60000000009313</v>
      </c>
      <c r="O1050" s="1">
        <v>0</v>
      </c>
      <c r="P1050" s="1" t="str">
        <f t="shared" si="141"/>
        <v>459.600000000093,0</v>
      </c>
      <c r="Q1050" s="6" t="s">
        <v>10</v>
      </c>
      <c r="R1050" s="1">
        <v>90</v>
      </c>
      <c r="S1050" s="1">
        <v>2.5</v>
      </c>
      <c r="T1050" s="1" t="str">
        <f t="shared" si="143"/>
        <v>-text 459.600000000093,0 2.5 90 1162406.5</v>
      </c>
    </row>
    <row r="1051" spans="1:20" x14ac:dyDescent="0.35">
      <c r="A1051" s="1">
        <v>272980</v>
      </c>
      <c r="B1051" s="7">
        <v>1162426.3</v>
      </c>
      <c r="C1051" s="2">
        <v>268.887</v>
      </c>
      <c r="D1051" s="2">
        <v>271.05</v>
      </c>
      <c r="E1051" s="2">
        <v>2.1619999999999999</v>
      </c>
      <c r="F1051" s="2">
        <v>268.21499999999997</v>
      </c>
      <c r="G1051" s="2">
        <v>270.33699999999999</v>
      </c>
      <c r="H1051" s="2">
        <v>2.121</v>
      </c>
      <c r="I1051" s="2">
        <v>265.584</v>
      </c>
      <c r="J1051" s="2">
        <v>265.702</v>
      </c>
      <c r="K1051" s="15">
        <v>4.6349999999999998</v>
      </c>
      <c r="L1051" s="2">
        <v>13.032999999999999</v>
      </c>
      <c r="N1051" s="7">
        <f t="shared" si="144"/>
        <v>479.4000000001397</v>
      </c>
      <c r="O1051" s="1">
        <v>0</v>
      </c>
      <c r="P1051" s="1" t="str">
        <f t="shared" si="141"/>
        <v>479.40000000014,0</v>
      </c>
      <c r="Q1051" s="6" t="s">
        <v>10</v>
      </c>
      <c r="R1051" s="1">
        <v>90</v>
      </c>
      <c r="S1051" s="1">
        <v>2.5</v>
      </c>
      <c r="T1051" s="1" t="str">
        <f t="shared" si="143"/>
        <v>-text 479.40000000014,0 2.5 90 1162426.3</v>
      </c>
    </row>
    <row r="1052" spans="1:20" x14ac:dyDescent="0.35">
      <c r="A1052" s="1">
        <v>272985.93505819998</v>
      </c>
      <c r="B1052" s="7">
        <v>1162432.3</v>
      </c>
      <c r="C1052" s="2">
        <v>268.91800000000001</v>
      </c>
      <c r="D1052" s="2">
        <v>271.077</v>
      </c>
      <c r="E1052" s="2">
        <v>2.1589999999999998</v>
      </c>
      <c r="F1052" s="2">
        <v>268.24599999999998</v>
      </c>
      <c r="G1052" s="2">
        <v>270.36399999999998</v>
      </c>
      <c r="H1052" s="2">
        <v>2.1179999999999999</v>
      </c>
      <c r="I1052" s="2">
        <v>265.55</v>
      </c>
      <c r="J1052" s="2">
        <v>265.63900000000001</v>
      </c>
      <c r="K1052" s="15">
        <v>4.7249999999999996</v>
      </c>
      <c r="L1052" s="2">
        <v>13.134</v>
      </c>
      <c r="N1052" s="7">
        <f t="shared" si="144"/>
        <v>485.4000000001397</v>
      </c>
      <c r="O1052" s="1">
        <v>0</v>
      </c>
      <c r="P1052" s="1" t="str">
        <f t="shared" si="141"/>
        <v>485.40000000014,0</v>
      </c>
      <c r="Q1052" s="6" t="s">
        <v>10</v>
      </c>
      <c r="R1052" s="1">
        <v>90</v>
      </c>
      <c r="S1052" s="1">
        <v>2.5</v>
      </c>
      <c r="T1052" s="1" t="str">
        <f t="shared" si="143"/>
        <v>-text 485.40000000014,0 2.5 90 1162432.3</v>
      </c>
    </row>
    <row r="1053" spans="1:20" s="10" customFormat="1" x14ac:dyDescent="0.35">
      <c r="B1053" s="11"/>
      <c r="C1053" s="9"/>
      <c r="D1053" s="9"/>
      <c r="E1053" s="9"/>
      <c r="F1053" s="9"/>
      <c r="G1053" s="9"/>
      <c r="H1053" s="9"/>
      <c r="I1053" s="9"/>
      <c r="J1053" s="9"/>
      <c r="K1053" s="16"/>
      <c r="L1053" s="9"/>
      <c r="M1053" s="9"/>
      <c r="N1053" s="11"/>
      <c r="Q1053" s="12"/>
    </row>
    <row r="1054" spans="1:20" x14ac:dyDescent="0.35">
      <c r="A1054" s="1">
        <v>273000</v>
      </c>
      <c r="B1054" s="7">
        <v>1162432.3</v>
      </c>
      <c r="C1054" s="2">
        <v>268.91800000000001</v>
      </c>
      <c r="D1054" s="2">
        <v>271.077</v>
      </c>
      <c r="E1054" s="2">
        <v>2.1589999999999998</v>
      </c>
      <c r="F1054" s="2">
        <v>268.24599999999998</v>
      </c>
      <c r="G1054" s="2">
        <v>270.36399999999998</v>
      </c>
      <c r="H1054" s="2">
        <v>2.1179999999999999</v>
      </c>
      <c r="I1054" s="2">
        <v>265.55</v>
      </c>
      <c r="J1054" s="2">
        <v>265.63900000000001</v>
      </c>
      <c r="K1054" s="15">
        <v>4.7249999999999996</v>
      </c>
      <c r="L1054" s="2">
        <v>13.134</v>
      </c>
      <c r="N1054" s="7">
        <v>0</v>
      </c>
      <c r="O1054" s="1">
        <v>0</v>
      </c>
      <c r="P1054" s="1" t="str">
        <f t="shared" si="141"/>
        <v>0,0</v>
      </c>
      <c r="Q1054" s="6" t="s">
        <v>10</v>
      </c>
      <c r="R1054" s="1">
        <v>90</v>
      </c>
      <c r="S1054" s="1">
        <v>2.5</v>
      </c>
      <c r="T1054" s="1" t="str">
        <f t="shared" ref="T1054:T1079" si="145">$Q1054&amp;" "&amp;$P1054&amp;" "&amp;$S1054&amp;" "&amp;$R1054&amp;" "&amp;$B1054</f>
        <v>-text 0,0 2.5 90 1162432.3</v>
      </c>
    </row>
    <row r="1055" spans="1:20" x14ac:dyDescent="0.35">
      <c r="A1055" s="1">
        <v>273020</v>
      </c>
      <c r="B1055" s="7">
        <v>1162452.2</v>
      </c>
      <c r="C1055" s="2">
        <v>269.01799999999997</v>
      </c>
      <c r="D1055" s="2">
        <v>271.166</v>
      </c>
      <c r="E1055" s="2">
        <v>2.1480000000000001</v>
      </c>
      <c r="F1055" s="2">
        <v>268.346</v>
      </c>
      <c r="G1055" s="2">
        <v>270.45299999999997</v>
      </c>
      <c r="H1055" s="2">
        <v>2.1070000000000002</v>
      </c>
      <c r="I1055" s="2">
        <v>265.39800000000002</v>
      </c>
      <c r="J1055" s="2">
        <v>265.43200000000002</v>
      </c>
      <c r="K1055" s="15">
        <v>5.0209999999999999</v>
      </c>
      <c r="L1055" s="2">
        <v>13.615</v>
      </c>
      <c r="N1055" s="7">
        <f t="shared" ref="N1055:N1078" si="146">N1054+(B1055-B1054)</f>
        <v>19.899999999906868</v>
      </c>
      <c r="O1055" s="1">
        <v>0</v>
      </c>
      <c r="P1055" s="1" t="str">
        <f t="shared" si="141"/>
        <v>19.8999999999069,0</v>
      </c>
      <c r="Q1055" s="6" t="s">
        <v>10</v>
      </c>
      <c r="R1055" s="1">
        <v>90</v>
      </c>
      <c r="S1055" s="1">
        <v>2.5</v>
      </c>
      <c r="T1055" s="1" t="str">
        <f t="shared" si="145"/>
        <v>-text 19.8999999999069,0 2.5 90 1162452.2</v>
      </c>
    </row>
    <row r="1056" spans="1:20" x14ac:dyDescent="0.35">
      <c r="A1056" s="1">
        <v>273040</v>
      </c>
      <c r="B1056" s="7">
        <v>1162472.2</v>
      </c>
      <c r="C1056" s="2">
        <v>269.10899999999998</v>
      </c>
      <c r="D1056" s="2">
        <v>271.25599999999997</v>
      </c>
      <c r="E1056" s="2">
        <v>2.1469999999999998</v>
      </c>
      <c r="F1056" s="2">
        <v>268.43700000000001</v>
      </c>
      <c r="G1056" s="2">
        <v>270.54300000000001</v>
      </c>
      <c r="H1056" s="2">
        <v>2.1059999999999999</v>
      </c>
      <c r="I1056" s="2">
        <v>265.392</v>
      </c>
      <c r="J1056" s="2">
        <v>265.48099999999999</v>
      </c>
      <c r="K1056" s="15">
        <v>5.0620000000000003</v>
      </c>
      <c r="L1056" s="2">
        <v>14.170999999999999</v>
      </c>
      <c r="N1056" s="7">
        <f t="shared" si="146"/>
        <v>39.899999999906868</v>
      </c>
      <c r="O1056" s="1">
        <v>0</v>
      </c>
      <c r="P1056" s="1" t="str">
        <f t="shared" si="141"/>
        <v>39.8999999999069,0</v>
      </c>
      <c r="Q1056" s="6" t="s">
        <v>10</v>
      </c>
      <c r="R1056" s="1">
        <v>90</v>
      </c>
      <c r="S1056" s="1">
        <v>2.5</v>
      </c>
      <c r="T1056" s="1" t="str">
        <f t="shared" si="145"/>
        <v>-text 39.8999999999069,0 2.5 90 1162472.2</v>
      </c>
    </row>
    <row r="1057" spans="1:20" x14ac:dyDescent="0.35">
      <c r="A1057" s="1">
        <v>273060</v>
      </c>
      <c r="B1057" s="7">
        <v>1162492.1000000001</v>
      </c>
      <c r="C1057" s="2">
        <v>269.19200000000001</v>
      </c>
      <c r="D1057" s="2">
        <v>271.34500000000003</v>
      </c>
      <c r="E1057" s="2">
        <v>2.1539999999999999</v>
      </c>
      <c r="F1057" s="2">
        <v>268.52</v>
      </c>
      <c r="G1057" s="2">
        <v>270.63200000000001</v>
      </c>
      <c r="H1057" s="2">
        <v>2.113</v>
      </c>
      <c r="I1057" s="2">
        <v>265.476</v>
      </c>
      <c r="J1057" s="2">
        <v>265.31799999999998</v>
      </c>
      <c r="K1057" s="15">
        <v>5.3140000000000001</v>
      </c>
      <c r="L1057" s="2">
        <v>14.75</v>
      </c>
      <c r="N1057" s="7">
        <f t="shared" si="146"/>
        <v>59.800000000046566</v>
      </c>
      <c r="O1057" s="1">
        <v>0</v>
      </c>
      <c r="P1057" s="1" t="str">
        <f t="shared" si="141"/>
        <v>59.8000000000466,0</v>
      </c>
      <c r="Q1057" s="6" t="s">
        <v>10</v>
      </c>
      <c r="R1057" s="1">
        <v>90</v>
      </c>
      <c r="S1057" s="1">
        <v>2.5</v>
      </c>
      <c r="T1057" s="1" t="str">
        <f t="shared" si="145"/>
        <v>-text 59.8000000000466,0 2.5 90 1162492.1</v>
      </c>
    </row>
    <row r="1058" spans="1:20" x14ac:dyDescent="0.35">
      <c r="A1058" s="1">
        <v>273080</v>
      </c>
      <c r="B1058" s="7">
        <v>1162511.8999999999</v>
      </c>
      <c r="C1058" s="2">
        <v>269.267</v>
      </c>
      <c r="D1058" s="2">
        <v>271.435</v>
      </c>
      <c r="E1058" s="2">
        <v>2.1680000000000001</v>
      </c>
      <c r="F1058" s="2">
        <v>268.59500000000003</v>
      </c>
      <c r="G1058" s="2">
        <v>270.72199999999998</v>
      </c>
      <c r="H1058" s="2">
        <v>2.1269999999999998</v>
      </c>
      <c r="I1058" s="2">
        <v>265.28500000000003</v>
      </c>
      <c r="J1058" s="2">
        <v>265.60599999999999</v>
      </c>
      <c r="K1058" s="15">
        <v>5.1159999999999997</v>
      </c>
      <c r="L1058" s="2">
        <v>15.336</v>
      </c>
      <c r="N1058" s="7">
        <f t="shared" si="146"/>
        <v>79.599999999860302</v>
      </c>
      <c r="O1058" s="1">
        <v>0</v>
      </c>
      <c r="P1058" s="1" t="str">
        <f t="shared" si="141"/>
        <v>79.5999999998603,0</v>
      </c>
      <c r="Q1058" s="6" t="s">
        <v>10</v>
      </c>
      <c r="R1058" s="1">
        <v>90</v>
      </c>
      <c r="S1058" s="1">
        <v>2.5</v>
      </c>
      <c r="T1058" s="1" t="str">
        <f t="shared" si="145"/>
        <v>-text 79.5999999998603,0 2.5 90 1162511.9</v>
      </c>
    </row>
    <row r="1059" spans="1:20" x14ac:dyDescent="0.35">
      <c r="A1059" s="1">
        <v>273100</v>
      </c>
      <c r="B1059" s="7">
        <v>1162531.8999999999</v>
      </c>
      <c r="C1059" s="2">
        <v>269.31900000000002</v>
      </c>
      <c r="D1059" s="2">
        <v>271.52499999999998</v>
      </c>
      <c r="E1059" s="2">
        <v>2.206</v>
      </c>
      <c r="F1059" s="2">
        <v>268.64699999999999</v>
      </c>
      <c r="G1059" s="2">
        <v>270.81200000000001</v>
      </c>
      <c r="H1059" s="2">
        <v>2.165</v>
      </c>
      <c r="I1059" s="2">
        <v>265.53300000000002</v>
      </c>
      <c r="J1059" s="2">
        <v>265.73599999999999</v>
      </c>
      <c r="K1059" s="15">
        <v>5.0759999999999996</v>
      </c>
      <c r="L1059" s="2">
        <v>15.811</v>
      </c>
      <c r="N1059" s="7">
        <f t="shared" si="146"/>
        <v>99.599999999860302</v>
      </c>
      <c r="O1059" s="1">
        <v>0</v>
      </c>
      <c r="P1059" s="1" t="str">
        <f t="shared" si="141"/>
        <v>99.5999999998603,0</v>
      </c>
      <c r="Q1059" s="6" t="s">
        <v>10</v>
      </c>
      <c r="R1059" s="1">
        <v>90</v>
      </c>
      <c r="S1059" s="1">
        <v>2.5</v>
      </c>
      <c r="T1059" s="1" t="str">
        <f t="shared" si="145"/>
        <v>-text 99.5999999998603,0 2.5 90 1162531.9</v>
      </c>
    </row>
    <row r="1060" spans="1:20" x14ac:dyDescent="0.35">
      <c r="A1060" s="1">
        <v>273120</v>
      </c>
      <c r="B1060" s="7">
        <v>1162551.8999999999</v>
      </c>
      <c r="C1060" s="2">
        <v>269.37400000000002</v>
      </c>
      <c r="D1060" s="2">
        <v>271.61500000000001</v>
      </c>
      <c r="E1060" s="2">
        <v>2.2410000000000001</v>
      </c>
      <c r="F1060" s="2">
        <v>268.702</v>
      </c>
      <c r="G1060" s="2">
        <v>270.90199999999999</v>
      </c>
      <c r="H1060" s="2">
        <v>2.2000000000000002</v>
      </c>
      <c r="I1060" s="2">
        <v>265.62200000000001</v>
      </c>
      <c r="J1060" s="2">
        <v>266.04300000000001</v>
      </c>
      <c r="K1060" s="15">
        <v>4.859</v>
      </c>
      <c r="L1060" s="2">
        <v>16.282</v>
      </c>
      <c r="N1060" s="7">
        <f t="shared" si="146"/>
        <v>119.5999999998603</v>
      </c>
      <c r="O1060" s="1">
        <v>0</v>
      </c>
      <c r="P1060" s="1" t="str">
        <f t="shared" si="141"/>
        <v>119.59999999986,0</v>
      </c>
      <c r="Q1060" s="6" t="s">
        <v>10</v>
      </c>
      <c r="R1060" s="1">
        <v>90</v>
      </c>
      <c r="S1060" s="1">
        <v>2.5</v>
      </c>
      <c r="T1060" s="1" t="str">
        <f t="shared" si="145"/>
        <v>-text 119.59999999986,0 2.5 90 1162551.9</v>
      </c>
    </row>
    <row r="1061" spans="1:20" x14ac:dyDescent="0.35">
      <c r="A1061" s="1">
        <v>273140</v>
      </c>
      <c r="B1061" s="7">
        <v>1162571.8999999999</v>
      </c>
      <c r="C1061" s="2">
        <v>269.44400000000002</v>
      </c>
      <c r="D1061" s="2">
        <v>271.70499999999998</v>
      </c>
      <c r="E1061" s="2">
        <v>2.2610000000000001</v>
      </c>
      <c r="F1061" s="2">
        <v>268.77199999999999</v>
      </c>
      <c r="G1061" s="2">
        <v>270.99200000000002</v>
      </c>
      <c r="H1061" s="2">
        <v>2.2200000000000002</v>
      </c>
      <c r="I1061" s="2">
        <v>265.892</v>
      </c>
      <c r="J1061" s="2">
        <v>266.14699999999999</v>
      </c>
      <c r="K1061" s="15">
        <v>4.8449999999999998</v>
      </c>
      <c r="L1061" s="2">
        <v>16.741</v>
      </c>
      <c r="N1061" s="7">
        <f t="shared" si="146"/>
        <v>139.5999999998603</v>
      </c>
      <c r="O1061" s="1">
        <v>0</v>
      </c>
      <c r="P1061" s="1" t="str">
        <f t="shared" si="141"/>
        <v>139.59999999986,0</v>
      </c>
      <c r="Q1061" s="6" t="s">
        <v>10</v>
      </c>
      <c r="R1061" s="1">
        <v>90</v>
      </c>
      <c r="S1061" s="1">
        <v>2.5</v>
      </c>
      <c r="T1061" s="1" t="str">
        <f t="shared" si="145"/>
        <v>-text 139.59999999986,0 2.5 90 1162571.9</v>
      </c>
    </row>
    <row r="1062" spans="1:20" x14ac:dyDescent="0.35">
      <c r="A1062" s="1">
        <v>273160</v>
      </c>
      <c r="B1062" s="7">
        <v>1162592.1000000001</v>
      </c>
      <c r="C1062" s="2">
        <v>269.43599999999998</v>
      </c>
      <c r="D1062" s="2">
        <v>271.79500000000002</v>
      </c>
      <c r="E1062" s="2">
        <v>2.359</v>
      </c>
      <c r="F1062" s="2">
        <v>268.76400000000001</v>
      </c>
      <c r="G1062" s="2">
        <v>271.08199999999999</v>
      </c>
      <c r="H1062" s="2">
        <v>2.3180000000000001</v>
      </c>
      <c r="I1062" s="2">
        <v>266.74400000000003</v>
      </c>
      <c r="J1062" s="2">
        <v>268.14400000000001</v>
      </c>
      <c r="K1062" s="15">
        <v>2.9390000000000001</v>
      </c>
      <c r="L1062" s="2">
        <v>17.32</v>
      </c>
      <c r="N1062" s="7">
        <f t="shared" si="146"/>
        <v>159.80000000004657</v>
      </c>
      <c r="O1062" s="1">
        <v>0</v>
      </c>
      <c r="P1062" s="1" t="str">
        <f t="shared" si="141"/>
        <v>159.800000000047,0</v>
      </c>
      <c r="Q1062" s="6" t="s">
        <v>10</v>
      </c>
      <c r="R1062" s="1">
        <v>90</v>
      </c>
      <c r="S1062" s="1">
        <v>2.5</v>
      </c>
      <c r="T1062" s="1" t="str">
        <f t="shared" si="145"/>
        <v>-text 159.800000000047,0 2.5 90 1162592.1</v>
      </c>
    </row>
    <row r="1063" spans="1:20" x14ac:dyDescent="0.35">
      <c r="A1063" s="1">
        <v>273180</v>
      </c>
      <c r="B1063" s="7">
        <v>1162612</v>
      </c>
      <c r="C1063" s="2">
        <v>269.464</v>
      </c>
      <c r="D1063" s="2">
        <v>271.88499999999999</v>
      </c>
      <c r="E1063" s="2">
        <v>2.4209999999999998</v>
      </c>
      <c r="F1063" s="2">
        <v>268.79199999999997</v>
      </c>
      <c r="G1063" s="2">
        <v>271.17200000000003</v>
      </c>
      <c r="H1063" s="2">
        <v>2.38</v>
      </c>
      <c r="I1063" s="2">
        <v>266.84300000000002</v>
      </c>
      <c r="J1063" s="2">
        <v>266.34500000000003</v>
      </c>
      <c r="K1063" s="15">
        <v>4.827</v>
      </c>
      <c r="L1063" s="2">
        <v>17.873000000000001</v>
      </c>
      <c r="N1063" s="7">
        <f t="shared" si="146"/>
        <v>179.69999999995343</v>
      </c>
      <c r="O1063" s="1">
        <v>0</v>
      </c>
      <c r="P1063" s="1" t="str">
        <f t="shared" si="141"/>
        <v>179.699999999953,0</v>
      </c>
      <c r="Q1063" s="6" t="s">
        <v>10</v>
      </c>
      <c r="R1063" s="1">
        <v>90</v>
      </c>
      <c r="S1063" s="1">
        <v>2.5</v>
      </c>
      <c r="T1063" s="1" t="str">
        <f t="shared" si="145"/>
        <v>-text 179.699999999953,0 2.5 90 1162612</v>
      </c>
    </row>
    <row r="1064" spans="1:20" x14ac:dyDescent="0.35">
      <c r="A1064" s="1">
        <v>273200</v>
      </c>
      <c r="B1064" s="7">
        <v>1162632.1000000001</v>
      </c>
      <c r="C1064" s="2">
        <v>269.548</v>
      </c>
      <c r="D1064" s="2">
        <v>271.97500000000002</v>
      </c>
      <c r="E1064" s="2">
        <v>2.427</v>
      </c>
      <c r="F1064" s="2">
        <v>268.87599999999998</v>
      </c>
      <c r="G1064" s="2">
        <v>271.262</v>
      </c>
      <c r="H1064" s="2">
        <v>2.3860000000000001</v>
      </c>
      <c r="I1064" s="2">
        <v>265.99700000000001</v>
      </c>
      <c r="J1064" s="2">
        <v>266.31700000000001</v>
      </c>
      <c r="K1064" s="15">
        <v>4.9450000000000003</v>
      </c>
      <c r="L1064" s="2">
        <v>18.387</v>
      </c>
      <c r="N1064" s="7">
        <f t="shared" si="146"/>
        <v>199.80000000004657</v>
      </c>
      <c r="O1064" s="1">
        <v>0</v>
      </c>
      <c r="P1064" s="1" t="str">
        <f t="shared" si="141"/>
        <v>199.800000000047,0</v>
      </c>
      <c r="Q1064" s="6" t="s">
        <v>10</v>
      </c>
      <c r="R1064" s="1">
        <v>90</v>
      </c>
      <c r="S1064" s="1">
        <v>2.5</v>
      </c>
      <c r="T1064" s="1" t="str">
        <f t="shared" si="145"/>
        <v>-text 199.800000000047,0 2.5 90 1162632.1</v>
      </c>
    </row>
    <row r="1065" spans="1:20" x14ac:dyDescent="0.35">
      <c r="A1065" s="1">
        <v>273220</v>
      </c>
      <c r="B1065" s="7">
        <v>1162652.1000000001</v>
      </c>
      <c r="C1065" s="2">
        <v>269.66000000000003</v>
      </c>
      <c r="D1065" s="2">
        <v>272.065</v>
      </c>
      <c r="E1065" s="2">
        <v>2.4060000000000001</v>
      </c>
      <c r="F1065" s="2">
        <v>268.988</v>
      </c>
      <c r="G1065" s="2">
        <v>271.35199999999998</v>
      </c>
      <c r="H1065" s="2">
        <v>2.3650000000000002</v>
      </c>
      <c r="I1065" s="2">
        <v>266.11599999999999</v>
      </c>
      <c r="J1065" s="2">
        <v>266.327</v>
      </c>
      <c r="K1065" s="15">
        <v>5.0259999999999998</v>
      </c>
      <c r="L1065" s="2">
        <v>19.006</v>
      </c>
      <c r="N1065" s="7">
        <f t="shared" si="146"/>
        <v>219.80000000004657</v>
      </c>
      <c r="O1065" s="1">
        <v>0</v>
      </c>
      <c r="P1065" s="1" t="str">
        <f t="shared" si="141"/>
        <v>219.800000000047,0</v>
      </c>
      <c r="Q1065" s="6" t="s">
        <v>10</v>
      </c>
      <c r="R1065" s="1">
        <v>90</v>
      </c>
      <c r="S1065" s="1">
        <v>2.5</v>
      </c>
      <c r="T1065" s="1" t="str">
        <f t="shared" si="145"/>
        <v>-text 219.800000000047,0 2.5 90 1162652.1</v>
      </c>
    </row>
    <row r="1066" spans="1:20" x14ac:dyDescent="0.35">
      <c r="A1066" s="1">
        <v>273240</v>
      </c>
      <c r="B1066" s="7">
        <v>1162672.2</v>
      </c>
      <c r="C1066" s="2">
        <v>269.75599999999997</v>
      </c>
      <c r="D1066" s="2">
        <v>272.15600000000001</v>
      </c>
      <c r="E1066" s="2">
        <v>2.399</v>
      </c>
      <c r="F1066" s="2">
        <v>269.084</v>
      </c>
      <c r="G1066" s="2">
        <v>271.44299999999998</v>
      </c>
      <c r="H1066" s="2">
        <v>2.3580000000000001</v>
      </c>
      <c r="I1066" s="2">
        <v>266.12400000000002</v>
      </c>
      <c r="J1066" s="2">
        <v>266.16699999999997</v>
      </c>
      <c r="K1066" s="15">
        <v>5.2750000000000004</v>
      </c>
      <c r="L1066" s="2">
        <v>19.664000000000001</v>
      </c>
      <c r="N1066" s="7">
        <f t="shared" si="146"/>
        <v>239.89999999990687</v>
      </c>
      <c r="O1066" s="1">
        <v>0</v>
      </c>
      <c r="P1066" s="1" t="str">
        <f t="shared" si="141"/>
        <v>239.899999999907,0</v>
      </c>
      <c r="Q1066" s="6" t="s">
        <v>10</v>
      </c>
      <c r="R1066" s="1">
        <v>90</v>
      </c>
      <c r="S1066" s="1">
        <v>2.5</v>
      </c>
      <c r="T1066" s="1" t="str">
        <f t="shared" si="145"/>
        <v>-text 239.899999999907,0 2.5 90 1162672.2</v>
      </c>
    </row>
    <row r="1067" spans="1:20" x14ac:dyDescent="0.35">
      <c r="A1067" s="1">
        <v>273260</v>
      </c>
      <c r="B1067" s="7">
        <v>1162692.5</v>
      </c>
      <c r="C1067" s="2">
        <v>269.84199999999998</v>
      </c>
      <c r="D1067" s="2">
        <v>272.24700000000001</v>
      </c>
      <c r="E1067" s="2">
        <v>2.4039999999999999</v>
      </c>
      <c r="F1067" s="2">
        <v>269.17</v>
      </c>
      <c r="G1067" s="2">
        <v>271.53399999999999</v>
      </c>
      <c r="H1067" s="2">
        <v>2.363</v>
      </c>
      <c r="I1067" s="2">
        <v>266.19799999999998</v>
      </c>
      <c r="J1067" s="2">
        <v>266.209</v>
      </c>
      <c r="K1067" s="15">
        <v>5.3250000000000002</v>
      </c>
      <c r="L1067" s="2">
        <v>20.437000000000001</v>
      </c>
      <c r="N1067" s="7">
        <f t="shared" si="146"/>
        <v>260.19999999995343</v>
      </c>
      <c r="O1067" s="1">
        <v>0</v>
      </c>
      <c r="P1067" s="1" t="str">
        <f t="shared" si="141"/>
        <v>260.199999999953,0</v>
      </c>
      <c r="Q1067" s="6" t="s">
        <v>10</v>
      </c>
      <c r="R1067" s="1">
        <v>90</v>
      </c>
      <c r="S1067" s="1">
        <v>2.5</v>
      </c>
      <c r="T1067" s="1" t="str">
        <f t="shared" si="145"/>
        <v>-text 260.199999999953,0 2.5 90 1162692.5</v>
      </c>
    </row>
    <row r="1068" spans="1:20" x14ac:dyDescent="0.35">
      <c r="A1068" s="1">
        <v>273280</v>
      </c>
      <c r="B1068" s="7">
        <v>1162712.6000000001</v>
      </c>
      <c r="C1068" s="2">
        <v>269.91300000000001</v>
      </c>
      <c r="D1068" s="2">
        <v>272.33699999999999</v>
      </c>
      <c r="E1068" s="2">
        <v>2.4239999999999999</v>
      </c>
      <c r="F1068" s="2">
        <v>269.24099999999999</v>
      </c>
      <c r="G1068" s="2">
        <v>271.62400000000002</v>
      </c>
      <c r="H1068" s="2">
        <v>2.383</v>
      </c>
      <c r="I1068" s="2">
        <v>266.28199999999998</v>
      </c>
      <c r="J1068" s="2">
        <v>266.25599999999997</v>
      </c>
      <c r="K1068" s="15">
        <v>5.3680000000000003</v>
      </c>
      <c r="L1068" s="2">
        <v>21.344000000000001</v>
      </c>
      <c r="N1068" s="7">
        <f t="shared" si="146"/>
        <v>280.30000000004657</v>
      </c>
      <c r="O1068" s="1">
        <v>0</v>
      </c>
      <c r="P1068" s="1" t="str">
        <f t="shared" si="141"/>
        <v>280.300000000047,0</v>
      </c>
      <c r="Q1068" s="6" t="s">
        <v>10</v>
      </c>
      <c r="R1068" s="1">
        <v>90</v>
      </c>
      <c r="S1068" s="1">
        <v>2.5</v>
      </c>
      <c r="T1068" s="1" t="str">
        <f t="shared" si="145"/>
        <v>-text 280.300000000047,0 2.5 90 1162712.6</v>
      </c>
    </row>
    <row r="1069" spans="1:20" x14ac:dyDescent="0.35">
      <c r="A1069" s="1">
        <v>273300</v>
      </c>
      <c r="B1069" s="7">
        <v>1162732.6000000001</v>
      </c>
      <c r="C1069" s="2">
        <v>269.97800000000001</v>
      </c>
      <c r="D1069" s="2">
        <v>272.42700000000002</v>
      </c>
      <c r="E1069" s="2">
        <v>2.4489999999999998</v>
      </c>
      <c r="F1069" s="2">
        <v>269.30599999999998</v>
      </c>
      <c r="G1069" s="2">
        <v>271.714</v>
      </c>
      <c r="H1069" s="2">
        <v>2.4079999999999999</v>
      </c>
      <c r="I1069" s="2">
        <v>266.36900000000003</v>
      </c>
      <c r="J1069" s="2">
        <v>266.42399999999998</v>
      </c>
      <c r="K1069" s="15">
        <v>5.2910000000000004</v>
      </c>
      <c r="L1069" s="2">
        <v>22.248000000000001</v>
      </c>
      <c r="N1069" s="7">
        <f t="shared" si="146"/>
        <v>300.30000000004657</v>
      </c>
      <c r="O1069" s="1">
        <v>0</v>
      </c>
      <c r="P1069" s="1" t="str">
        <f t="shared" si="141"/>
        <v>300.300000000047,0</v>
      </c>
      <c r="Q1069" s="6" t="s">
        <v>10</v>
      </c>
      <c r="R1069" s="1">
        <v>90</v>
      </c>
      <c r="S1069" s="1">
        <v>2.5</v>
      </c>
      <c r="T1069" s="1" t="str">
        <f t="shared" si="145"/>
        <v>-text 300.300000000047,0 2.5 90 1162732.6</v>
      </c>
    </row>
    <row r="1070" spans="1:20" x14ac:dyDescent="0.35">
      <c r="A1070" s="1">
        <v>273320</v>
      </c>
      <c r="B1070" s="7">
        <v>1162752.8</v>
      </c>
      <c r="C1070" s="2">
        <v>270.04599999999999</v>
      </c>
      <c r="D1070" s="2">
        <v>272.51799999999997</v>
      </c>
      <c r="E1070" s="2">
        <v>2.472</v>
      </c>
      <c r="F1070" s="2">
        <v>269.37400000000002</v>
      </c>
      <c r="G1070" s="2">
        <v>271.80500000000001</v>
      </c>
      <c r="H1070" s="2">
        <v>2.431</v>
      </c>
      <c r="I1070" s="2">
        <v>266.041</v>
      </c>
      <c r="J1070" s="2">
        <v>266.37900000000002</v>
      </c>
      <c r="K1070" s="15">
        <v>5.4269999999999996</v>
      </c>
      <c r="L1070" s="2">
        <v>23.117999999999999</v>
      </c>
      <c r="N1070" s="7">
        <f t="shared" si="146"/>
        <v>320.5</v>
      </c>
      <c r="O1070" s="1">
        <v>0</v>
      </c>
      <c r="P1070" s="1" t="str">
        <f t="shared" si="141"/>
        <v>320.5,0</v>
      </c>
      <c r="Q1070" s="6" t="s">
        <v>10</v>
      </c>
      <c r="R1070" s="1">
        <v>90</v>
      </c>
      <c r="S1070" s="1">
        <v>2.5</v>
      </c>
      <c r="T1070" s="1" t="str">
        <f t="shared" si="145"/>
        <v>-text 320.5,0 2.5 90 1162752.8</v>
      </c>
    </row>
    <row r="1071" spans="1:20" x14ac:dyDescent="0.35">
      <c r="A1071" s="1">
        <v>273340</v>
      </c>
      <c r="B1071" s="7">
        <v>1162773</v>
      </c>
      <c r="C1071" s="2">
        <v>270.10300000000001</v>
      </c>
      <c r="D1071" s="2">
        <v>272.60899999999998</v>
      </c>
      <c r="E1071" s="2">
        <v>2.5059999999999998</v>
      </c>
      <c r="F1071" s="2">
        <v>269.43099999999998</v>
      </c>
      <c r="G1071" s="2">
        <v>271.89600000000002</v>
      </c>
      <c r="H1071" s="2">
        <v>2.4649999999999999</v>
      </c>
      <c r="I1071" s="2">
        <v>265.88</v>
      </c>
      <c r="J1071" s="2">
        <v>266.02</v>
      </c>
      <c r="K1071" s="15">
        <v>5.8760000000000003</v>
      </c>
      <c r="L1071" s="2">
        <v>23.876000000000001</v>
      </c>
      <c r="N1071" s="7">
        <f t="shared" si="146"/>
        <v>340.69999999995343</v>
      </c>
      <c r="O1071" s="1">
        <v>0</v>
      </c>
      <c r="P1071" s="1" t="str">
        <f t="shared" si="141"/>
        <v>340.699999999953,0</v>
      </c>
      <c r="Q1071" s="6" t="s">
        <v>10</v>
      </c>
      <c r="R1071" s="1">
        <v>90</v>
      </c>
      <c r="S1071" s="1">
        <v>2.5</v>
      </c>
      <c r="T1071" s="1" t="str">
        <f t="shared" si="145"/>
        <v>-text 340.699999999953,0 2.5 90 1162773</v>
      </c>
    </row>
    <row r="1072" spans="1:20" x14ac:dyDescent="0.35">
      <c r="A1072" s="1">
        <v>273360</v>
      </c>
      <c r="B1072" s="7">
        <v>1162793.1000000001</v>
      </c>
      <c r="C1072" s="2">
        <v>270.16800000000001</v>
      </c>
      <c r="D1072" s="2">
        <v>272.7</v>
      </c>
      <c r="E1072" s="2">
        <v>2.5310000000000001</v>
      </c>
      <c r="F1072" s="2">
        <v>269.49599999999998</v>
      </c>
      <c r="G1072" s="2">
        <v>271.98700000000002</v>
      </c>
      <c r="H1072" s="2">
        <v>2.4900000000000002</v>
      </c>
      <c r="I1072" s="2">
        <v>265.86200000000002</v>
      </c>
      <c r="J1072" s="2">
        <v>265.54500000000002</v>
      </c>
      <c r="K1072" s="15">
        <v>6.4409999999999998</v>
      </c>
      <c r="L1072" s="2">
        <v>24.512</v>
      </c>
      <c r="N1072" s="7">
        <f t="shared" si="146"/>
        <v>360.80000000004657</v>
      </c>
      <c r="O1072" s="1">
        <v>0</v>
      </c>
      <c r="P1072" s="1" t="str">
        <f t="shared" ref="P1072:P1106" si="147">CONCATENATE(N1072,",",O1072)</f>
        <v>360.800000000047,0</v>
      </c>
      <c r="Q1072" s="6" t="s">
        <v>10</v>
      </c>
      <c r="R1072" s="1">
        <v>90</v>
      </c>
      <c r="S1072" s="1">
        <v>2.5</v>
      </c>
      <c r="T1072" s="1" t="str">
        <f t="shared" si="145"/>
        <v>-text 360.800000000047,0 2.5 90 1162793.1</v>
      </c>
    </row>
    <row r="1073" spans="1:20" x14ac:dyDescent="0.35">
      <c r="A1073" s="1">
        <v>273380</v>
      </c>
      <c r="B1073" s="7">
        <v>1162813.3</v>
      </c>
      <c r="C1073" s="2">
        <v>270.24099999999999</v>
      </c>
      <c r="D1073" s="2">
        <v>272.79000000000002</v>
      </c>
      <c r="E1073" s="2">
        <v>2.5489999999999999</v>
      </c>
      <c r="F1073" s="2">
        <v>269.56900000000002</v>
      </c>
      <c r="G1073" s="2">
        <v>272.077</v>
      </c>
      <c r="H1073" s="2">
        <v>2.508</v>
      </c>
      <c r="I1073" s="2">
        <v>265.892</v>
      </c>
      <c r="J1073" s="2">
        <v>265.50599999999997</v>
      </c>
      <c r="K1073" s="15">
        <v>6.5709999999999997</v>
      </c>
      <c r="L1073" s="2">
        <v>25.016999999999999</v>
      </c>
      <c r="N1073" s="7">
        <f t="shared" si="146"/>
        <v>381</v>
      </c>
      <c r="O1073" s="1">
        <v>0</v>
      </c>
      <c r="P1073" s="1" t="str">
        <f t="shared" si="147"/>
        <v>381,0</v>
      </c>
      <c r="Q1073" s="6" t="s">
        <v>10</v>
      </c>
      <c r="R1073" s="1">
        <v>90</v>
      </c>
      <c r="S1073" s="1">
        <v>2.5</v>
      </c>
      <c r="T1073" s="1" t="str">
        <f t="shared" si="145"/>
        <v>-text 381,0 2.5 90 1162813.3</v>
      </c>
    </row>
    <row r="1074" spans="1:20" x14ac:dyDescent="0.35">
      <c r="A1074" s="1">
        <v>273400</v>
      </c>
      <c r="B1074" s="7">
        <v>1162833.5</v>
      </c>
      <c r="C1074" s="2">
        <v>270.315</v>
      </c>
      <c r="D1074" s="2">
        <v>272.88099999999997</v>
      </c>
      <c r="E1074" s="2">
        <v>2.5659999999999998</v>
      </c>
      <c r="F1074" s="2">
        <v>269.64299999999997</v>
      </c>
      <c r="G1074" s="2">
        <v>272.16800000000001</v>
      </c>
      <c r="H1074" s="2">
        <v>2.5249999999999999</v>
      </c>
      <c r="I1074" s="2">
        <v>265.82600000000002</v>
      </c>
      <c r="J1074" s="2">
        <v>265.87700000000001</v>
      </c>
      <c r="K1074" s="15">
        <v>6.2910000000000004</v>
      </c>
      <c r="L1074" s="2">
        <v>25.405000000000001</v>
      </c>
      <c r="N1074" s="7">
        <f t="shared" si="146"/>
        <v>401.19999999995343</v>
      </c>
      <c r="O1074" s="1">
        <v>0</v>
      </c>
      <c r="P1074" s="1" t="str">
        <f t="shared" si="147"/>
        <v>401.199999999953,0</v>
      </c>
      <c r="Q1074" s="6" t="s">
        <v>10</v>
      </c>
      <c r="R1074" s="1">
        <v>90</v>
      </c>
      <c r="S1074" s="1">
        <v>2.5</v>
      </c>
      <c r="T1074" s="1" t="str">
        <f t="shared" si="145"/>
        <v>-text 401.199999999953,0 2.5 90 1162833.5</v>
      </c>
    </row>
    <row r="1075" spans="1:20" x14ac:dyDescent="0.35">
      <c r="A1075" s="1">
        <v>273420</v>
      </c>
      <c r="B1075" s="7">
        <v>1162853.6000000001</v>
      </c>
      <c r="C1075" s="2">
        <v>270.40600000000001</v>
      </c>
      <c r="D1075" s="2">
        <v>272.971</v>
      </c>
      <c r="E1075" s="2">
        <v>2.5649999999999999</v>
      </c>
      <c r="F1075" s="2">
        <v>269.73399999999998</v>
      </c>
      <c r="G1075" s="2">
        <v>272.25799999999998</v>
      </c>
      <c r="H1075" s="2">
        <v>2.524</v>
      </c>
      <c r="I1075" s="2">
        <v>265.81299999999999</v>
      </c>
      <c r="J1075" s="2">
        <v>265.89</v>
      </c>
      <c r="K1075" s="15">
        <v>6.3680000000000003</v>
      </c>
      <c r="L1075" s="2">
        <v>25.684999999999999</v>
      </c>
      <c r="N1075" s="7">
        <f t="shared" si="146"/>
        <v>421.30000000004657</v>
      </c>
      <c r="O1075" s="1">
        <v>0</v>
      </c>
      <c r="P1075" s="1" t="str">
        <f t="shared" si="147"/>
        <v>421.300000000047,0</v>
      </c>
      <c r="Q1075" s="6" t="s">
        <v>10</v>
      </c>
      <c r="R1075" s="1">
        <v>90</v>
      </c>
      <c r="S1075" s="1">
        <v>2.5</v>
      </c>
      <c r="T1075" s="1" t="str">
        <f t="shared" si="145"/>
        <v>-text 421.300000000047,0 2.5 90 1162853.6</v>
      </c>
    </row>
    <row r="1076" spans="1:20" x14ac:dyDescent="0.35">
      <c r="A1076" s="1">
        <v>273440</v>
      </c>
      <c r="B1076" s="7">
        <v>1162873.6000000001</v>
      </c>
      <c r="C1076" s="2">
        <v>270.47800000000001</v>
      </c>
      <c r="D1076" s="2">
        <v>273.06099999999998</v>
      </c>
      <c r="E1076" s="2">
        <v>2.5830000000000002</v>
      </c>
      <c r="F1076" s="2">
        <v>269.80599999999998</v>
      </c>
      <c r="G1076" s="2">
        <v>272.34800000000001</v>
      </c>
      <c r="H1076" s="2">
        <v>2.5419999999999998</v>
      </c>
      <c r="I1076" s="2">
        <v>265.70100000000002</v>
      </c>
      <c r="J1076" s="2">
        <v>265.51799999999997</v>
      </c>
      <c r="K1076" s="15">
        <v>6.8310000000000004</v>
      </c>
      <c r="L1076" s="2">
        <v>25.805</v>
      </c>
      <c r="N1076" s="7">
        <f t="shared" si="146"/>
        <v>441.30000000004657</v>
      </c>
      <c r="O1076" s="1">
        <v>0</v>
      </c>
      <c r="P1076" s="1" t="str">
        <f t="shared" si="147"/>
        <v>441.300000000047,0</v>
      </c>
      <c r="Q1076" s="6" t="s">
        <v>10</v>
      </c>
      <c r="R1076" s="1">
        <v>90</v>
      </c>
      <c r="S1076" s="1">
        <v>2.5</v>
      </c>
      <c r="T1076" s="1" t="str">
        <f t="shared" si="145"/>
        <v>-text 441.300000000047,0 2.5 90 1162873.6</v>
      </c>
    </row>
    <row r="1077" spans="1:20" x14ac:dyDescent="0.35">
      <c r="A1077" s="1">
        <v>273460</v>
      </c>
      <c r="B1077" s="7">
        <v>1162893.7</v>
      </c>
      <c r="C1077" s="2">
        <v>270.56900000000002</v>
      </c>
      <c r="D1077" s="2">
        <v>273.15199999999999</v>
      </c>
      <c r="E1077" s="2">
        <v>2.5830000000000002</v>
      </c>
      <c r="F1077" s="2">
        <v>269.89699999999999</v>
      </c>
      <c r="G1077" s="2">
        <v>272.43900000000002</v>
      </c>
      <c r="H1077" s="2">
        <v>2.5419999999999998</v>
      </c>
      <c r="I1077" s="2">
        <v>265.54399999999998</v>
      </c>
      <c r="J1077" s="2">
        <v>265.61200000000002</v>
      </c>
      <c r="K1077" s="15">
        <v>6.8259999999999996</v>
      </c>
      <c r="L1077" s="2">
        <v>25.846</v>
      </c>
      <c r="N1077" s="7">
        <f t="shared" si="146"/>
        <v>461.39999999990687</v>
      </c>
      <c r="O1077" s="1">
        <v>0</v>
      </c>
      <c r="P1077" s="1" t="str">
        <f t="shared" si="147"/>
        <v>461.399999999907,0</v>
      </c>
      <c r="Q1077" s="6" t="s">
        <v>10</v>
      </c>
      <c r="R1077" s="1">
        <v>90</v>
      </c>
      <c r="S1077" s="1">
        <v>2.5</v>
      </c>
      <c r="T1077" s="1" t="str">
        <f t="shared" si="145"/>
        <v>-text 461.399999999907,0 2.5 90 1162893.7</v>
      </c>
    </row>
    <row r="1078" spans="1:20" x14ac:dyDescent="0.35">
      <c r="A1078" s="1">
        <v>273480</v>
      </c>
      <c r="B1078" s="7">
        <v>1162913.8999999999</v>
      </c>
      <c r="C1078" s="2">
        <v>270.64100000000002</v>
      </c>
      <c r="D1078" s="2">
        <v>273.24200000000002</v>
      </c>
      <c r="E1078" s="2">
        <v>2.6019999999999999</v>
      </c>
      <c r="F1078" s="2">
        <v>269.96899999999999</v>
      </c>
      <c r="G1078" s="2">
        <v>272.529</v>
      </c>
      <c r="H1078" s="2">
        <v>2.5609999999999999</v>
      </c>
      <c r="I1078" s="2">
        <v>265.327</v>
      </c>
      <c r="J1078" s="2">
        <v>265.88200000000001</v>
      </c>
      <c r="K1078" s="15">
        <v>6.6470000000000002</v>
      </c>
      <c r="L1078" s="2">
        <v>25.852</v>
      </c>
      <c r="N1078" s="7">
        <f t="shared" si="146"/>
        <v>481.5999999998603</v>
      </c>
      <c r="O1078" s="1">
        <v>0</v>
      </c>
      <c r="P1078" s="1" t="str">
        <f t="shared" si="147"/>
        <v>481.59999999986,0</v>
      </c>
      <c r="Q1078" s="6" t="s">
        <v>10</v>
      </c>
      <c r="R1078" s="1">
        <v>90</v>
      </c>
      <c r="S1078" s="1">
        <v>2.5</v>
      </c>
      <c r="T1078" s="1" t="str">
        <f t="shared" si="145"/>
        <v>-text 481.59999999986,0 2.5 90 1162913.9</v>
      </c>
    </row>
    <row r="1079" spans="1:20" x14ac:dyDescent="0.35">
      <c r="A1079" s="1">
        <v>273500</v>
      </c>
      <c r="B1079" s="7">
        <v>1162933.8</v>
      </c>
      <c r="C1079" s="2">
        <v>270.70299999999997</v>
      </c>
      <c r="D1079" s="2">
        <v>273.33199999999999</v>
      </c>
      <c r="E1079" s="2">
        <v>2.629</v>
      </c>
      <c r="F1079" s="2">
        <v>270.03100000000001</v>
      </c>
      <c r="G1079" s="2">
        <v>272.61900000000003</v>
      </c>
      <c r="H1079" s="2">
        <v>2.5880000000000001</v>
      </c>
      <c r="I1079" s="2">
        <v>265.33199999999999</v>
      </c>
      <c r="J1079" s="2">
        <v>265.97399999999999</v>
      </c>
      <c r="K1079" s="15">
        <v>6.6449999999999996</v>
      </c>
      <c r="L1079" s="2">
        <v>25.826000000000001</v>
      </c>
      <c r="N1079" s="7">
        <f>N1076+(B1079-B1076)</f>
        <v>501.5</v>
      </c>
      <c r="O1079" s="1">
        <v>0</v>
      </c>
      <c r="P1079" s="1" t="str">
        <f t="shared" ref="P1079" si="148">CONCATENATE(N1079,",",O1079)</f>
        <v>501.5,0</v>
      </c>
      <c r="Q1079" s="6" t="s">
        <v>10</v>
      </c>
      <c r="R1079" s="1">
        <v>90</v>
      </c>
      <c r="S1079" s="1">
        <v>2.5</v>
      </c>
      <c r="T1079" s="1" t="str">
        <f t="shared" si="145"/>
        <v>-text 501.5,0 2.5 90 1162933.8</v>
      </c>
    </row>
    <row r="1080" spans="1:20" s="10" customFormat="1" x14ac:dyDescent="0.35">
      <c r="B1080" s="11"/>
      <c r="C1080" s="9"/>
      <c r="D1080" s="9"/>
      <c r="E1080" s="9"/>
      <c r="F1080" s="9"/>
      <c r="G1080" s="9"/>
      <c r="H1080" s="9"/>
      <c r="I1080" s="9"/>
      <c r="J1080" s="9"/>
      <c r="K1080" s="16"/>
      <c r="L1080" s="9"/>
      <c r="M1080" s="9"/>
      <c r="N1080" s="11"/>
      <c r="Q1080" s="12"/>
    </row>
    <row r="1081" spans="1:20" x14ac:dyDescent="0.35">
      <c r="A1081" s="1">
        <v>273500</v>
      </c>
      <c r="B1081" s="7">
        <v>1162933.8</v>
      </c>
      <c r="C1081" s="2">
        <v>270.70299999999997</v>
      </c>
      <c r="D1081" s="2">
        <v>273.33199999999999</v>
      </c>
      <c r="E1081" s="2">
        <v>2.629</v>
      </c>
      <c r="F1081" s="2">
        <v>270.03100000000001</v>
      </c>
      <c r="G1081" s="2">
        <v>272.61900000000003</v>
      </c>
      <c r="H1081" s="2">
        <v>2.5880000000000001</v>
      </c>
      <c r="I1081" s="2">
        <v>265.33199999999999</v>
      </c>
      <c r="J1081" s="2">
        <v>265.97399999999999</v>
      </c>
      <c r="K1081" s="15">
        <v>6.6449999999999996</v>
      </c>
      <c r="L1081" s="2">
        <v>25.826000000000001</v>
      </c>
      <c r="N1081" s="7">
        <v>0</v>
      </c>
      <c r="O1081" s="1">
        <v>0</v>
      </c>
      <c r="P1081" s="1" t="str">
        <f t="shared" si="147"/>
        <v>0,0</v>
      </c>
      <c r="Q1081" s="6" t="s">
        <v>10</v>
      </c>
      <c r="R1081" s="1">
        <v>90</v>
      </c>
      <c r="S1081" s="1">
        <v>2.5</v>
      </c>
      <c r="T1081" s="1" t="str">
        <f t="shared" ref="T1081:T1106" si="149">$Q1081&amp;" "&amp;$P1081&amp;" "&amp;$S1081&amp;" "&amp;$R1081&amp;" "&amp;$B1081</f>
        <v>-text 0,0 2.5 90 1162933.8</v>
      </c>
    </row>
    <row r="1082" spans="1:20" x14ac:dyDescent="0.35">
      <c r="A1082" s="1">
        <v>273520</v>
      </c>
      <c r="B1082" s="7">
        <v>1162953.8</v>
      </c>
      <c r="C1082" s="2">
        <v>270.76600000000002</v>
      </c>
      <c r="D1082" s="2">
        <v>273.42200000000003</v>
      </c>
      <c r="E1082" s="2">
        <v>2.6560000000000001</v>
      </c>
      <c r="F1082" s="2">
        <v>270.09399999999999</v>
      </c>
      <c r="G1082" s="2">
        <v>272.709</v>
      </c>
      <c r="H1082" s="2">
        <v>2.6150000000000002</v>
      </c>
      <c r="I1082" s="2">
        <v>265.57900000000001</v>
      </c>
      <c r="J1082" s="2">
        <v>266.03699999999998</v>
      </c>
      <c r="K1082" s="15">
        <v>6.6719999999999997</v>
      </c>
      <c r="L1082" s="2">
        <v>25.774000000000001</v>
      </c>
      <c r="N1082" s="7">
        <f t="shared" ref="N1082:N1106" si="150">N1081+(B1082-B1081)</f>
        <v>20</v>
      </c>
      <c r="O1082" s="1">
        <v>0</v>
      </c>
      <c r="P1082" s="1" t="str">
        <f t="shared" si="147"/>
        <v>20,0</v>
      </c>
      <c r="Q1082" s="6" t="s">
        <v>10</v>
      </c>
      <c r="R1082" s="1">
        <v>90</v>
      </c>
      <c r="S1082" s="1">
        <v>2.5</v>
      </c>
      <c r="T1082" s="1" t="str">
        <f t="shared" si="149"/>
        <v>-text 20,0 2.5 90 1162953.8</v>
      </c>
    </row>
    <row r="1083" spans="1:20" x14ac:dyDescent="0.35">
      <c r="A1083" s="1">
        <v>273540</v>
      </c>
      <c r="B1083" s="7">
        <v>1162973.8</v>
      </c>
      <c r="C1083" s="2">
        <v>270.90600000000001</v>
      </c>
      <c r="D1083" s="2">
        <v>273.512</v>
      </c>
      <c r="E1083" s="2">
        <v>2.6059999999999999</v>
      </c>
      <c r="F1083" s="2">
        <v>270.23399999999998</v>
      </c>
      <c r="G1083" s="2">
        <v>272.79899999999998</v>
      </c>
      <c r="H1083" s="2">
        <v>2.5649999999999999</v>
      </c>
      <c r="I1083" s="2">
        <v>265.87200000000001</v>
      </c>
      <c r="J1083" s="2">
        <v>266.19</v>
      </c>
      <c r="K1083" s="15">
        <v>6.609</v>
      </c>
      <c r="L1083" s="2">
        <v>25.736000000000001</v>
      </c>
      <c r="N1083" s="7">
        <f t="shared" si="150"/>
        <v>40</v>
      </c>
      <c r="O1083" s="1">
        <v>0</v>
      </c>
      <c r="P1083" s="1" t="str">
        <f t="shared" si="147"/>
        <v>40,0</v>
      </c>
      <c r="Q1083" s="6" t="s">
        <v>10</v>
      </c>
      <c r="R1083" s="1">
        <v>90</v>
      </c>
      <c r="S1083" s="1">
        <v>2.5</v>
      </c>
      <c r="T1083" s="1" t="str">
        <f t="shared" si="149"/>
        <v>-text 40,0 2.5 90 1162973.8</v>
      </c>
    </row>
    <row r="1084" spans="1:20" x14ac:dyDescent="0.35">
      <c r="A1084" s="1">
        <v>273560</v>
      </c>
      <c r="B1084" s="7">
        <v>1162993.8</v>
      </c>
      <c r="C1084" s="2">
        <v>271.08800000000002</v>
      </c>
      <c r="D1084" s="2">
        <v>273.60199999999998</v>
      </c>
      <c r="E1084" s="2">
        <v>2.5139999999999998</v>
      </c>
      <c r="F1084" s="2">
        <v>270.416</v>
      </c>
      <c r="G1084" s="2">
        <v>272.88900000000001</v>
      </c>
      <c r="H1084" s="2">
        <v>2.4729999999999999</v>
      </c>
      <c r="I1084" s="2">
        <v>266.19499999999999</v>
      </c>
      <c r="J1084" s="2">
        <v>266.43299999999999</v>
      </c>
      <c r="K1084" s="15">
        <v>6.4560000000000004</v>
      </c>
      <c r="L1084" s="2">
        <v>25.701000000000001</v>
      </c>
      <c r="N1084" s="7">
        <f t="shared" si="150"/>
        <v>60</v>
      </c>
      <c r="O1084" s="1">
        <v>0</v>
      </c>
      <c r="P1084" s="1" t="str">
        <f t="shared" si="147"/>
        <v>60,0</v>
      </c>
      <c r="Q1084" s="6" t="s">
        <v>10</v>
      </c>
      <c r="R1084" s="1">
        <v>90</v>
      </c>
      <c r="S1084" s="1">
        <v>2.5</v>
      </c>
      <c r="T1084" s="1" t="str">
        <f t="shared" si="149"/>
        <v>-text 60,0 2.5 90 1162993.8</v>
      </c>
    </row>
    <row r="1085" spans="1:20" x14ac:dyDescent="0.35">
      <c r="A1085" s="1">
        <v>273580</v>
      </c>
      <c r="B1085" s="7">
        <v>1163013.8</v>
      </c>
      <c r="C1085" s="2">
        <v>271.20100000000002</v>
      </c>
      <c r="D1085" s="2">
        <v>273.61</v>
      </c>
      <c r="E1085" s="2">
        <v>2.4089999999999998</v>
      </c>
      <c r="F1085" s="2">
        <v>270.529</v>
      </c>
      <c r="G1085" s="2">
        <v>272.89699999999999</v>
      </c>
      <c r="H1085" s="2">
        <v>2.3679999999999999</v>
      </c>
      <c r="I1085" s="2">
        <v>266.38900000000001</v>
      </c>
      <c r="J1085" s="2">
        <v>266.56700000000001</v>
      </c>
      <c r="K1085" s="15">
        <v>6.33</v>
      </c>
      <c r="L1085" s="2">
        <v>25.658000000000001</v>
      </c>
      <c r="N1085" s="7">
        <f t="shared" si="150"/>
        <v>80</v>
      </c>
      <c r="O1085" s="1">
        <v>0</v>
      </c>
      <c r="P1085" s="1" t="str">
        <f t="shared" si="147"/>
        <v>80,0</v>
      </c>
      <c r="Q1085" s="6" t="s">
        <v>10</v>
      </c>
      <c r="R1085" s="1">
        <v>90</v>
      </c>
      <c r="S1085" s="1">
        <v>2.5</v>
      </c>
      <c r="T1085" s="1" t="str">
        <f t="shared" si="149"/>
        <v>-text 80,0 2.5 90 1163013.8</v>
      </c>
    </row>
    <row r="1086" spans="1:20" x14ac:dyDescent="0.35">
      <c r="A1086" s="1">
        <v>273600</v>
      </c>
      <c r="B1086" s="7">
        <v>1163033.8</v>
      </c>
      <c r="C1086" s="2">
        <v>271.27199999999999</v>
      </c>
      <c r="D1086" s="2">
        <v>273.61</v>
      </c>
      <c r="E1086" s="2">
        <v>2.3380000000000001</v>
      </c>
      <c r="F1086" s="2">
        <v>270.60000000000002</v>
      </c>
      <c r="G1086" s="2">
        <v>272.89699999999999</v>
      </c>
      <c r="H1086" s="2">
        <v>2.2970000000000002</v>
      </c>
      <c r="I1086" s="2">
        <v>266.51</v>
      </c>
      <c r="J1086" s="2">
        <v>266.48500000000001</v>
      </c>
      <c r="K1086" s="15">
        <v>6.4119999999999999</v>
      </c>
      <c r="L1086" s="2">
        <v>25.61</v>
      </c>
      <c r="N1086" s="7">
        <f t="shared" si="150"/>
        <v>100</v>
      </c>
      <c r="O1086" s="1">
        <v>0</v>
      </c>
      <c r="P1086" s="1" t="str">
        <f t="shared" si="147"/>
        <v>100,0</v>
      </c>
      <c r="Q1086" s="6" t="s">
        <v>10</v>
      </c>
      <c r="R1086" s="1">
        <v>90</v>
      </c>
      <c r="S1086" s="1">
        <v>2.5</v>
      </c>
      <c r="T1086" s="1" t="str">
        <f t="shared" si="149"/>
        <v>-text 100,0 2.5 90 1163033.8</v>
      </c>
    </row>
    <row r="1087" spans="1:20" x14ac:dyDescent="0.35">
      <c r="A1087" s="1">
        <v>273620</v>
      </c>
      <c r="B1087" s="7">
        <v>1163053.8</v>
      </c>
      <c r="C1087" s="2">
        <v>271.30700000000002</v>
      </c>
      <c r="D1087" s="2">
        <v>273.61</v>
      </c>
      <c r="E1087" s="2">
        <v>2.3029999999999999</v>
      </c>
      <c r="F1087" s="2">
        <v>270.63499999999999</v>
      </c>
      <c r="G1087" s="2">
        <v>272.89699999999999</v>
      </c>
      <c r="H1087" s="2">
        <v>2.262</v>
      </c>
      <c r="I1087" s="2">
        <v>266.56799999999998</v>
      </c>
      <c r="J1087" s="2">
        <v>266.22000000000003</v>
      </c>
      <c r="K1087" s="15">
        <v>6.6769999999999996</v>
      </c>
      <c r="L1087" s="2">
        <v>25.558</v>
      </c>
      <c r="N1087" s="7">
        <f t="shared" si="150"/>
        <v>120</v>
      </c>
      <c r="O1087" s="1">
        <v>0</v>
      </c>
      <c r="P1087" s="1" t="str">
        <f t="shared" si="147"/>
        <v>120,0</v>
      </c>
      <c r="Q1087" s="6" t="s">
        <v>10</v>
      </c>
      <c r="R1087" s="1">
        <v>90</v>
      </c>
      <c r="S1087" s="1">
        <v>2.5</v>
      </c>
      <c r="T1087" s="1" t="str">
        <f t="shared" si="149"/>
        <v>-text 120,0 2.5 90 1163053.8</v>
      </c>
    </row>
    <row r="1088" spans="1:20" x14ac:dyDescent="0.35">
      <c r="A1088" s="1">
        <v>273640</v>
      </c>
      <c r="B1088" s="7">
        <v>1163073.8</v>
      </c>
      <c r="C1088" s="2">
        <v>271.30500000000001</v>
      </c>
      <c r="D1088" s="2">
        <v>273.61</v>
      </c>
      <c r="E1088" s="2">
        <v>2.3050000000000002</v>
      </c>
      <c r="F1088" s="2">
        <v>270.63299999999998</v>
      </c>
      <c r="G1088" s="2">
        <v>272.89699999999999</v>
      </c>
      <c r="H1088" s="2">
        <v>2.2639999999999998</v>
      </c>
      <c r="I1088" s="2">
        <v>266.47199999999998</v>
      </c>
      <c r="J1088" s="2">
        <v>265.964</v>
      </c>
      <c r="K1088" s="15">
        <v>6.9329999999999998</v>
      </c>
      <c r="L1088" s="2">
        <v>25.51</v>
      </c>
      <c r="N1088" s="7">
        <f t="shared" si="150"/>
        <v>140</v>
      </c>
      <c r="O1088" s="1">
        <v>0</v>
      </c>
      <c r="P1088" s="1" t="str">
        <f t="shared" si="147"/>
        <v>140,0</v>
      </c>
      <c r="Q1088" s="6" t="s">
        <v>10</v>
      </c>
      <c r="R1088" s="1">
        <v>90</v>
      </c>
      <c r="S1088" s="1">
        <v>2.5</v>
      </c>
      <c r="T1088" s="1" t="str">
        <f t="shared" si="149"/>
        <v>-text 140,0 2.5 90 1163073.8</v>
      </c>
    </row>
    <row r="1089" spans="1:20" x14ac:dyDescent="0.35">
      <c r="A1089" s="1">
        <v>273660</v>
      </c>
      <c r="B1089" s="7">
        <v>1163093.8</v>
      </c>
      <c r="C1089" s="2">
        <v>271.29599999999999</v>
      </c>
      <c r="D1089" s="2">
        <v>273.61</v>
      </c>
      <c r="E1089" s="2">
        <v>2.3140000000000001</v>
      </c>
      <c r="F1089" s="2">
        <v>270.62400000000002</v>
      </c>
      <c r="G1089" s="2">
        <v>272.89699999999999</v>
      </c>
      <c r="H1089" s="2">
        <v>2.2730000000000001</v>
      </c>
      <c r="I1089" s="2">
        <v>265.85500000000002</v>
      </c>
      <c r="J1089" s="2">
        <v>265.63299999999998</v>
      </c>
      <c r="K1089" s="15">
        <v>7.2640000000000002</v>
      </c>
      <c r="L1089" s="2">
        <v>25.462</v>
      </c>
      <c r="N1089" s="7">
        <f t="shared" si="150"/>
        <v>160</v>
      </c>
      <c r="O1089" s="1">
        <v>0</v>
      </c>
      <c r="P1089" s="1" t="str">
        <f t="shared" si="147"/>
        <v>160,0</v>
      </c>
      <c r="Q1089" s="6" t="s">
        <v>10</v>
      </c>
      <c r="R1089" s="1">
        <v>90</v>
      </c>
      <c r="S1089" s="1">
        <v>2.5</v>
      </c>
      <c r="T1089" s="1" t="str">
        <f t="shared" si="149"/>
        <v>-text 160,0 2.5 90 1163093.8</v>
      </c>
    </row>
    <row r="1090" spans="1:20" x14ac:dyDescent="0.35">
      <c r="A1090" s="1">
        <v>273680</v>
      </c>
      <c r="B1090" s="7">
        <v>1163113.8</v>
      </c>
      <c r="C1090" s="2">
        <v>271.279</v>
      </c>
      <c r="D1090" s="2">
        <v>273.61</v>
      </c>
      <c r="E1090" s="2">
        <v>2.331</v>
      </c>
      <c r="F1090" s="2">
        <v>270.60700000000003</v>
      </c>
      <c r="G1090" s="2">
        <v>272.89699999999999</v>
      </c>
      <c r="H1090" s="2">
        <v>2.29</v>
      </c>
      <c r="I1090" s="2">
        <v>263.37</v>
      </c>
      <c r="J1090" s="2">
        <v>264.036</v>
      </c>
      <c r="K1090" s="15">
        <v>8.8610000000000007</v>
      </c>
      <c r="L1090" s="2">
        <v>25.414000000000001</v>
      </c>
      <c r="N1090" s="7">
        <f t="shared" si="150"/>
        <v>180</v>
      </c>
      <c r="O1090" s="1">
        <v>0</v>
      </c>
      <c r="P1090" s="1" t="str">
        <f t="shared" si="147"/>
        <v>180,0</v>
      </c>
      <c r="Q1090" s="6" t="s">
        <v>10</v>
      </c>
      <c r="R1090" s="1">
        <v>90</v>
      </c>
      <c r="S1090" s="1">
        <v>2.5</v>
      </c>
      <c r="T1090" s="1" t="str">
        <f t="shared" si="149"/>
        <v>-text 180,0 2.5 90 1163113.8</v>
      </c>
    </row>
    <row r="1091" spans="1:20" x14ac:dyDescent="0.35">
      <c r="A1091" s="1">
        <v>273700</v>
      </c>
      <c r="B1091" s="7">
        <v>1163133.8</v>
      </c>
      <c r="C1091" s="2">
        <v>271.26299999999998</v>
      </c>
      <c r="D1091" s="2">
        <v>273.61</v>
      </c>
      <c r="E1091" s="2">
        <v>2.347</v>
      </c>
      <c r="F1091" s="2">
        <v>270.59100000000001</v>
      </c>
      <c r="G1091" s="2">
        <v>272.89699999999999</v>
      </c>
      <c r="H1091" s="2">
        <v>2.306</v>
      </c>
      <c r="I1091" s="2">
        <v>260.92</v>
      </c>
      <c r="J1091" s="2">
        <v>262.06400000000002</v>
      </c>
      <c r="K1091" s="15">
        <v>10.833</v>
      </c>
      <c r="L1091" s="2">
        <v>25.366</v>
      </c>
      <c r="N1091" s="7">
        <f t="shared" si="150"/>
        <v>200</v>
      </c>
      <c r="O1091" s="1">
        <v>0</v>
      </c>
      <c r="P1091" s="1" t="str">
        <f t="shared" si="147"/>
        <v>200,0</v>
      </c>
      <c r="Q1091" s="6" t="s">
        <v>10</v>
      </c>
      <c r="R1091" s="1">
        <v>90</v>
      </c>
      <c r="S1091" s="1">
        <v>2.5</v>
      </c>
      <c r="T1091" s="1" t="str">
        <f t="shared" si="149"/>
        <v>-text 200,0 2.5 90 1163133.8</v>
      </c>
    </row>
    <row r="1092" spans="1:20" x14ac:dyDescent="0.35">
      <c r="A1092" s="1">
        <v>273720</v>
      </c>
      <c r="B1092" s="7">
        <v>1163153.8</v>
      </c>
      <c r="C1092" s="2">
        <v>271.24599999999998</v>
      </c>
      <c r="D1092" s="2">
        <v>273.61</v>
      </c>
      <c r="E1092" s="2">
        <v>2.3639999999999999</v>
      </c>
      <c r="F1092" s="2">
        <v>270.57400000000001</v>
      </c>
      <c r="G1092" s="2">
        <v>272.89699999999999</v>
      </c>
      <c r="H1092" s="2">
        <v>2.323</v>
      </c>
      <c r="I1092" s="2">
        <v>261.36700000000002</v>
      </c>
      <c r="J1092" s="2">
        <v>261.54700000000003</v>
      </c>
      <c r="K1092" s="15">
        <v>11.35</v>
      </c>
      <c r="L1092" s="2">
        <v>25.318000000000001</v>
      </c>
      <c r="N1092" s="7">
        <f t="shared" si="150"/>
        <v>220</v>
      </c>
      <c r="O1092" s="1">
        <v>0</v>
      </c>
      <c r="P1092" s="1" t="str">
        <f t="shared" si="147"/>
        <v>220,0</v>
      </c>
      <c r="Q1092" s="6" t="s">
        <v>10</v>
      </c>
      <c r="R1092" s="1">
        <v>90</v>
      </c>
      <c r="S1092" s="1">
        <v>2.5</v>
      </c>
      <c r="T1092" s="1" t="str">
        <f t="shared" si="149"/>
        <v>-text 220,0 2.5 90 1163153.8</v>
      </c>
    </row>
    <row r="1093" spans="1:20" x14ac:dyDescent="0.35">
      <c r="A1093" s="1">
        <v>273740</v>
      </c>
      <c r="B1093" s="7">
        <v>1163173.8</v>
      </c>
      <c r="C1093" s="2">
        <v>271.23200000000003</v>
      </c>
      <c r="D1093" s="2">
        <v>273.61</v>
      </c>
      <c r="E1093" s="2">
        <v>2.3780000000000001</v>
      </c>
      <c r="F1093" s="2">
        <v>270.56</v>
      </c>
      <c r="G1093" s="2">
        <v>272.89699999999999</v>
      </c>
      <c r="H1093" s="2">
        <v>2.3370000000000002</v>
      </c>
      <c r="I1093" s="2">
        <v>261.68099999999998</v>
      </c>
      <c r="J1093" s="2">
        <v>262.072</v>
      </c>
      <c r="K1093" s="15">
        <v>10.824999999999999</v>
      </c>
      <c r="L1093" s="2">
        <v>25.265999999999998</v>
      </c>
      <c r="N1093" s="7">
        <f t="shared" si="150"/>
        <v>240</v>
      </c>
      <c r="O1093" s="1">
        <v>0</v>
      </c>
      <c r="P1093" s="1" t="str">
        <f t="shared" si="147"/>
        <v>240,0</v>
      </c>
      <c r="Q1093" s="6" t="s">
        <v>10</v>
      </c>
      <c r="R1093" s="1">
        <v>90</v>
      </c>
      <c r="S1093" s="1">
        <v>2.5</v>
      </c>
      <c r="T1093" s="1" t="str">
        <f t="shared" si="149"/>
        <v>-text 240,0 2.5 90 1163173.8</v>
      </c>
    </row>
    <row r="1094" spans="1:20" x14ac:dyDescent="0.35">
      <c r="A1094" s="1">
        <v>273760</v>
      </c>
      <c r="B1094" s="7">
        <v>1163193.8</v>
      </c>
      <c r="C1094" s="2">
        <v>271.22800000000001</v>
      </c>
      <c r="D1094" s="2">
        <v>273.61</v>
      </c>
      <c r="E1094" s="2">
        <v>2.3820000000000001</v>
      </c>
      <c r="F1094" s="2">
        <v>270.55599999999998</v>
      </c>
      <c r="G1094" s="2">
        <v>272.89699999999999</v>
      </c>
      <c r="H1094" s="2">
        <v>2.3410000000000002</v>
      </c>
      <c r="I1094" s="2">
        <v>261.661</v>
      </c>
      <c r="J1094" s="2">
        <v>261.17200000000003</v>
      </c>
      <c r="K1094" s="15">
        <v>11.725</v>
      </c>
      <c r="L1094" s="2">
        <v>25.19</v>
      </c>
      <c r="N1094" s="7">
        <f t="shared" si="150"/>
        <v>260</v>
      </c>
      <c r="O1094" s="1">
        <v>0</v>
      </c>
      <c r="P1094" s="1" t="str">
        <f t="shared" si="147"/>
        <v>260,0</v>
      </c>
      <c r="Q1094" s="6" t="s">
        <v>10</v>
      </c>
      <c r="R1094" s="1">
        <v>90</v>
      </c>
      <c r="S1094" s="1">
        <v>2.5</v>
      </c>
      <c r="T1094" s="1" t="str">
        <f t="shared" si="149"/>
        <v>-text 260,0 2.5 90 1163193.8</v>
      </c>
    </row>
    <row r="1095" spans="1:20" x14ac:dyDescent="0.35">
      <c r="A1095" s="1">
        <v>273780</v>
      </c>
      <c r="B1095" s="7">
        <v>1163213.8</v>
      </c>
      <c r="C1095" s="2">
        <v>271.18799999999999</v>
      </c>
      <c r="D1095" s="2">
        <v>273.61</v>
      </c>
      <c r="E1095" s="2">
        <v>2.4220000000000002</v>
      </c>
      <c r="F1095" s="2">
        <v>270.51600000000002</v>
      </c>
      <c r="G1095" s="2">
        <v>272.89699999999999</v>
      </c>
      <c r="H1095" s="2">
        <v>2.3809999999999998</v>
      </c>
      <c r="I1095" s="2">
        <v>264.01799999999997</v>
      </c>
      <c r="J1095" s="2">
        <v>265.04300000000001</v>
      </c>
      <c r="K1095" s="15">
        <v>7.8540000000000001</v>
      </c>
      <c r="L1095" s="2">
        <v>25.140999999999998</v>
      </c>
      <c r="N1095" s="7">
        <f t="shared" si="150"/>
        <v>280</v>
      </c>
      <c r="O1095" s="1">
        <v>0</v>
      </c>
      <c r="P1095" s="1" t="str">
        <f t="shared" si="147"/>
        <v>280,0</v>
      </c>
      <c r="Q1095" s="6" t="s">
        <v>10</v>
      </c>
      <c r="R1095" s="1">
        <v>90</v>
      </c>
      <c r="S1095" s="1">
        <v>2.5</v>
      </c>
      <c r="T1095" s="1" t="str">
        <f t="shared" si="149"/>
        <v>-text 280,0 2.5 90 1163213.8</v>
      </c>
    </row>
    <row r="1096" spans="1:20" x14ac:dyDescent="0.35">
      <c r="A1096" s="1">
        <v>273800</v>
      </c>
      <c r="B1096" s="7">
        <v>1163233.8</v>
      </c>
      <c r="C1096" s="2">
        <v>271.11099999999999</v>
      </c>
      <c r="D1096" s="2">
        <v>273.61</v>
      </c>
      <c r="E1096" s="2">
        <v>2.4990000000000001</v>
      </c>
      <c r="F1096" s="2">
        <v>270.43900000000002</v>
      </c>
      <c r="G1096" s="2">
        <v>272.89699999999999</v>
      </c>
      <c r="H1096" s="2">
        <v>2.4580000000000002</v>
      </c>
      <c r="I1096" s="2">
        <v>267.15600000000001</v>
      </c>
      <c r="J1096" s="2">
        <v>266.791</v>
      </c>
      <c r="K1096" s="15">
        <v>6.1059999999999999</v>
      </c>
      <c r="L1096" s="2">
        <v>25.116</v>
      </c>
      <c r="N1096" s="7">
        <f t="shared" si="150"/>
        <v>300</v>
      </c>
      <c r="O1096" s="1">
        <v>0</v>
      </c>
      <c r="P1096" s="1" t="str">
        <f t="shared" si="147"/>
        <v>300,0</v>
      </c>
      <c r="Q1096" s="6" t="s">
        <v>10</v>
      </c>
      <c r="R1096" s="1">
        <v>90</v>
      </c>
      <c r="S1096" s="1">
        <v>2.5</v>
      </c>
      <c r="T1096" s="1" t="str">
        <f t="shared" si="149"/>
        <v>-text 300,0 2.5 90 1163233.8</v>
      </c>
    </row>
    <row r="1097" spans="1:20" x14ac:dyDescent="0.35">
      <c r="A1097" s="1">
        <v>273820</v>
      </c>
      <c r="B1097" s="7">
        <v>1163253.8</v>
      </c>
      <c r="C1097" s="2">
        <v>271.02300000000002</v>
      </c>
      <c r="D1097" s="2">
        <v>273.60500000000002</v>
      </c>
      <c r="E1097" s="2">
        <v>2.5819999999999999</v>
      </c>
      <c r="F1097" s="2">
        <v>270.351</v>
      </c>
      <c r="G1097" s="2">
        <v>272.892</v>
      </c>
      <c r="H1097" s="2">
        <v>2.5409999999999999</v>
      </c>
      <c r="I1097" s="2">
        <v>267.53199999999998</v>
      </c>
      <c r="J1097" s="2">
        <v>267.45299999999997</v>
      </c>
      <c r="K1097" s="15">
        <v>5.4390000000000001</v>
      </c>
      <c r="L1097" s="2">
        <v>25.052</v>
      </c>
      <c r="N1097" s="7">
        <f t="shared" si="150"/>
        <v>320</v>
      </c>
      <c r="O1097" s="1">
        <v>0</v>
      </c>
      <c r="P1097" s="1" t="str">
        <f t="shared" si="147"/>
        <v>320,0</v>
      </c>
      <c r="Q1097" s="6" t="s">
        <v>10</v>
      </c>
      <c r="R1097" s="1">
        <v>90</v>
      </c>
      <c r="S1097" s="1">
        <v>2.5</v>
      </c>
      <c r="T1097" s="1" t="str">
        <f t="shared" si="149"/>
        <v>-text 320,0 2.5 90 1163253.8</v>
      </c>
    </row>
    <row r="1098" spans="1:20" x14ac:dyDescent="0.35">
      <c r="A1098" s="1">
        <v>273840</v>
      </c>
      <c r="B1098" s="7">
        <v>1163273.8</v>
      </c>
      <c r="C1098" s="2">
        <v>270.85599999999999</v>
      </c>
      <c r="D1098" s="2">
        <v>273.517</v>
      </c>
      <c r="E1098" s="2">
        <v>2.661</v>
      </c>
      <c r="F1098" s="2">
        <v>270.18400000000003</v>
      </c>
      <c r="G1098" s="2">
        <v>272.80399999999997</v>
      </c>
      <c r="H1098" s="2">
        <v>2.62</v>
      </c>
      <c r="I1098" s="2">
        <v>267.24099999999999</v>
      </c>
      <c r="J1098" s="2">
        <v>267.10000000000002</v>
      </c>
      <c r="K1098" s="15">
        <v>5.7030000000000003</v>
      </c>
      <c r="L1098" s="2">
        <v>24.986000000000001</v>
      </c>
      <c r="N1098" s="7">
        <f t="shared" si="150"/>
        <v>340</v>
      </c>
      <c r="O1098" s="1">
        <v>0</v>
      </c>
      <c r="P1098" s="1" t="str">
        <f t="shared" si="147"/>
        <v>340,0</v>
      </c>
      <c r="Q1098" s="6" t="s">
        <v>10</v>
      </c>
      <c r="R1098" s="1">
        <v>90</v>
      </c>
      <c r="S1098" s="1">
        <v>2.5</v>
      </c>
      <c r="T1098" s="1" t="str">
        <f t="shared" si="149"/>
        <v>-text 340,0 2.5 90 1163273.8</v>
      </c>
    </row>
    <row r="1099" spans="1:20" x14ac:dyDescent="0.35">
      <c r="A1099" s="1">
        <v>273860</v>
      </c>
      <c r="B1099" s="7">
        <v>1163293.8</v>
      </c>
      <c r="C1099" s="2">
        <v>270.75200000000001</v>
      </c>
      <c r="D1099" s="2">
        <v>273.428</v>
      </c>
      <c r="E1099" s="2">
        <v>2.677</v>
      </c>
      <c r="F1099" s="2">
        <v>270.08</v>
      </c>
      <c r="G1099" s="2">
        <v>272.71499999999997</v>
      </c>
      <c r="H1099" s="2">
        <v>2.6360000000000001</v>
      </c>
      <c r="I1099" s="2">
        <v>267.065</v>
      </c>
      <c r="J1099" s="2">
        <v>267.01900000000001</v>
      </c>
      <c r="K1099" s="15">
        <v>5.6959999999999997</v>
      </c>
      <c r="L1099" s="2">
        <v>24.920999999999999</v>
      </c>
      <c r="N1099" s="7">
        <f t="shared" si="150"/>
        <v>360</v>
      </c>
      <c r="O1099" s="1">
        <v>0</v>
      </c>
      <c r="P1099" s="1" t="str">
        <f t="shared" si="147"/>
        <v>360,0</v>
      </c>
      <c r="Q1099" s="6" t="s">
        <v>10</v>
      </c>
      <c r="R1099" s="1">
        <v>90</v>
      </c>
      <c r="S1099" s="1">
        <v>2.5</v>
      </c>
      <c r="T1099" s="1" t="str">
        <f t="shared" si="149"/>
        <v>-text 360,0 2.5 90 1163293.8</v>
      </c>
    </row>
    <row r="1100" spans="1:20" x14ac:dyDescent="0.35">
      <c r="A1100" s="1">
        <v>273880</v>
      </c>
      <c r="B1100" s="7">
        <v>1163313.8</v>
      </c>
      <c r="C1100" s="2">
        <v>270.69299999999998</v>
      </c>
      <c r="D1100" s="2">
        <v>273.33999999999997</v>
      </c>
      <c r="E1100" s="2">
        <v>2.6469999999999998</v>
      </c>
      <c r="F1100" s="2">
        <v>270.02100000000002</v>
      </c>
      <c r="G1100" s="2">
        <v>272.62700000000001</v>
      </c>
      <c r="H1100" s="2">
        <v>2.6059999999999999</v>
      </c>
      <c r="I1100" s="2">
        <v>266.97699999999998</v>
      </c>
      <c r="J1100" s="2">
        <v>267.02300000000002</v>
      </c>
      <c r="K1100" s="15">
        <v>5.6040000000000001</v>
      </c>
      <c r="L1100" s="2">
        <v>24.866</v>
      </c>
      <c r="N1100" s="7">
        <f t="shared" si="150"/>
        <v>380</v>
      </c>
      <c r="O1100" s="1">
        <v>0</v>
      </c>
      <c r="P1100" s="1" t="str">
        <f t="shared" si="147"/>
        <v>380,0</v>
      </c>
      <c r="Q1100" s="6" t="s">
        <v>10</v>
      </c>
      <c r="R1100" s="1">
        <v>90</v>
      </c>
      <c r="S1100" s="1">
        <v>2.5</v>
      </c>
      <c r="T1100" s="1" t="str">
        <f t="shared" si="149"/>
        <v>-text 380,0 2.5 90 1163313.8</v>
      </c>
    </row>
    <row r="1101" spans="1:20" x14ac:dyDescent="0.35">
      <c r="A1101" s="1">
        <v>273900</v>
      </c>
      <c r="B1101" s="7">
        <v>1163333.8</v>
      </c>
      <c r="C1101" s="2">
        <v>270.64100000000002</v>
      </c>
      <c r="D1101" s="2">
        <v>273.25200000000001</v>
      </c>
      <c r="E1101" s="2">
        <v>2.61</v>
      </c>
      <c r="F1101" s="2">
        <v>269.96899999999999</v>
      </c>
      <c r="G1101" s="2">
        <v>272.53899999999999</v>
      </c>
      <c r="H1101" s="2">
        <v>2.569</v>
      </c>
      <c r="I1101" s="2">
        <v>266.93599999999998</v>
      </c>
      <c r="J1101" s="2">
        <v>267</v>
      </c>
      <c r="K1101" s="15">
        <v>5.5380000000000003</v>
      </c>
      <c r="L1101" s="2">
        <v>24.821999999999999</v>
      </c>
      <c r="N1101" s="7">
        <f t="shared" si="150"/>
        <v>400</v>
      </c>
      <c r="O1101" s="1">
        <v>0</v>
      </c>
      <c r="P1101" s="1" t="str">
        <f t="shared" si="147"/>
        <v>400,0</v>
      </c>
      <c r="Q1101" s="6" t="s">
        <v>10</v>
      </c>
      <c r="R1101" s="1">
        <v>90</v>
      </c>
      <c r="S1101" s="1">
        <v>2.5</v>
      </c>
      <c r="T1101" s="1" t="str">
        <f t="shared" si="149"/>
        <v>-text 400,0 2.5 90 1163333.8</v>
      </c>
    </row>
    <row r="1102" spans="1:20" x14ac:dyDescent="0.35">
      <c r="A1102" s="1">
        <v>273920</v>
      </c>
      <c r="B1102" s="7">
        <v>1163353.8</v>
      </c>
      <c r="C1102" s="2">
        <v>270.57900000000001</v>
      </c>
      <c r="D1102" s="2">
        <v>273.16300000000001</v>
      </c>
      <c r="E1102" s="2">
        <v>2.5840000000000001</v>
      </c>
      <c r="F1102" s="2">
        <v>269.90699999999998</v>
      </c>
      <c r="G1102" s="2">
        <v>272.45</v>
      </c>
      <c r="H1102" s="2">
        <v>2.5430000000000001</v>
      </c>
      <c r="I1102" s="2">
        <v>266.83</v>
      </c>
      <c r="J1102" s="2">
        <v>267.08600000000001</v>
      </c>
      <c r="K1102" s="15">
        <v>5.3639999999999999</v>
      </c>
      <c r="L1102" s="2">
        <v>24.765000000000001</v>
      </c>
      <c r="N1102" s="7">
        <f t="shared" si="150"/>
        <v>420</v>
      </c>
      <c r="O1102" s="1">
        <v>0</v>
      </c>
      <c r="P1102" s="1" t="str">
        <f t="shared" si="147"/>
        <v>420,0</v>
      </c>
      <c r="Q1102" s="6" t="s">
        <v>10</v>
      </c>
      <c r="R1102" s="1">
        <v>90</v>
      </c>
      <c r="S1102" s="1">
        <v>2.5</v>
      </c>
      <c r="T1102" s="1" t="str">
        <f t="shared" si="149"/>
        <v>-text 420,0 2.5 90 1163353.8</v>
      </c>
    </row>
    <row r="1103" spans="1:20" x14ac:dyDescent="0.35">
      <c r="A1103" s="1">
        <v>273940</v>
      </c>
      <c r="B1103" s="7">
        <v>1163373.8</v>
      </c>
      <c r="C1103" s="2">
        <v>270.51400000000001</v>
      </c>
      <c r="D1103" s="2">
        <v>273.07499999999999</v>
      </c>
      <c r="E1103" s="2">
        <v>2.5609999999999999</v>
      </c>
      <c r="F1103" s="2">
        <v>269.84199999999998</v>
      </c>
      <c r="G1103" s="2">
        <v>272.36200000000002</v>
      </c>
      <c r="H1103" s="2">
        <v>2.52</v>
      </c>
      <c r="I1103" s="2">
        <v>266.32299999999998</v>
      </c>
      <c r="J1103" s="2">
        <v>266.786</v>
      </c>
      <c r="K1103" s="15">
        <v>5.5759999999999996</v>
      </c>
      <c r="L1103" s="2">
        <v>24.709</v>
      </c>
      <c r="N1103" s="7">
        <f t="shared" si="150"/>
        <v>440</v>
      </c>
      <c r="O1103" s="1">
        <v>0</v>
      </c>
      <c r="P1103" s="1" t="str">
        <f t="shared" si="147"/>
        <v>440,0</v>
      </c>
      <c r="Q1103" s="6" t="s">
        <v>10</v>
      </c>
      <c r="R1103" s="1">
        <v>90</v>
      </c>
      <c r="S1103" s="1">
        <v>2.5</v>
      </c>
      <c r="T1103" s="1" t="str">
        <f t="shared" si="149"/>
        <v>-text 440,0 2.5 90 1163373.8</v>
      </c>
    </row>
    <row r="1104" spans="1:20" x14ac:dyDescent="0.35">
      <c r="A1104" s="1">
        <v>273960</v>
      </c>
      <c r="B1104" s="7">
        <v>1163393.8</v>
      </c>
      <c r="C1104" s="2">
        <v>270.43200000000002</v>
      </c>
      <c r="D1104" s="2">
        <v>272.98599999999999</v>
      </c>
      <c r="E1104" s="2">
        <v>2.5550000000000002</v>
      </c>
      <c r="F1104" s="2">
        <v>269.76</v>
      </c>
      <c r="G1104" s="2">
        <v>272.27300000000002</v>
      </c>
      <c r="H1104" s="2">
        <v>2.5139999999999998</v>
      </c>
      <c r="I1104" s="2">
        <v>265.70299999999997</v>
      </c>
      <c r="J1104" s="2">
        <v>266.07799999999997</v>
      </c>
      <c r="K1104" s="15">
        <v>6.1950000000000003</v>
      </c>
      <c r="L1104" s="2">
        <v>24.664000000000001</v>
      </c>
      <c r="N1104" s="7">
        <f t="shared" si="150"/>
        <v>460</v>
      </c>
      <c r="O1104" s="1">
        <v>0</v>
      </c>
      <c r="P1104" s="1" t="str">
        <f t="shared" si="147"/>
        <v>460,0</v>
      </c>
      <c r="Q1104" s="6" t="s">
        <v>10</v>
      </c>
      <c r="R1104" s="1">
        <v>90</v>
      </c>
      <c r="S1104" s="1">
        <v>2.5</v>
      </c>
      <c r="T1104" s="1" t="str">
        <f t="shared" si="149"/>
        <v>-text 460,0 2.5 90 1163393.8</v>
      </c>
    </row>
    <row r="1105" spans="1:20" x14ac:dyDescent="0.35">
      <c r="A1105" s="1">
        <v>273980</v>
      </c>
      <c r="B1105" s="7">
        <v>1163413.8</v>
      </c>
      <c r="C1105" s="2">
        <v>270.36700000000002</v>
      </c>
      <c r="D1105" s="2">
        <v>272.89800000000002</v>
      </c>
      <c r="E1105" s="2">
        <v>2.5310000000000001</v>
      </c>
      <c r="F1105" s="2">
        <v>269.69499999999999</v>
      </c>
      <c r="G1105" s="2">
        <v>272.185</v>
      </c>
      <c r="H1105" s="2">
        <v>2.4900000000000002</v>
      </c>
      <c r="I1105" s="2">
        <v>265.721</v>
      </c>
      <c r="J1105" s="2">
        <v>265.77699999999999</v>
      </c>
      <c r="K1105" s="15">
        <v>6.4089999999999998</v>
      </c>
      <c r="L1105" s="2">
        <v>24.61</v>
      </c>
      <c r="N1105" s="7">
        <f t="shared" si="150"/>
        <v>480</v>
      </c>
      <c r="O1105" s="1">
        <v>0</v>
      </c>
      <c r="P1105" s="1" t="str">
        <f t="shared" si="147"/>
        <v>480,0</v>
      </c>
      <c r="Q1105" s="6" t="s">
        <v>10</v>
      </c>
      <c r="R1105" s="1">
        <v>90</v>
      </c>
      <c r="S1105" s="1">
        <v>2.5</v>
      </c>
      <c r="T1105" s="1" t="str">
        <f t="shared" si="149"/>
        <v>-text 480,0 2.5 90 1163413.8</v>
      </c>
    </row>
    <row r="1106" spans="1:20" x14ac:dyDescent="0.35">
      <c r="A1106" s="1">
        <v>274000</v>
      </c>
      <c r="B1106" s="7">
        <v>1163433.8</v>
      </c>
      <c r="C1106" s="2">
        <v>270.32499999999999</v>
      </c>
      <c r="D1106" s="2">
        <v>272.81</v>
      </c>
      <c r="E1106" s="2">
        <v>2.4849999999999999</v>
      </c>
      <c r="F1106" s="2">
        <v>269.65300000000002</v>
      </c>
      <c r="G1106" s="2">
        <v>272.09699999999998</v>
      </c>
      <c r="H1106" s="2">
        <v>2.444</v>
      </c>
      <c r="I1106" s="2">
        <v>266.05500000000001</v>
      </c>
      <c r="J1106" s="2">
        <v>265.95699999999999</v>
      </c>
      <c r="K1106" s="15">
        <v>6.1390000000000002</v>
      </c>
      <c r="L1106" s="2">
        <v>24.545000000000002</v>
      </c>
      <c r="N1106" s="7">
        <f t="shared" si="150"/>
        <v>500</v>
      </c>
      <c r="O1106" s="1">
        <v>0</v>
      </c>
      <c r="P1106" s="1" t="str">
        <f t="shared" si="147"/>
        <v>500,0</v>
      </c>
      <c r="Q1106" s="6" t="s">
        <v>10</v>
      </c>
      <c r="R1106" s="1">
        <v>90</v>
      </c>
      <c r="S1106" s="1">
        <v>2.5</v>
      </c>
      <c r="T1106" s="1" t="str">
        <f t="shared" si="149"/>
        <v>-text 500,0 2.5 90 1163433.8</v>
      </c>
    </row>
    <row r="1107" spans="1:20" s="23" customFormat="1" x14ac:dyDescent="0.35">
      <c r="B1107" s="24"/>
      <c r="C1107" s="25"/>
      <c r="D1107" s="25"/>
      <c r="E1107" s="25"/>
      <c r="F1107" s="25"/>
      <c r="G1107" s="25"/>
      <c r="H1107" s="25"/>
      <c r="I1107" s="25"/>
      <c r="J1107" s="25"/>
      <c r="K1107" s="26"/>
      <c r="L1107" s="25"/>
      <c r="M1107" s="25"/>
    </row>
    <row r="1108" spans="1:20" x14ac:dyDescent="0.35">
      <c r="A1108" s="1">
        <v>274000</v>
      </c>
      <c r="B1108" s="7">
        <v>1163433.8</v>
      </c>
      <c r="C1108" s="2">
        <v>270.32499999999999</v>
      </c>
      <c r="D1108" s="2">
        <v>272.81</v>
      </c>
      <c r="E1108" s="2">
        <v>2.4849999999999999</v>
      </c>
      <c r="F1108" s="2">
        <v>269.65300000000002</v>
      </c>
      <c r="G1108" s="2">
        <v>272.09699999999998</v>
      </c>
      <c r="H1108" s="2">
        <v>2.444</v>
      </c>
      <c r="I1108" s="2">
        <v>266.05500000000001</v>
      </c>
      <c r="J1108" s="2">
        <v>265.95699999999999</v>
      </c>
      <c r="K1108" s="15">
        <v>6.1390000000000002</v>
      </c>
      <c r="L1108" s="2">
        <v>24.545000000000002</v>
      </c>
      <c r="N1108" s="7">
        <v>0</v>
      </c>
      <c r="O1108" s="1">
        <v>0</v>
      </c>
      <c r="P1108" s="1" t="str">
        <f t="shared" ref="P1108:P1109" si="151">CONCATENATE(N1108,",",O1108)</f>
        <v>0,0</v>
      </c>
      <c r="Q1108" s="6" t="s">
        <v>10</v>
      </c>
      <c r="R1108" s="1">
        <v>90</v>
      </c>
      <c r="S1108" s="1">
        <v>2.5</v>
      </c>
      <c r="T1108" s="1" t="str">
        <f t="shared" ref="T1108:T1133" si="152">$Q1108&amp;" "&amp;$P1108&amp;" "&amp;$S1108&amp;" "&amp;$R1108&amp;" "&amp;$B1108</f>
        <v>-text 0,0 2.5 90 1163433.8</v>
      </c>
    </row>
    <row r="1109" spans="1:20" x14ac:dyDescent="0.35">
      <c r="A1109" s="1">
        <v>274020</v>
      </c>
      <c r="B1109" s="7">
        <v>1163453.8</v>
      </c>
      <c r="C1109" s="2">
        <v>270.26400000000001</v>
      </c>
      <c r="D1109" s="2">
        <v>272.72199999999998</v>
      </c>
      <c r="E1109" s="2">
        <v>2.4580000000000002</v>
      </c>
      <c r="F1109" s="2">
        <v>269.59199999999998</v>
      </c>
      <c r="G1109" s="2">
        <v>272.00900000000001</v>
      </c>
      <c r="H1109" s="2">
        <v>2.4169999999999998</v>
      </c>
      <c r="I1109" s="2">
        <v>266.17899999999997</v>
      </c>
      <c r="J1109" s="2">
        <v>266.11200000000002</v>
      </c>
      <c r="K1109" s="15">
        <v>5.8959999999999999</v>
      </c>
      <c r="L1109" s="2">
        <v>24.489000000000001</v>
      </c>
      <c r="N1109" s="7">
        <f t="shared" ref="N1109:N1132" si="153">N1108+(B1109-B1108)</f>
        <v>20</v>
      </c>
      <c r="O1109" s="1">
        <v>0</v>
      </c>
      <c r="P1109" s="1" t="str">
        <f t="shared" si="151"/>
        <v>20,0</v>
      </c>
      <c r="Q1109" s="6" t="s">
        <v>10</v>
      </c>
      <c r="R1109" s="1">
        <v>90</v>
      </c>
      <c r="S1109" s="1">
        <v>2.5</v>
      </c>
      <c r="T1109" s="1" t="str">
        <f t="shared" si="152"/>
        <v>-text 20,0 2.5 90 1163453.8</v>
      </c>
    </row>
    <row r="1110" spans="1:20" x14ac:dyDescent="0.35">
      <c r="A1110" s="1">
        <v>274040</v>
      </c>
      <c r="B1110" s="7">
        <v>1163473.8</v>
      </c>
      <c r="C1110" s="2">
        <v>270.19499999999999</v>
      </c>
      <c r="D1110" s="2">
        <v>272.63299999999998</v>
      </c>
      <c r="E1110" s="2">
        <v>2.4380000000000002</v>
      </c>
      <c r="F1110" s="2">
        <v>269.52300000000002</v>
      </c>
      <c r="G1110" s="2">
        <v>271.92</v>
      </c>
      <c r="H1110" s="2">
        <v>2.3969999999999998</v>
      </c>
      <c r="I1110" s="2">
        <v>266.31700000000001</v>
      </c>
      <c r="J1110" s="2">
        <v>266.36</v>
      </c>
      <c r="K1110" s="15">
        <v>5.5609999999999999</v>
      </c>
      <c r="L1110" s="2">
        <v>24.439</v>
      </c>
      <c r="N1110" s="7">
        <f t="shared" si="153"/>
        <v>40</v>
      </c>
      <c r="O1110" s="1">
        <v>0</v>
      </c>
      <c r="P1110" s="1" t="str">
        <f t="shared" ref="P1110:P1177" si="154">CONCATENATE(N1110,",",O1110)</f>
        <v>40,0</v>
      </c>
      <c r="Q1110" s="6" t="s">
        <v>10</v>
      </c>
      <c r="R1110" s="1">
        <v>90</v>
      </c>
      <c r="S1110" s="1">
        <v>2.5</v>
      </c>
      <c r="T1110" s="1" t="str">
        <f t="shared" si="152"/>
        <v>-text 40,0 2.5 90 1163473.8</v>
      </c>
    </row>
    <row r="1111" spans="1:20" x14ac:dyDescent="0.35">
      <c r="A1111" s="1">
        <v>274060</v>
      </c>
      <c r="B1111" s="7">
        <v>1163493.8</v>
      </c>
      <c r="C1111" s="2">
        <v>270.15600000000001</v>
      </c>
      <c r="D1111" s="2">
        <v>272.54500000000002</v>
      </c>
      <c r="E1111" s="2">
        <v>2.3889999999999998</v>
      </c>
      <c r="F1111" s="2">
        <v>269.48399999999998</v>
      </c>
      <c r="G1111" s="2">
        <v>271.83199999999999</v>
      </c>
      <c r="H1111" s="2">
        <v>2.3479999999999999</v>
      </c>
      <c r="I1111" s="2">
        <v>266.42899999999997</v>
      </c>
      <c r="J1111" s="2">
        <v>266.52600000000001</v>
      </c>
      <c r="K1111" s="15">
        <v>5.3049999999999997</v>
      </c>
      <c r="L1111" s="2">
        <v>24.393000000000001</v>
      </c>
      <c r="N1111" s="7">
        <f t="shared" si="153"/>
        <v>60</v>
      </c>
      <c r="O1111" s="1">
        <v>0</v>
      </c>
      <c r="P1111" s="1" t="str">
        <f t="shared" si="154"/>
        <v>60,0</v>
      </c>
      <c r="Q1111" s="6" t="s">
        <v>10</v>
      </c>
      <c r="R1111" s="1">
        <v>90</v>
      </c>
      <c r="S1111" s="1">
        <v>2.5</v>
      </c>
      <c r="T1111" s="1" t="str">
        <f t="shared" si="152"/>
        <v>-text 60,0 2.5 90 1163493.8</v>
      </c>
    </row>
    <row r="1112" spans="1:20" x14ac:dyDescent="0.35">
      <c r="A1112" s="1">
        <v>274080</v>
      </c>
      <c r="B1112" s="7">
        <v>1163513.8</v>
      </c>
      <c r="C1112" s="2">
        <v>270.11099999999999</v>
      </c>
      <c r="D1112" s="2">
        <v>272.45699999999999</v>
      </c>
      <c r="E1112" s="2">
        <v>2.3450000000000002</v>
      </c>
      <c r="F1112" s="2">
        <v>269.43900000000002</v>
      </c>
      <c r="G1112" s="2">
        <v>271.74400000000003</v>
      </c>
      <c r="H1112" s="2">
        <v>2.3039999999999998</v>
      </c>
      <c r="I1112" s="2">
        <v>266.47500000000002</v>
      </c>
      <c r="J1112" s="2">
        <v>266.54899999999998</v>
      </c>
      <c r="K1112" s="15">
        <v>5.194</v>
      </c>
      <c r="L1112" s="2">
        <v>24.34</v>
      </c>
      <c r="N1112" s="7">
        <f t="shared" si="153"/>
        <v>80</v>
      </c>
      <c r="O1112" s="1">
        <v>0</v>
      </c>
      <c r="P1112" s="1" t="str">
        <f t="shared" si="154"/>
        <v>80,0</v>
      </c>
      <c r="Q1112" s="6" t="s">
        <v>10</v>
      </c>
      <c r="R1112" s="1">
        <v>90</v>
      </c>
      <c r="S1112" s="1">
        <v>2.5</v>
      </c>
      <c r="T1112" s="1" t="str">
        <f t="shared" si="152"/>
        <v>-text 80,0 2.5 90 1163513.8</v>
      </c>
    </row>
    <row r="1113" spans="1:20" x14ac:dyDescent="0.35">
      <c r="A1113" s="1">
        <v>274100</v>
      </c>
      <c r="B1113" s="7">
        <v>1163533.8</v>
      </c>
      <c r="C1113" s="2">
        <v>270.048</v>
      </c>
      <c r="D1113" s="2">
        <v>272.36799999999999</v>
      </c>
      <c r="E1113" s="2">
        <v>2.3199999999999998</v>
      </c>
      <c r="F1113" s="2">
        <v>269.37599999999998</v>
      </c>
      <c r="G1113" s="2">
        <v>271.65499999999997</v>
      </c>
      <c r="H1113" s="2">
        <v>2.2789999999999999</v>
      </c>
      <c r="I1113" s="2">
        <v>266.5</v>
      </c>
      <c r="J1113" s="2">
        <v>266.56799999999998</v>
      </c>
      <c r="K1113" s="15">
        <v>5.0880000000000001</v>
      </c>
      <c r="L1113" s="2">
        <v>24.228000000000002</v>
      </c>
      <c r="N1113" s="7">
        <f t="shared" si="153"/>
        <v>100</v>
      </c>
      <c r="O1113" s="1">
        <v>0</v>
      </c>
      <c r="P1113" s="1" t="str">
        <f t="shared" si="154"/>
        <v>100,0</v>
      </c>
      <c r="Q1113" s="6" t="s">
        <v>10</v>
      </c>
      <c r="R1113" s="1">
        <v>90</v>
      </c>
      <c r="S1113" s="1">
        <v>2.5</v>
      </c>
      <c r="T1113" s="1" t="str">
        <f t="shared" si="152"/>
        <v>-text 100,0 2.5 90 1163533.8</v>
      </c>
    </row>
    <row r="1114" spans="1:20" x14ac:dyDescent="0.35">
      <c r="A1114" s="1">
        <v>274120</v>
      </c>
      <c r="B1114" s="7">
        <v>1163553.8</v>
      </c>
      <c r="C1114" s="2">
        <v>269.98700000000002</v>
      </c>
      <c r="D1114" s="2">
        <v>272.27999999999997</v>
      </c>
      <c r="E1114" s="2">
        <v>2.2919999999999998</v>
      </c>
      <c r="F1114" s="2">
        <v>269.315</v>
      </c>
      <c r="G1114" s="2">
        <v>271.56700000000001</v>
      </c>
      <c r="H1114" s="2">
        <v>2.2509999999999999</v>
      </c>
      <c r="I1114" s="2">
        <v>266.51100000000002</v>
      </c>
      <c r="J1114" s="2">
        <v>266.55099999999999</v>
      </c>
      <c r="K1114" s="15">
        <v>5.016</v>
      </c>
      <c r="L1114" s="2">
        <v>24.013000000000002</v>
      </c>
      <c r="N1114" s="7">
        <f t="shared" si="153"/>
        <v>120</v>
      </c>
      <c r="O1114" s="1">
        <v>0</v>
      </c>
      <c r="P1114" s="1" t="str">
        <f t="shared" si="154"/>
        <v>120,0</v>
      </c>
      <c r="Q1114" s="6" t="s">
        <v>10</v>
      </c>
      <c r="R1114" s="1">
        <v>90</v>
      </c>
      <c r="S1114" s="1">
        <v>2.5</v>
      </c>
      <c r="T1114" s="1" t="str">
        <f t="shared" si="152"/>
        <v>-text 120,0 2.5 90 1163553.8</v>
      </c>
    </row>
    <row r="1115" spans="1:20" x14ac:dyDescent="0.35">
      <c r="A1115" s="1">
        <v>274140</v>
      </c>
      <c r="B1115" s="7">
        <v>1163573.8</v>
      </c>
      <c r="C1115" s="2">
        <v>269.928</v>
      </c>
      <c r="D1115" s="2">
        <v>272.19099999999997</v>
      </c>
      <c r="E1115" s="2">
        <v>2.2629999999999999</v>
      </c>
      <c r="F1115" s="2">
        <v>269.25599999999997</v>
      </c>
      <c r="G1115" s="2">
        <v>271.47800000000001</v>
      </c>
      <c r="H1115" s="2">
        <v>2.222</v>
      </c>
      <c r="I1115" s="2">
        <v>266.46899999999999</v>
      </c>
      <c r="J1115" s="2">
        <v>266.49</v>
      </c>
      <c r="K1115" s="15">
        <v>4.9880000000000004</v>
      </c>
      <c r="L1115" s="2">
        <v>23.626999999999999</v>
      </c>
      <c r="N1115" s="7">
        <f t="shared" si="153"/>
        <v>140</v>
      </c>
      <c r="O1115" s="1">
        <v>0</v>
      </c>
      <c r="P1115" s="1" t="str">
        <f t="shared" si="154"/>
        <v>140,0</v>
      </c>
      <c r="Q1115" s="6" t="s">
        <v>10</v>
      </c>
      <c r="R1115" s="1">
        <v>90</v>
      </c>
      <c r="S1115" s="1">
        <v>2.5</v>
      </c>
      <c r="T1115" s="1" t="str">
        <f t="shared" si="152"/>
        <v>-text 140,0 2.5 90 1163573.8</v>
      </c>
    </row>
    <row r="1116" spans="1:20" x14ac:dyDescent="0.35">
      <c r="A1116" s="1">
        <v>274160</v>
      </c>
      <c r="B1116" s="7">
        <v>1163593.8</v>
      </c>
      <c r="C1116" s="2">
        <v>269.88099999999997</v>
      </c>
      <c r="D1116" s="2">
        <v>272.10300000000001</v>
      </c>
      <c r="E1116" s="2">
        <v>2.222</v>
      </c>
      <c r="F1116" s="2">
        <v>269.209</v>
      </c>
      <c r="G1116" s="2">
        <v>271.39</v>
      </c>
      <c r="H1116" s="2">
        <v>2.181</v>
      </c>
      <c r="I1116" s="2">
        <v>266.46800000000002</v>
      </c>
      <c r="J1116" s="2">
        <v>266.63400000000001</v>
      </c>
      <c r="K1116" s="15">
        <v>4.7560000000000002</v>
      </c>
      <c r="L1116" s="2">
        <v>23.024000000000001</v>
      </c>
      <c r="N1116" s="7">
        <f t="shared" si="153"/>
        <v>160</v>
      </c>
      <c r="O1116" s="1">
        <v>0</v>
      </c>
      <c r="P1116" s="1" t="str">
        <f t="shared" si="154"/>
        <v>160,0</v>
      </c>
      <c r="Q1116" s="6" t="s">
        <v>10</v>
      </c>
      <c r="R1116" s="1">
        <v>90</v>
      </c>
      <c r="S1116" s="1">
        <v>2.5</v>
      </c>
      <c r="T1116" s="1" t="str">
        <f t="shared" si="152"/>
        <v>-text 160,0 2.5 90 1163593.8</v>
      </c>
    </row>
    <row r="1117" spans="1:20" x14ac:dyDescent="0.35">
      <c r="A1117" s="1">
        <v>274180</v>
      </c>
      <c r="B1117" s="7">
        <v>1163613.8999999999</v>
      </c>
      <c r="C1117" s="2">
        <v>269.84300000000002</v>
      </c>
      <c r="D1117" s="2">
        <v>272.01499999999999</v>
      </c>
      <c r="E1117" s="2">
        <v>2.1720000000000002</v>
      </c>
      <c r="F1117" s="2">
        <v>269.17099999999999</v>
      </c>
      <c r="G1117" s="2">
        <v>271.30200000000002</v>
      </c>
      <c r="H1117" s="2">
        <v>2.1309999999999998</v>
      </c>
      <c r="I1117" s="2">
        <v>266.46800000000002</v>
      </c>
      <c r="J1117" s="2">
        <v>266.61900000000003</v>
      </c>
      <c r="K1117" s="15">
        <v>4.6829999999999998</v>
      </c>
      <c r="L1117" s="2">
        <v>22.196999999999999</v>
      </c>
      <c r="N1117" s="7">
        <f t="shared" si="153"/>
        <v>180.0999999998603</v>
      </c>
      <c r="O1117" s="1">
        <v>0</v>
      </c>
      <c r="P1117" s="1" t="str">
        <f t="shared" si="154"/>
        <v>180.09999999986,0</v>
      </c>
      <c r="Q1117" s="6" t="s">
        <v>10</v>
      </c>
      <c r="R1117" s="1">
        <v>90</v>
      </c>
      <c r="S1117" s="1">
        <v>2.5</v>
      </c>
      <c r="T1117" s="1" t="str">
        <f t="shared" si="152"/>
        <v>-text 180.09999999986,0 2.5 90 1163613.9</v>
      </c>
    </row>
    <row r="1118" spans="1:20" x14ac:dyDescent="0.35">
      <c r="A1118" s="1">
        <v>274200</v>
      </c>
      <c r="B1118" s="7">
        <v>1163633.8999999999</v>
      </c>
      <c r="C1118" s="2">
        <v>269.80500000000001</v>
      </c>
      <c r="D1118" s="2">
        <v>271.92599999999999</v>
      </c>
      <c r="E1118" s="2">
        <v>2.121</v>
      </c>
      <c r="F1118" s="2">
        <v>269.13299999999998</v>
      </c>
      <c r="G1118" s="2">
        <v>271.21300000000002</v>
      </c>
      <c r="H1118" s="2">
        <v>2.08</v>
      </c>
      <c r="I1118" s="2">
        <v>266.45</v>
      </c>
      <c r="J1118" s="2">
        <v>266.64100000000002</v>
      </c>
      <c r="K1118" s="15">
        <v>4.5720000000000001</v>
      </c>
      <c r="L1118" s="2">
        <v>21.204000000000001</v>
      </c>
      <c r="N1118" s="7">
        <f t="shared" si="153"/>
        <v>200.0999999998603</v>
      </c>
      <c r="O1118" s="1">
        <v>0</v>
      </c>
      <c r="P1118" s="1" t="str">
        <f t="shared" si="154"/>
        <v>200.09999999986,0</v>
      </c>
      <c r="Q1118" s="6" t="s">
        <v>10</v>
      </c>
      <c r="R1118" s="1">
        <v>90</v>
      </c>
      <c r="S1118" s="1">
        <v>2.5</v>
      </c>
      <c r="T1118" s="1" t="str">
        <f t="shared" si="152"/>
        <v>-text 200.09999999986,0 2.5 90 1163633.9</v>
      </c>
    </row>
    <row r="1119" spans="1:20" x14ac:dyDescent="0.35">
      <c r="A1119" s="1">
        <v>274220</v>
      </c>
      <c r="B1119" s="7">
        <v>1163654.1000000001</v>
      </c>
      <c r="C1119" s="2">
        <v>269.76600000000002</v>
      </c>
      <c r="D1119" s="2">
        <v>271.83699999999999</v>
      </c>
      <c r="E1119" s="2">
        <v>2.0710000000000002</v>
      </c>
      <c r="F1119" s="2">
        <v>269.09399999999999</v>
      </c>
      <c r="G1119" s="2">
        <v>271.12400000000002</v>
      </c>
      <c r="H1119" s="2">
        <v>2.0299999999999998</v>
      </c>
      <c r="I1119" s="2">
        <v>266.43900000000002</v>
      </c>
      <c r="J1119" s="2">
        <v>266.57799999999997</v>
      </c>
      <c r="K1119" s="15">
        <v>4.5460000000000003</v>
      </c>
      <c r="L1119" s="2">
        <v>20.084</v>
      </c>
      <c r="N1119" s="7">
        <f t="shared" si="153"/>
        <v>220.30000000004657</v>
      </c>
      <c r="O1119" s="1">
        <v>0</v>
      </c>
      <c r="P1119" s="1" t="str">
        <f t="shared" si="154"/>
        <v>220.300000000047,0</v>
      </c>
      <c r="Q1119" s="6" t="s">
        <v>10</v>
      </c>
      <c r="R1119" s="1">
        <v>90</v>
      </c>
      <c r="S1119" s="1">
        <v>2.5</v>
      </c>
      <c r="T1119" s="1" t="str">
        <f t="shared" si="152"/>
        <v>-text 220.300000000047,0 2.5 90 1163654.1</v>
      </c>
    </row>
    <row r="1120" spans="1:20" x14ac:dyDescent="0.35">
      <c r="A1120" s="1">
        <v>274240</v>
      </c>
      <c r="B1120" s="7">
        <v>1163674.1000000001</v>
      </c>
      <c r="C1120" s="2">
        <v>269.71699999999998</v>
      </c>
      <c r="D1120" s="2">
        <v>271.74799999999999</v>
      </c>
      <c r="E1120" s="2">
        <v>2.032</v>
      </c>
      <c r="F1120" s="2">
        <v>269.04500000000002</v>
      </c>
      <c r="G1120" s="2">
        <v>271.03500000000003</v>
      </c>
      <c r="H1120" s="2">
        <v>1.9910000000000001</v>
      </c>
      <c r="I1120" s="2">
        <v>266.37400000000002</v>
      </c>
      <c r="J1120" s="2">
        <v>266.56400000000002</v>
      </c>
      <c r="K1120" s="15">
        <v>4.4710000000000001</v>
      </c>
      <c r="L1120" s="2">
        <v>19.007000000000001</v>
      </c>
      <c r="N1120" s="7">
        <f t="shared" si="153"/>
        <v>240.30000000004657</v>
      </c>
      <c r="O1120" s="1">
        <v>0</v>
      </c>
      <c r="P1120" s="1" t="str">
        <f t="shared" si="154"/>
        <v>240.300000000047,0</v>
      </c>
      <c r="Q1120" s="6" t="s">
        <v>10</v>
      </c>
      <c r="R1120" s="1">
        <v>90</v>
      </c>
      <c r="S1120" s="1">
        <v>2.5</v>
      </c>
      <c r="T1120" s="1" t="str">
        <f t="shared" si="152"/>
        <v>-text 240.300000000047,0 2.5 90 1163674.1</v>
      </c>
    </row>
    <row r="1121" spans="1:20" x14ac:dyDescent="0.35">
      <c r="A1121" s="1">
        <v>274260</v>
      </c>
      <c r="B1121" s="7">
        <v>1163694.3999999999</v>
      </c>
      <c r="C1121" s="2">
        <v>269.66000000000003</v>
      </c>
      <c r="D1121" s="2">
        <v>271.65899999999999</v>
      </c>
      <c r="E1121" s="2">
        <v>1.9990000000000001</v>
      </c>
      <c r="F1121" s="2">
        <v>268.988</v>
      </c>
      <c r="G1121" s="2">
        <v>270.94600000000003</v>
      </c>
      <c r="H1121" s="2">
        <v>1.958</v>
      </c>
      <c r="I1121" s="2">
        <v>266.33699999999999</v>
      </c>
      <c r="J1121" s="2">
        <v>266.536</v>
      </c>
      <c r="K1121" s="15">
        <v>4.41</v>
      </c>
      <c r="L1121" s="2">
        <v>17.989999999999998</v>
      </c>
      <c r="N1121" s="7">
        <f t="shared" si="153"/>
        <v>260.5999999998603</v>
      </c>
      <c r="O1121" s="1">
        <v>0</v>
      </c>
      <c r="P1121" s="1" t="str">
        <f t="shared" si="154"/>
        <v>260.59999999986,0</v>
      </c>
      <c r="Q1121" s="6" t="s">
        <v>10</v>
      </c>
      <c r="R1121" s="1">
        <v>90</v>
      </c>
      <c r="S1121" s="1">
        <v>2.5</v>
      </c>
      <c r="T1121" s="1" t="str">
        <f t="shared" si="152"/>
        <v>-text 260.59999999986,0 2.5 90 1163694.4</v>
      </c>
    </row>
    <row r="1122" spans="1:20" x14ac:dyDescent="0.35">
      <c r="A1122" s="1">
        <v>274280</v>
      </c>
      <c r="B1122" s="7">
        <v>1163714.3999999999</v>
      </c>
      <c r="C1122" s="2">
        <v>269.589</v>
      </c>
      <c r="D1122" s="2">
        <v>271.57100000000003</v>
      </c>
      <c r="E1122" s="2">
        <v>1.982</v>
      </c>
      <c r="F1122" s="2">
        <v>268.91699999999997</v>
      </c>
      <c r="G1122" s="2">
        <v>270.858</v>
      </c>
      <c r="H1122" s="2">
        <v>1.9410000000000001</v>
      </c>
      <c r="I1122" s="2">
        <v>266.27100000000002</v>
      </c>
      <c r="J1122" s="2">
        <v>266.45800000000003</v>
      </c>
      <c r="K1122" s="15">
        <v>4.4000000000000004</v>
      </c>
      <c r="L1122" s="2">
        <v>17.137</v>
      </c>
      <c r="N1122" s="7">
        <f t="shared" si="153"/>
        <v>280.5999999998603</v>
      </c>
      <c r="O1122" s="1">
        <v>0</v>
      </c>
      <c r="P1122" s="1" t="str">
        <f t="shared" si="154"/>
        <v>280.59999999986,0</v>
      </c>
      <c r="Q1122" s="6" t="s">
        <v>10</v>
      </c>
      <c r="R1122" s="1">
        <v>90</v>
      </c>
      <c r="S1122" s="1">
        <v>2.5</v>
      </c>
      <c r="T1122" s="1" t="str">
        <f t="shared" si="152"/>
        <v>-text 280.59999999986,0 2.5 90 1163714.4</v>
      </c>
    </row>
    <row r="1123" spans="1:20" x14ac:dyDescent="0.35">
      <c r="A1123" s="1">
        <v>274300</v>
      </c>
      <c r="B1123" s="7">
        <v>1163734.5</v>
      </c>
      <c r="C1123" s="2">
        <v>269.51400000000001</v>
      </c>
      <c r="D1123" s="2">
        <v>271.48200000000003</v>
      </c>
      <c r="E1123" s="2">
        <v>1.968</v>
      </c>
      <c r="F1123" s="2">
        <v>268.84199999999998</v>
      </c>
      <c r="G1123" s="2">
        <v>270.76900000000001</v>
      </c>
      <c r="H1123" s="2">
        <v>1.927</v>
      </c>
      <c r="I1123" s="2">
        <v>266.05399999999997</v>
      </c>
      <c r="J1123" s="2">
        <v>266.12</v>
      </c>
      <c r="K1123" s="15">
        <v>4.649</v>
      </c>
      <c r="L1123" s="2">
        <v>16.379000000000001</v>
      </c>
      <c r="N1123" s="7">
        <f t="shared" si="153"/>
        <v>300.69999999995343</v>
      </c>
      <c r="O1123" s="1">
        <v>0</v>
      </c>
      <c r="P1123" s="1" t="str">
        <f t="shared" si="154"/>
        <v>300.699999999953,0</v>
      </c>
      <c r="Q1123" s="6" t="s">
        <v>10</v>
      </c>
      <c r="R1123" s="1">
        <v>90</v>
      </c>
      <c r="S1123" s="1">
        <v>2.5</v>
      </c>
      <c r="T1123" s="1" t="str">
        <f t="shared" si="152"/>
        <v>-text 300.699999999953,0 2.5 90 1163734.5</v>
      </c>
    </row>
    <row r="1124" spans="1:20" x14ac:dyDescent="0.35">
      <c r="A1124" s="1">
        <v>274320</v>
      </c>
      <c r="B1124" s="7">
        <v>1163754.5</v>
      </c>
      <c r="C1124" s="2">
        <v>269.43799999999999</v>
      </c>
      <c r="D1124" s="2">
        <v>271.39299999999997</v>
      </c>
      <c r="E1124" s="2">
        <v>1.9550000000000001</v>
      </c>
      <c r="F1124" s="2">
        <v>268.76600000000002</v>
      </c>
      <c r="G1124" s="2">
        <v>270.68</v>
      </c>
      <c r="H1124" s="2">
        <v>1.9139999999999999</v>
      </c>
      <c r="I1124" s="2">
        <v>265.89999999999998</v>
      </c>
      <c r="J1124" s="2">
        <v>265.92200000000003</v>
      </c>
      <c r="K1124" s="15">
        <v>4.758</v>
      </c>
      <c r="L1124" s="2">
        <v>15.641999999999999</v>
      </c>
      <c r="N1124" s="7">
        <f t="shared" si="153"/>
        <v>320.69999999995343</v>
      </c>
      <c r="O1124" s="1">
        <v>0</v>
      </c>
      <c r="P1124" s="1" t="str">
        <f t="shared" si="154"/>
        <v>320.699999999953,0</v>
      </c>
      <c r="Q1124" s="6" t="s">
        <v>10</v>
      </c>
      <c r="R1124" s="1">
        <v>90</v>
      </c>
      <c r="S1124" s="1">
        <v>2.5</v>
      </c>
      <c r="T1124" s="1" t="str">
        <f t="shared" si="152"/>
        <v>-text 320.699999999953,0 2.5 90 1163754.5</v>
      </c>
    </row>
    <row r="1125" spans="1:20" x14ac:dyDescent="0.35">
      <c r="A1125" s="1">
        <v>274340</v>
      </c>
      <c r="B1125" s="7">
        <v>1163774.7</v>
      </c>
      <c r="C1125" s="2">
        <v>269.392</v>
      </c>
      <c r="D1125" s="2">
        <v>271.30399999999997</v>
      </c>
      <c r="E1125" s="2">
        <v>1.9119999999999999</v>
      </c>
      <c r="F1125" s="2">
        <v>268.72000000000003</v>
      </c>
      <c r="G1125" s="2">
        <v>270.59100000000001</v>
      </c>
      <c r="H1125" s="2">
        <v>1.871</v>
      </c>
      <c r="I1125" s="2">
        <v>265.93799999999999</v>
      </c>
      <c r="J1125" s="2">
        <v>265.99900000000002</v>
      </c>
      <c r="K1125" s="15">
        <v>4.5919999999999996</v>
      </c>
      <c r="L1125" s="2">
        <v>15.127000000000001</v>
      </c>
      <c r="N1125" s="7">
        <f t="shared" si="153"/>
        <v>340.89999999990687</v>
      </c>
      <c r="O1125" s="1">
        <v>0</v>
      </c>
      <c r="P1125" s="1" t="str">
        <f t="shared" si="154"/>
        <v>340.899999999907,0</v>
      </c>
      <c r="Q1125" s="6" t="s">
        <v>10</v>
      </c>
      <c r="R1125" s="1">
        <v>90</v>
      </c>
      <c r="S1125" s="1">
        <v>2.5</v>
      </c>
      <c r="T1125" s="1" t="str">
        <f t="shared" si="152"/>
        <v>-text 340.899999999907,0 2.5 90 1163774.7</v>
      </c>
    </row>
    <row r="1126" spans="1:20" x14ac:dyDescent="0.35">
      <c r="A1126" s="1">
        <v>274360</v>
      </c>
      <c r="B1126" s="7">
        <v>1163794.7</v>
      </c>
      <c r="C1126" s="2">
        <v>269.34800000000001</v>
      </c>
      <c r="D1126" s="2">
        <v>271.21600000000001</v>
      </c>
      <c r="E1126" s="2">
        <v>1.8680000000000001</v>
      </c>
      <c r="F1126" s="2">
        <v>268.67599999999999</v>
      </c>
      <c r="G1126" s="2">
        <v>270.50299999999999</v>
      </c>
      <c r="H1126" s="2">
        <v>1.827</v>
      </c>
      <c r="I1126" s="2">
        <v>266.08999999999997</v>
      </c>
      <c r="J1126" s="2">
        <v>266.44299999999998</v>
      </c>
      <c r="K1126" s="15">
        <v>4.0599999999999996</v>
      </c>
      <c r="L1126" s="2">
        <v>14.635999999999999</v>
      </c>
      <c r="N1126" s="7">
        <f t="shared" si="153"/>
        <v>360.89999999990687</v>
      </c>
      <c r="O1126" s="1">
        <v>0</v>
      </c>
      <c r="P1126" s="1" t="str">
        <f t="shared" si="154"/>
        <v>360.899999999907,0</v>
      </c>
      <c r="Q1126" s="6" t="s">
        <v>10</v>
      </c>
      <c r="R1126" s="1">
        <v>90</v>
      </c>
      <c r="S1126" s="1">
        <v>2.5</v>
      </c>
      <c r="T1126" s="1" t="str">
        <f t="shared" si="152"/>
        <v>-text 360.899999999907,0 2.5 90 1163794.7</v>
      </c>
    </row>
    <row r="1127" spans="1:20" x14ac:dyDescent="0.35">
      <c r="A1127" s="1">
        <v>274380</v>
      </c>
      <c r="B1127" s="7">
        <v>1163814.8999999999</v>
      </c>
      <c r="C1127" s="2">
        <v>269.3</v>
      </c>
      <c r="D1127" s="2">
        <v>271.12700000000001</v>
      </c>
      <c r="E1127" s="2">
        <v>1.8260000000000001</v>
      </c>
      <c r="F1127" s="2">
        <v>268.62799999999999</v>
      </c>
      <c r="G1127" s="2">
        <v>270.41399999999999</v>
      </c>
      <c r="H1127" s="2">
        <v>1.7849999999999999</v>
      </c>
      <c r="I1127" s="2">
        <v>266.31200000000001</v>
      </c>
      <c r="J1127" s="2">
        <v>266.45100000000002</v>
      </c>
      <c r="K1127" s="15">
        <v>3.9630000000000001</v>
      </c>
      <c r="L1127" s="2">
        <v>14.321999999999999</v>
      </c>
      <c r="N1127" s="7">
        <f t="shared" si="153"/>
        <v>381.0999999998603</v>
      </c>
      <c r="O1127" s="1">
        <v>0</v>
      </c>
      <c r="P1127" s="1" t="str">
        <f t="shared" si="154"/>
        <v>381.09999999986,0</v>
      </c>
      <c r="Q1127" s="6" t="s">
        <v>10</v>
      </c>
      <c r="R1127" s="1">
        <v>90</v>
      </c>
      <c r="S1127" s="1">
        <v>2.5</v>
      </c>
      <c r="T1127" s="1" t="str">
        <f t="shared" si="152"/>
        <v>-text 381.09999999986,0 2.5 90 1163814.9</v>
      </c>
    </row>
    <row r="1128" spans="1:20" x14ac:dyDescent="0.35">
      <c r="A1128" s="1">
        <v>274400</v>
      </c>
      <c r="B1128" s="7">
        <v>1163835</v>
      </c>
      <c r="C1128" s="2">
        <v>269.24900000000002</v>
      </c>
      <c r="D1128" s="2">
        <v>271.03800000000001</v>
      </c>
      <c r="E1128" s="2">
        <v>1.7889999999999999</v>
      </c>
      <c r="F1128" s="2">
        <v>268.577</v>
      </c>
      <c r="G1128" s="2">
        <v>270.32499999999999</v>
      </c>
      <c r="H1128" s="2">
        <v>1.748</v>
      </c>
      <c r="I1128" s="2">
        <v>266.404</v>
      </c>
      <c r="J1128" s="2">
        <v>266.35000000000002</v>
      </c>
      <c r="K1128" s="15">
        <v>3.9750000000000001</v>
      </c>
      <c r="L1128" s="2">
        <v>14.057</v>
      </c>
      <c r="N1128" s="7">
        <f t="shared" si="153"/>
        <v>401.19999999995343</v>
      </c>
      <c r="O1128" s="1">
        <v>0</v>
      </c>
      <c r="P1128" s="1" t="str">
        <f t="shared" si="154"/>
        <v>401.199999999953,0</v>
      </c>
      <c r="Q1128" s="6" t="s">
        <v>10</v>
      </c>
      <c r="R1128" s="1">
        <v>90</v>
      </c>
      <c r="S1128" s="1">
        <v>2.5</v>
      </c>
      <c r="T1128" s="1" t="str">
        <f t="shared" si="152"/>
        <v>-text 401.199999999953,0 2.5 90 1163835</v>
      </c>
    </row>
    <row r="1129" spans="1:20" x14ac:dyDescent="0.35">
      <c r="A1129" s="1">
        <v>274420</v>
      </c>
      <c r="B1129" s="7">
        <v>1163855</v>
      </c>
      <c r="C1129" s="2">
        <v>269.18700000000001</v>
      </c>
      <c r="D1129" s="2">
        <v>270.95</v>
      </c>
      <c r="E1129" s="2">
        <v>1.7629999999999999</v>
      </c>
      <c r="F1129" s="2">
        <v>268.51499999999999</v>
      </c>
      <c r="G1129" s="2">
        <v>270.23700000000002</v>
      </c>
      <c r="H1129" s="2">
        <v>1.722</v>
      </c>
      <c r="I1129" s="2">
        <v>266.29700000000003</v>
      </c>
      <c r="J1129" s="2">
        <v>266.39600000000002</v>
      </c>
      <c r="K1129" s="15">
        <v>3.8410000000000002</v>
      </c>
      <c r="L1129" s="2">
        <v>13.949</v>
      </c>
      <c r="N1129" s="7">
        <f t="shared" si="153"/>
        <v>421.19999999995343</v>
      </c>
      <c r="O1129" s="1">
        <v>0</v>
      </c>
      <c r="P1129" s="1" t="str">
        <f t="shared" si="154"/>
        <v>421.199999999953,0</v>
      </c>
      <c r="Q1129" s="6" t="s">
        <v>10</v>
      </c>
      <c r="R1129" s="1">
        <v>90</v>
      </c>
      <c r="S1129" s="1">
        <v>2.5</v>
      </c>
      <c r="T1129" s="1" t="str">
        <f t="shared" si="152"/>
        <v>-text 421.199999999953,0 2.5 90 1163855</v>
      </c>
    </row>
    <row r="1130" spans="1:20" x14ac:dyDescent="0.35">
      <c r="A1130" s="1">
        <v>274440</v>
      </c>
      <c r="B1130" s="7">
        <v>1163875.2</v>
      </c>
      <c r="C1130" s="2">
        <v>269.11700000000002</v>
      </c>
      <c r="D1130" s="2">
        <v>270.86</v>
      </c>
      <c r="E1130" s="2">
        <v>1.7430000000000001</v>
      </c>
      <c r="F1130" s="2">
        <v>268.44499999999999</v>
      </c>
      <c r="G1130" s="2">
        <v>270.14699999999999</v>
      </c>
      <c r="H1130" s="2">
        <v>1.702</v>
      </c>
      <c r="I1130" s="2">
        <v>266.04599999999999</v>
      </c>
      <c r="J1130" s="2">
        <v>266.05599999999998</v>
      </c>
      <c r="K1130" s="15">
        <v>4.0919999999999996</v>
      </c>
      <c r="L1130" s="2">
        <v>13.925000000000001</v>
      </c>
      <c r="N1130" s="7">
        <f t="shared" si="153"/>
        <v>441.39999999990687</v>
      </c>
      <c r="O1130" s="1">
        <v>0</v>
      </c>
      <c r="P1130" s="1" t="str">
        <f t="shared" si="154"/>
        <v>441.399999999907,0</v>
      </c>
      <c r="Q1130" s="6" t="s">
        <v>10</v>
      </c>
      <c r="R1130" s="1">
        <v>90</v>
      </c>
      <c r="S1130" s="1">
        <v>2.5</v>
      </c>
      <c r="T1130" s="1" t="str">
        <f t="shared" si="152"/>
        <v>-text 441.399999999907,0 2.5 90 1163875.2</v>
      </c>
    </row>
    <row r="1131" spans="1:20" x14ac:dyDescent="0.35">
      <c r="A1131" s="1">
        <v>274460</v>
      </c>
      <c r="B1131" s="7">
        <v>1163895.2</v>
      </c>
      <c r="C1131" s="2">
        <v>269.036</v>
      </c>
      <c r="D1131" s="2">
        <v>270.77199999999999</v>
      </c>
      <c r="E1131" s="2">
        <v>1.736</v>
      </c>
      <c r="F1131" s="2">
        <v>268.36399999999998</v>
      </c>
      <c r="G1131" s="2">
        <v>270.05900000000003</v>
      </c>
      <c r="H1131" s="2">
        <v>1.6950000000000001</v>
      </c>
      <c r="I1131" s="2">
        <v>266.02600000000001</v>
      </c>
      <c r="J1131" s="2">
        <v>266.19099999999997</v>
      </c>
      <c r="K1131" s="15">
        <v>3.8679999999999999</v>
      </c>
      <c r="L1131" s="2">
        <v>14.042</v>
      </c>
      <c r="N1131" s="7">
        <f t="shared" si="153"/>
        <v>461.39999999990687</v>
      </c>
      <c r="O1131" s="1">
        <v>0</v>
      </c>
      <c r="P1131" s="1" t="str">
        <f t="shared" si="154"/>
        <v>461.399999999907,0</v>
      </c>
      <c r="Q1131" s="6" t="s">
        <v>10</v>
      </c>
      <c r="R1131" s="1">
        <v>90</v>
      </c>
      <c r="S1131" s="1">
        <v>2.5</v>
      </c>
      <c r="T1131" s="1" t="str">
        <f t="shared" si="152"/>
        <v>-text 461.399999999907,0 2.5 90 1163895.2</v>
      </c>
    </row>
    <row r="1132" spans="1:20" x14ac:dyDescent="0.35">
      <c r="A1132" s="1">
        <v>274480</v>
      </c>
      <c r="B1132" s="7">
        <v>1163915.2</v>
      </c>
      <c r="C1132" s="2">
        <v>268.96800000000002</v>
      </c>
      <c r="D1132" s="2">
        <v>270.68400000000003</v>
      </c>
      <c r="E1132" s="2">
        <v>1.716</v>
      </c>
      <c r="F1132" s="2">
        <v>268.29599999999999</v>
      </c>
      <c r="G1132" s="2">
        <v>269.971</v>
      </c>
      <c r="H1132" s="2">
        <v>1.675</v>
      </c>
      <c r="I1132" s="2">
        <v>266.15600000000001</v>
      </c>
      <c r="J1132" s="2">
        <v>266.19299999999998</v>
      </c>
      <c r="K1132" s="15">
        <v>3.7770000000000001</v>
      </c>
      <c r="L1132" s="2">
        <v>14.201000000000001</v>
      </c>
      <c r="N1132" s="7">
        <f t="shared" si="153"/>
        <v>481.39999999990687</v>
      </c>
      <c r="O1132" s="1">
        <v>0</v>
      </c>
      <c r="P1132" s="1" t="str">
        <f t="shared" si="154"/>
        <v>481.399999999907,0</v>
      </c>
      <c r="Q1132" s="6" t="s">
        <v>10</v>
      </c>
      <c r="R1132" s="1">
        <v>90</v>
      </c>
      <c r="S1132" s="1">
        <v>2.5</v>
      </c>
      <c r="T1132" s="1" t="str">
        <f t="shared" si="152"/>
        <v>-text 481.399999999907,0 2.5 90 1163915.2</v>
      </c>
    </row>
    <row r="1133" spans="1:20" x14ac:dyDescent="0.35">
      <c r="A1133" s="1">
        <v>274500</v>
      </c>
      <c r="B1133" s="7">
        <v>1163935.2</v>
      </c>
      <c r="C1133" s="2">
        <v>268.916</v>
      </c>
      <c r="D1133" s="2">
        <v>270.59500000000003</v>
      </c>
      <c r="E1133" s="2">
        <v>1.68</v>
      </c>
      <c r="F1133" s="2">
        <v>268.24400000000003</v>
      </c>
      <c r="G1133" s="2">
        <v>269.88200000000001</v>
      </c>
      <c r="H1133" s="2">
        <v>1.639</v>
      </c>
      <c r="I1133" s="2">
        <v>266.03699999999998</v>
      </c>
      <c r="J1133" s="2">
        <v>266.05</v>
      </c>
      <c r="K1133" s="15">
        <v>3.8319999999999999</v>
      </c>
      <c r="L1133" s="2">
        <v>14.407999999999999</v>
      </c>
      <c r="N1133" s="7">
        <f>N1130+(B1133-B1130)</f>
        <v>501.39999999990687</v>
      </c>
      <c r="O1133" s="1">
        <v>0</v>
      </c>
      <c r="P1133" s="1" t="str">
        <f t="shared" ref="P1133" si="155">CONCATENATE(N1133,",",O1133)</f>
        <v>501.399999999907,0</v>
      </c>
      <c r="Q1133" s="6" t="s">
        <v>10</v>
      </c>
      <c r="R1133" s="1">
        <v>90</v>
      </c>
      <c r="S1133" s="1">
        <v>2.5</v>
      </c>
      <c r="T1133" s="1" t="str">
        <f t="shared" si="152"/>
        <v>-text 501.399999999907,0 2.5 90 1163935.2</v>
      </c>
    </row>
    <row r="1134" spans="1:20" s="10" customFormat="1" x14ac:dyDescent="0.35">
      <c r="B1134" s="11"/>
      <c r="C1134" s="9"/>
      <c r="D1134" s="9"/>
      <c r="E1134" s="9"/>
      <c r="F1134" s="9"/>
      <c r="G1134" s="9"/>
      <c r="H1134" s="9"/>
      <c r="I1134" s="9"/>
      <c r="J1134" s="9"/>
      <c r="K1134" s="16"/>
      <c r="L1134" s="9"/>
      <c r="M1134" s="9"/>
      <c r="N1134" s="11"/>
      <c r="Q1134" s="12"/>
    </row>
    <row r="1135" spans="1:20" x14ac:dyDescent="0.35">
      <c r="A1135" s="1">
        <v>274500</v>
      </c>
      <c r="B1135" s="7">
        <v>1163935.2</v>
      </c>
      <c r="C1135" s="2">
        <v>268.916</v>
      </c>
      <c r="D1135" s="2">
        <v>270.59500000000003</v>
      </c>
      <c r="E1135" s="2">
        <v>1.68</v>
      </c>
      <c r="F1135" s="2">
        <v>268.24400000000003</v>
      </c>
      <c r="G1135" s="2">
        <v>269.88200000000001</v>
      </c>
      <c r="H1135" s="2">
        <v>1.639</v>
      </c>
      <c r="I1135" s="2">
        <v>266.03699999999998</v>
      </c>
      <c r="J1135" s="2">
        <v>266.05</v>
      </c>
      <c r="K1135" s="15">
        <v>3.8319999999999999</v>
      </c>
      <c r="L1135" s="2">
        <v>14.407999999999999</v>
      </c>
      <c r="N1135" s="7">
        <v>0</v>
      </c>
      <c r="O1135" s="1">
        <f t="shared" ref="O1135:O1175" si="156">19+16+16+16+16+16+16+16</f>
        <v>131</v>
      </c>
      <c r="P1135" s="1" t="str">
        <f t="shared" si="154"/>
        <v>0,131</v>
      </c>
      <c r="Q1135" s="6" t="s">
        <v>10</v>
      </c>
      <c r="R1135" s="1">
        <v>90</v>
      </c>
      <c r="S1135" s="1">
        <v>2.5</v>
      </c>
      <c r="T1135" s="1" t="str">
        <f t="shared" ref="T1135:T1175" si="157">$Q1135&amp;" "&amp;$P1135&amp;" "&amp;$S1135&amp;" "&amp;$R1135&amp;" "&amp;$J1135</f>
        <v>-text 0,131 2.5 90 266.05</v>
      </c>
    </row>
    <row r="1136" spans="1:20" x14ac:dyDescent="0.35">
      <c r="A1136" s="1">
        <v>274520</v>
      </c>
      <c r="B1136" s="7">
        <v>1163955.2</v>
      </c>
      <c r="C1136" s="2">
        <v>268.88499999999999</v>
      </c>
      <c r="D1136" s="2">
        <v>270.50700000000001</v>
      </c>
      <c r="E1136" s="2">
        <v>1.6220000000000001</v>
      </c>
      <c r="F1136" s="2">
        <v>268.21300000000002</v>
      </c>
      <c r="G1136" s="2">
        <v>269.79399999999998</v>
      </c>
      <c r="H1136" s="2">
        <v>1.581</v>
      </c>
      <c r="I1136" s="2">
        <v>265.755</v>
      </c>
      <c r="J1136" s="2">
        <v>265.928</v>
      </c>
      <c r="K1136" s="15">
        <v>3.8660000000000001</v>
      </c>
      <c r="L1136" s="2">
        <v>14.57</v>
      </c>
      <c r="N1136" s="7">
        <f t="shared" ref="N1136:N1159" si="158">N1135+(B1136-B1135)</f>
        <v>20</v>
      </c>
      <c r="O1136" s="1">
        <f t="shared" si="156"/>
        <v>131</v>
      </c>
      <c r="P1136" s="1" t="str">
        <f t="shared" si="154"/>
        <v>20,131</v>
      </c>
      <c r="Q1136" s="6" t="s">
        <v>10</v>
      </c>
      <c r="R1136" s="1">
        <v>90</v>
      </c>
      <c r="S1136" s="1">
        <v>2.5</v>
      </c>
      <c r="T1136" s="1" t="str">
        <f t="shared" si="157"/>
        <v>-text 20,131 2.5 90 265.928</v>
      </c>
    </row>
    <row r="1137" spans="1:20" x14ac:dyDescent="0.35">
      <c r="A1137" s="1">
        <v>274540</v>
      </c>
      <c r="B1137" s="7">
        <v>1163975.2</v>
      </c>
      <c r="C1137" s="2">
        <v>268.87299999999999</v>
      </c>
      <c r="D1137" s="2">
        <v>270.41899999999998</v>
      </c>
      <c r="E1137" s="2">
        <v>1.546</v>
      </c>
      <c r="F1137" s="2">
        <v>268.20100000000002</v>
      </c>
      <c r="G1137" s="2">
        <v>269.70600000000002</v>
      </c>
      <c r="H1137" s="2">
        <v>1.5049999999999999</v>
      </c>
      <c r="I1137" s="2">
        <v>265.63600000000002</v>
      </c>
      <c r="J1137" s="2">
        <v>265.81200000000001</v>
      </c>
      <c r="K1137" s="15">
        <v>3.8940000000000001</v>
      </c>
      <c r="L1137" s="2">
        <v>14.693</v>
      </c>
      <c r="N1137" s="7">
        <f t="shared" si="158"/>
        <v>40</v>
      </c>
      <c r="O1137" s="1">
        <f t="shared" si="156"/>
        <v>131</v>
      </c>
      <c r="P1137" s="1" t="str">
        <f t="shared" si="154"/>
        <v>40,131</v>
      </c>
      <c r="Q1137" s="6" t="s">
        <v>10</v>
      </c>
      <c r="R1137" s="1">
        <v>90</v>
      </c>
      <c r="S1137" s="1">
        <v>2.5</v>
      </c>
      <c r="T1137" s="1" t="str">
        <f t="shared" si="157"/>
        <v>-text 40,131 2.5 90 265.812</v>
      </c>
    </row>
    <row r="1138" spans="1:20" x14ac:dyDescent="0.35">
      <c r="A1138" s="1">
        <v>274560</v>
      </c>
      <c r="B1138" s="7">
        <v>1163995.2</v>
      </c>
      <c r="C1138" s="2">
        <v>268.85199999999998</v>
      </c>
      <c r="D1138" s="2">
        <v>270.33</v>
      </c>
      <c r="E1138" s="2">
        <v>1.4790000000000001</v>
      </c>
      <c r="F1138" s="2">
        <v>268.18</v>
      </c>
      <c r="G1138" s="2">
        <v>269.61700000000002</v>
      </c>
      <c r="H1138" s="2">
        <v>1.4379999999999999</v>
      </c>
      <c r="I1138" s="2">
        <v>265.84199999999998</v>
      </c>
      <c r="J1138" s="2">
        <v>266.00799999999998</v>
      </c>
      <c r="K1138" s="15">
        <v>3.609</v>
      </c>
      <c r="L1138" s="2">
        <v>14.827999999999999</v>
      </c>
      <c r="N1138" s="7">
        <f t="shared" si="158"/>
        <v>60</v>
      </c>
      <c r="O1138" s="1">
        <f t="shared" si="156"/>
        <v>131</v>
      </c>
      <c r="P1138" s="1" t="str">
        <f t="shared" si="154"/>
        <v>60,131</v>
      </c>
      <c r="Q1138" s="6" t="s">
        <v>10</v>
      </c>
      <c r="R1138" s="1">
        <v>90</v>
      </c>
      <c r="S1138" s="1">
        <v>2.5</v>
      </c>
      <c r="T1138" s="1" t="str">
        <f t="shared" si="157"/>
        <v>-text 60,131 2.5 90 266.008</v>
      </c>
    </row>
    <row r="1139" spans="1:20" x14ac:dyDescent="0.35">
      <c r="A1139" s="1">
        <v>274580</v>
      </c>
      <c r="B1139" s="7">
        <v>1164015.1000000001</v>
      </c>
      <c r="C1139" s="2">
        <v>268.78800000000001</v>
      </c>
      <c r="D1139" s="2">
        <v>270.24200000000002</v>
      </c>
      <c r="E1139" s="2">
        <v>1.454</v>
      </c>
      <c r="F1139" s="2">
        <v>268.11599999999999</v>
      </c>
      <c r="G1139" s="2">
        <v>269.529</v>
      </c>
      <c r="H1139" s="2">
        <v>1.413</v>
      </c>
      <c r="I1139" s="2">
        <v>266.07400000000001</v>
      </c>
      <c r="J1139" s="2">
        <v>266.37900000000002</v>
      </c>
      <c r="K1139" s="15">
        <v>3.15</v>
      </c>
      <c r="L1139" s="2">
        <v>14.992000000000001</v>
      </c>
      <c r="N1139" s="7">
        <f t="shared" si="158"/>
        <v>79.900000000139698</v>
      </c>
      <c r="O1139" s="1">
        <f t="shared" si="156"/>
        <v>131</v>
      </c>
      <c r="P1139" s="1" t="str">
        <f t="shared" si="154"/>
        <v>79.9000000001397,131</v>
      </c>
      <c r="Q1139" s="6" t="s">
        <v>10</v>
      </c>
      <c r="R1139" s="1">
        <v>90</v>
      </c>
      <c r="S1139" s="1">
        <v>2.5</v>
      </c>
      <c r="T1139" s="1" t="str">
        <f t="shared" si="157"/>
        <v>-text 79.9000000001397,131 2.5 90 266.379</v>
      </c>
    </row>
    <row r="1140" spans="1:20" x14ac:dyDescent="0.35">
      <c r="A1140" s="1">
        <v>274600</v>
      </c>
      <c r="B1140" s="7">
        <v>1164035.1000000001</v>
      </c>
      <c r="C1140" s="2">
        <v>268.76900000000001</v>
      </c>
      <c r="D1140" s="2">
        <v>270.23399999999998</v>
      </c>
      <c r="E1140" s="2">
        <v>1.4650000000000001</v>
      </c>
      <c r="F1140" s="2">
        <v>268.09699999999998</v>
      </c>
      <c r="G1140" s="2">
        <v>269.52100000000002</v>
      </c>
      <c r="H1140" s="2">
        <v>1.4239999999999999</v>
      </c>
      <c r="I1140" s="2">
        <v>265.97000000000003</v>
      </c>
      <c r="J1140" s="2">
        <v>266.46199999999999</v>
      </c>
      <c r="K1140" s="15">
        <v>3.0590000000000002</v>
      </c>
      <c r="L1140" s="2">
        <v>14.999000000000001</v>
      </c>
      <c r="N1140" s="7">
        <f t="shared" si="158"/>
        <v>99.900000000139698</v>
      </c>
      <c r="O1140" s="1">
        <f t="shared" si="156"/>
        <v>131</v>
      </c>
      <c r="P1140" s="1" t="str">
        <f t="shared" si="154"/>
        <v>99.9000000001397,131</v>
      </c>
      <c r="Q1140" s="6" t="s">
        <v>10</v>
      </c>
      <c r="R1140" s="1">
        <v>90</v>
      </c>
      <c r="S1140" s="1">
        <v>2.5</v>
      </c>
      <c r="T1140" s="1" t="str">
        <f t="shared" si="157"/>
        <v>-text 99.9000000001397,131 2.5 90 266.462</v>
      </c>
    </row>
    <row r="1141" spans="1:20" x14ac:dyDescent="0.35">
      <c r="A1141" s="1">
        <v>274620</v>
      </c>
      <c r="B1141" s="7">
        <v>1164054.8999999999</v>
      </c>
      <c r="C1141" s="2">
        <v>268.73099999999999</v>
      </c>
      <c r="D1141" s="2">
        <v>270.23399999999998</v>
      </c>
      <c r="E1141" s="2">
        <v>1.5029999999999999</v>
      </c>
      <c r="F1141" s="2">
        <v>268.05900000000003</v>
      </c>
      <c r="G1141" s="2">
        <v>269.52100000000002</v>
      </c>
      <c r="H1141" s="2">
        <v>1.462</v>
      </c>
      <c r="I1141" s="2">
        <v>265.88900000000001</v>
      </c>
      <c r="J1141" s="2">
        <v>266.29599999999999</v>
      </c>
      <c r="K1141" s="15">
        <v>3.2250000000000001</v>
      </c>
      <c r="L1141" s="2">
        <v>14.878</v>
      </c>
      <c r="N1141" s="7">
        <f t="shared" si="158"/>
        <v>119.69999999995343</v>
      </c>
      <c r="O1141" s="1">
        <f t="shared" si="156"/>
        <v>131</v>
      </c>
      <c r="P1141" s="1" t="str">
        <f t="shared" si="154"/>
        <v>119.699999999953,131</v>
      </c>
      <c r="Q1141" s="6" t="s">
        <v>10</v>
      </c>
      <c r="R1141" s="1">
        <v>90</v>
      </c>
      <c r="S1141" s="1">
        <v>2.5</v>
      </c>
      <c r="T1141" s="1" t="str">
        <f t="shared" si="157"/>
        <v>-text 119.699999999953,131 2.5 90 266.296</v>
      </c>
    </row>
    <row r="1142" spans="1:20" x14ac:dyDescent="0.35">
      <c r="A1142" s="1">
        <v>274640</v>
      </c>
      <c r="B1142" s="7">
        <v>1164074.8</v>
      </c>
      <c r="C1142" s="2">
        <v>268.72300000000001</v>
      </c>
      <c r="D1142" s="2">
        <v>270.23399999999998</v>
      </c>
      <c r="E1142" s="2">
        <v>1.5109999999999999</v>
      </c>
      <c r="F1142" s="2">
        <v>268.05099999999999</v>
      </c>
      <c r="G1142" s="2">
        <v>269.52100000000002</v>
      </c>
      <c r="H1142" s="2">
        <v>1.47</v>
      </c>
      <c r="I1142" s="2">
        <v>265.73599999999999</v>
      </c>
      <c r="J1142" s="2">
        <v>265.68900000000002</v>
      </c>
      <c r="K1142" s="15">
        <v>3.8319999999999999</v>
      </c>
      <c r="L1142" s="2">
        <v>14.656000000000001</v>
      </c>
      <c r="N1142" s="7">
        <f t="shared" si="158"/>
        <v>139.60000000009313</v>
      </c>
      <c r="O1142" s="1">
        <f t="shared" si="156"/>
        <v>131</v>
      </c>
      <c r="P1142" s="1" t="str">
        <f t="shared" si="154"/>
        <v>139.600000000093,131</v>
      </c>
      <c r="Q1142" s="6" t="s">
        <v>10</v>
      </c>
      <c r="R1142" s="1">
        <v>90</v>
      </c>
      <c r="S1142" s="1">
        <v>2.5</v>
      </c>
      <c r="T1142" s="1" t="str">
        <f t="shared" si="157"/>
        <v>-text 139.600000000093,131 2.5 90 265.689</v>
      </c>
    </row>
    <row r="1143" spans="1:20" x14ac:dyDescent="0.35">
      <c r="A1143" s="1">
        <v>274660</v>
      </c>
      <c r="B1143" s="7">
        <v>1164094.7</v>
      </c>
      <c r="C1143" s="2">
        <v>268.73500000000001</v>
      </c>
      <c r="D1143" s="2">
        <v>270.23399999999998</v>
      </c>
      <c r="E1143" s="2">
        <v>1.4990000000000001</v>
      </c>
      <c r="F1143" s="2">
        <v>268.06299999999999</v>
      </c>
      <c r="G1143" s="2">
        <v>269.52100000000002</v>
      </c>
      <c r="H1143" s="2">
        <v>1.458</v>
      </c>
      <c r="I1143" s="2">
        <v>265.84399999999999</v>
      </c>
      <c r="J1143" s="2">
        <v>266.05700000000002</v>
      </c>
      <c r="K1143" s="15">
        <v>3.464</v>
      </c>
      <c r="L1143" s="2">
        <v>14.329000000000001</v>
      </c>
      <c r="N1143" s="7">
        <f t="shared" si="158"/>
        <v>159.5</v>
      </c>
      <c r="O1143" s="1">
        <f t="shared" si="156"/>
        <v>131</v>
      </c>
      <c r="P1143" s="1" t="str">
        <f t="shared" si="154"/>
        <v>159.5,131</v>
      </c>
      <c r="Q1143" s="6" t="s">
        <v>10</v>
      </c>
      <c r="R1143" s="1">
        <v>90</v>
      </c>
      <c r="S1143" s="1">
        <v>2.5</v>
      </c>
      <c r="T1143" s="1" t="str">
        <f t="shared" si="157"/>
        <v>-text 159.5,131 2.5 90 266.057</v>
      </c>
    </row>
    <row r="1144" spans="1:20" x14ac:dyDescent="0.35">
      <c r="A1144" s="1">
        <v>274680</v>
      </c>
      <c r="B1144" s="7">
        <v>1164114.7</v>
      </c>
      <c r="C1144" s="2">
        <v>268.755</v>
      </c>
      <c r="D1144" s="2">
        <v>270.23399999999998</v>
      </c>
      <c r="E1144" s="2">
        <v>1.4790000000000001</v>
      </c>
      <c r="F1144" s="2">
        <v>268.08300000000003</v>
      </c>
      <c r="G1144" s="2">
        <v>269.52100000000002</v>
      </c>
      <c r="H1144" s="2">
        <v>1.4379999999999999</v>
      </c>
      <c r="I1144" s="2">
        <v>266.00299999999999</v>
      </c>
      <c r="J1144" s="2">
        <v>266.63799999999998</v>
      </c>
      <c r="K1144" s="15">
        <v>2.883</v>
      </c>
      <c r="L1144" s="2">
        <v>13.99</v>
      </c>
      <c r="N1144" s="7">
        <f t="shared" si="158"/>
        <v>179.5</v>
      </c>
      <c r="O1144" s="1">
        <f t="shared" si="156"/>
        <v>131</v>
      </c>
      <c r="P1144" s="1" t="str">
        <f t="shared" si="154"/>
        <v>179.5,131</v>
      </c>
      <c r="Q1144" s="6" t="s">
        <v>10</v>
      </c>
      <c r="R1144" s="1">
        <v>90</v>
      </c>
      <c r="S1144" s="1">
        <v>2.5</v>
      </c>
      <c r="T1144" s="1" t="str">
        <f t="shared" si="157"/>
        <v>-text 179.5,131 2.5 90 266.638</v>
      </c>
    </row>
    <row r="1145" spans="1:20" x14ac:dyDescent="0.35">
      <c r="A1145" s="1">
        <v>274700</v>
      </c>
      <c r="B1145" s="7">
        <v>1164134.6000000001</v>
      </c>
      <c r="C1145" s="2">
        <v>268.78899999999999</v>
      </c>
      <c r="D1145" s="2">
        <v>270.23399999999998</v>
      </c>
      <c r="E1145" s="2">
        <v>1.4450000000000001</v>
      </c>
      <c r="F1145" s="2">
        <v>268.11700000000002</v>
      </c>
      <c r="G1145" s="2">
        <v>269.52100000000002</v>
      </c>
      <c r="H1145" s="2">
        <v>1.4039999999999999</v>
      </c>
      <c r="I1145" s="2">
        <v>266.19200000000001</v>
      </c>
      <c r="J1145" s="2">
        <v>266.45400000000001</v>
      </c>
      <c r="K1145" s="15">
        <v>3.0670000000000002</v>
      </c>
      <c r="L1145" s="2">
        <v>13.734999999999999</v>
      </c>
      <c r="N1145" s="7">
        <f t="shared" si="158"/>
        <v>199.4000000001397</v>
      </c>
      <c r="O1145" s="1">
        <f t="shared" si="156"/>
        <v>131</v>
      </c>
      <c r="P1145" s="1" t="str">
        <f t="shared" si="154"/>
        <v>199.40000000014,131</v>
      </c>
      <c r="Q1145" s="6" t="s">
        <v>10</v>
      </c>
      <c r="R1145" s="1">
        <v>90</v>
      </c>
      <c r="S1145" s="1">
        <v>2.5</v>
      </c>
      <c r="T1145" s="1" t="str">
        <f t="shared" si="157"/>
        <v>-text 199.40000000014,131 2.5 90 266.454</v>
      </c>
    </row>
    <row r="1146" spans="1:20" x14ac:dyDescent="0.35">
      <c r="A1146" s="1">
        <v>274720</v>
      </c>
      <c r="B1146" s="7">
        <v>1164154.6000000001</v>
      </c>
      <c r="C1146" s="2">
        <v>268.79599999999999</v>
      </c>
      <c r="D1146" s="2">
        <v>270.23399999999998</v>
      </c>
      <c r="E1146" s="2">
        <v>1.4379999999999999</v>
      </c>
      <c r="F1146" s="2">
        <v>268.12400000000002</v>
      </c>
      <c r="G1146" s="2">
        <v>269.52100000000002</v>
      </c>
      <c r="H1146" s="2">
        <v>1.397</v>
      </c>
      <c r="I1146" s="2">
        <v>266.60700000000003</v>
      </c>
      <c r="J1146" s="2">
        <v>267.05500000000001</v>
      </c>
      <c r="K1146" s="15">
        <v>2.4660000000000002</v>
      </c>
      <c r="L1146" s="2">
        <v>13.585000000000001</v>
      </c>
      <c r="N1146" s="7">
        <f t="shared" si="158"/>
        <v>219.4000000001397</v>
      </c>
      <c r="O1146" s="1">
        <f t="shared" si="156"/>
        <v>131</v>
      </c>
      <c r="P1146" s="1" t="str">
        <f t="shared" si="154"/>
        <v>219.40000000014,131</v>
      </c>
      <c r="Q1146" s="6" t="s">
        <v>10</v>
      </c>
      <c r="R1146" s="1">
        <v>90</v>
      </c>
      <c r="S1146" s="1">
        <v>2.5</v>
      </c>
      <c r="T1146" s="1" t="str">
        <f t="shared" si="157"/>
        <v>-text 219.40000000014,131 2.5 90 267.055</v>
      </c>
    </row>
    <row r="1147" spans="1:20" x14ac:dyDescent="0.35">
      <c r="A1147" s="1">
        <v>274740</v>
      </c>
      <c r="B1147" s="7">
        <v>1164174.5</v>
      </c>
      <c r="C1147" s="2">
        <v>268.78300000000002</v>
      </c>
      <c r="D1147" s="2">
        <v>270.23399999999998</v>
      </c>
      <c r="E1147" s="2">
        <v>1.4510000000000001</v>
      </c>
      <c r="F1147" s="2">
        <v>268.11099999999999</v>
      </c>
      <c r="G1147" s="2">
        <v>269.52100000000002</v>
      </c>
      <c r="H1147" s="2">
        <v>1.41</v>
      </c>
      <c r="I1147" s="2">
        <v>266.49599999999998</v>
      </c>
      <c r="J1147" s="2">
        <v>266.58300000000003</v>
      </c>
      <c r="K1147" s="15">
        <v>2.9380000000000002</v>
      </c>
      <c r="L1147" s="2">
        <v>13.58</v>
      </c>
      <c r="N1147" s="7">
        <f t="shared" si="158"/>
        <v>239.30000000004657</v>
      </c>
      <c r="O1147" s="1">
        <f t="shared" si="156"/>
        <v>131</v>
      </c>
      <c r="P1147" s="1" t="str">
        <f t="shared" si="154"/>
        <v>239.300000000047,131</v>
      </c>
      <c r="Q1147" s="6" t="s">
        <v>10</v>
      </c>
      <c r="R1147" s="1">
        <v>90</v>
      </c>
      <c r="S1147" s="1">
        <v>2.5</v>
      </c>
      <c r="T1147" s="1" t="str">
        <f t="shared" si="157"/>
        <v>-text 239.300000000047,131 2.5 90 266.583</v>
      </c>
    </row>
    <row r="1148" spans="1:20" x14ac:dyDescent="0.35">
      <c r="A1148" s="1">
        <v>274760</v>
      </c>
      <c r="B1148" s="7">
        <v>1164194.5</v>
      </c>
      <c r="C1148" s="2">
        <v>268.76400000000001</v>
      </c>
      <c r="D1148" s="2">
        <v>270.23399999999998</v>
      </c>
      <c r="E1148" s="2">
        <v>1.47</v>
      </c>
      <c r="F1148" s="2">
        <v>268.09199999999998</v>
      </c>
      <c r="G1148" s="2">
        <v>269.52100000000002</v>
      </c>
      <c r="H1148" s="2">
        <v>1.429</v>
      </c>
      <c r="I1148" s="2">
        <v>266.185</v>
      </c>
      <c r="J1148" s="2">
        <v>266.19</v>
      </c>
      <c r="K1148" s="15">
        <v>3.331</v>
      </c>
      <c r="L1148" s="2">
        <v>13.69</v>
      </c>
      <c r="N1148" s="7">
        <f t="shared" si="158"/>
        <v>259.30000000004657</v>
      </c>
      <c r="O1148" s="1">
        <f t="shared" si="156"/>
        <v>131</v>
      </c>
      <c r="P1148" s="1" t="str">
        <f t="shared" si="154"/>
        <v>259.300000000047,131</v>
      </c>
      <c r="Q1148" s="6" t="s">
        <v>10</v>
      </c>
      <c r="R1148" s="1">
        <v>90</v>
      </c>
      <c r="S1148" s="1">
        <v>2.5</v>
      </c>
      <c r="T1148" s="1" t="str">
        <f t="shared" si="157"/>
        <v>-text 259.300000000047,131 2.5 90 266.19</v>
      </c>
    </row>
    <row r="1149" spans="1:20" x14ac:dyDescent="0.35">
      <c r="A1149" s="1">
        <v>274780</v>
      </c>
      <c r="B1149" s="7">
        <v>1164214.3999999999</v>
      </c>
      <c r="C1149" s="2">
        <v>268.76100000000002</v>
      </c>
      <c r="D1149" s="2">
        <v>270.23399999999998</v>
      </c>
      <c r="E1149" s="2">
        <v>1.4730000000000001</v>
      </c>
      <c r="F1149" s="2">
        <v>268.089</v>
      </c>
      <c r="G1149" s="2">
        <v>269.52100000000002</v>
      </c>
      <c r="H1149" s="2">
        <v>1.4319999999999999</v>
      </c>
      <c r="I1149" s="2">
        <v>266.017</v>
      </c>
      <c r="J1149" s="2">
        <v>266.18700000000001</v>
      </c>
      <c r="K1149" s="15">
        <v>3.3340000000000001</v>
      </c>
      <c r="L1149" s="2">
        <v>13.885999999999999</v>
      </c>
      <c r="N1149" s="7">
        <f t="shared" si="158"/>
        <v>279.19999999995343</v>
      </c>
      <c r="O1149" s="1">
        <f t="shared" si="156"/>
        <v>131</v>
      </c>
      <c r="P1149" s="1" t="str">
        <f t="shared" si="154"/>
        <v>279.199999999953,131</v>
      </c>
      <c r="Q1149" s="6" t="s">
        <v>10</v>
      </c>
      <c r="R1149" s="1">
        <v>90</v>
      </c>
      <c r="S1149" s="1">
        <v>2.5</v>
      </c>
      <c r="T1149" s="1" t="str">
        <f t="shared" si="157"/>
        <v>-text 279.199999999953,131 2.5 90 266.187</v>
      </c>
    </row>
    <row r="1150" spans="1:20" x14ac:dyDescent="0.35">
      <c r="A1150" s="1">
        <v>274800</v>
      </c>
      <c r="B1150" s="7">
        <v>1164234.1000000001</v>
      </c>
      <c r="C1150" s="2">
        <v>268.75799999999998</v>
      </c>
      <c r="D1150" s="2">
        <v>270.23399999999998</v>
      </c>
      <c r="E1150" s="2">
        <v>1.476</v>
      </c>
      <c r="F1150" s="2">
        <v>268.08600000000001</v>
      </c>
      <c r="G1150" s="2">
        <v>269.52100000000002</v>
      </c>
      <c r="H1150" s="2">
        <v>1.4350000000000001</v>
      </c>
      <c r="I1150" s="2">
        <v>265.673</v>
      </c>
      <c r="J1150" s="2">
        <v>265.91500000000002</v>
      </c>
      <c r="K1150" s="15">
        <v>3.6059999999999999</v>
      </c>
      <c r="L1150" s="2">
        <v>13.962999999999999</v>
      </c>
      <c r="N1150" s="7">
        <f t="shared" si="158"/>
        <v>298.9000000001397</v>
      </c>
      <c r="O1150" s="1">
        <f t="shared" si="156"/>
        <v>131</v>
      </c>
      <c r="P1150" s="1" t="str">
        <f t="shared" si="154"/>
        <v>298.90000000014,131</v>
      </c>
      <c r="Q1150" s="6" t="s">
        <v>10</v>
      </c>
      <c r="R1150" s="1">
        <v>90</v>
      </c>
      <c r="S1150" s="1">
        <v>2.5</v>
      </c>
      <c r="T1150" s="1" t="str">
        <f t="shared" si="157"/>
        <v>-text 298.90000000014,131 2.5 90 265.915</v>
      </c>
    </row>
    <row r="1151" spans="1:20" x14ac:dyDescent="0.35">
      <c r="A1151" s="1">
        <v>274820</v>
      </c>
      <c r="B1151" s="7">
        <v>1164254.2</v>
      </c>
      <c r="C1151" s="2">
        <v>268.73</v>
      </c>
      <c r="D1151" s="2">
        <v>270.23399999999998</v>
      </c>
      <c r="E1151" s="2">
        <v>1.504</v>
      </c>
      <c r="F1151" s="2">
        <v>268.05799999999999</v>
      </c>
      <c r="G1151" s="2">
        <v>269.52100000000002</v>
      </c>
      <c r="H1151" s="2">
        <v>1.4630000000000001</v>
      </c>
      <c r="I1151" s="2">
        <v>265.69900000000001</v>
      </c>
      <c r="J1151" s="2">
        <v>266.10000000000002</v>
      </c>
      <c r="K1151" s="15">
        <v>3.4209999999999998</v>
      </c>
      <c r="L1151" s="2">
        <v>13.865</v>
      </c>
      <c r="N1151" s="7">
        <f t="shared" si="158"/>
        <v>319</v>
      </c>
      <c r="O1151" s="1">
        <f t="shared" si="156"/>
        <v>131</v>
      </c>
      <c r="P1151" s="1" t="str">
        <f t="shared" si="154"/>
        <v>319,131</v>
      </c>
      <c r="Q1151" s="6" t="s">
        <v>10</v>
      </c>
      <c r="R1151" s="1">
        <v>90</v>
      </c>
      <c r="S1151" s="1">
        <v>2.5</v>
      </c>
      <c r="T1151" s="1" t="str">
        <f t="shared" si="157"/>
        <v>-text 319,131 2.5 90 266.1</v>
      </c>
    </row>
    <row r="1152" spans="1:20" x14ac:dyDescent="0.35">
      <c r="A1152" s="1">
        <v>274840</v>
      </c>
      <c r="B1152" s="7">
        <v>1164274.2</v>
      </c>
      <c r="C1152" s="2">
        <v>268.738</v>
      </c>
      <c r="D1152" s="2">
        <v>270.23399999999998</v>
      </c>
      <c r="E1152" s="2">
        <v>1.496</v>
      </c>
      <c r="F1152" s="2">
        <v>268.06599999999997</v>
      </c>
      <c r="G1152" s="2">
        <v>269.52100000000002</v>
      </c>
      <c r="H1152" s="2">
        <v>1.4550000000000001</v>
      </c>
      <c r="I1152" s="2">
        <v>265.69600000000003</v>
      </c>
      <c r="J1152" s="2">
        <v>265.80500000000001</v>
      </c>
      <c r="K1152" s="15">
        <v>3.7160000000000002</v>
      </c>
      <c r="L1152" s="2">
        <v>13.901999999999999</v>
      </c>
      <c r="N1152" s="7">
        <f t="shared" si="158"/>
        <v>339</v>
      </c>
      <c r="O1152" s="1">
        <f t="shared" si="156"/>
        <v>131</v>
      </c>
      <c r="P1152" s="1" t="str">
        <f t="shared" si="154"/>
        <v>339,131</v>
      </c>
      <c r="Q1152" s="6" t="s">
        <v>10</v>
      </c>
      <c r="R1152" s="1">
        <v>90</v>
      </c>
      <c r="S1152" s="1">
        <v>2.5</v>
      </c>
      <c r="T1152" s="1" t="str">
        <f t="shared" si="157"/>
        <v>-text 339,131 2.5 90 265.805</v>
      </c>
    </row>
    <row r="1153" spans="1:20" x14ac:dyDescent="0.35">
      <c r="A1153" s="1">
        <v>274860</v>
      </c>
      <c r="B1153" s="7">
        <v>1164294.2</v>
      </c>
      <c r="C1153" s="2">
        <v>268.75400000000002</v>
      </c>
      <c r="D1153" s="2">
        <v>270.23399999999998</v>
      </c>
      <c r="E1153" s="2">
        <v>1.48</v>
      </c>
      <c r="F1153" s="2">
        <v>268.08199999999999</v>
      </c>
      <c r="G1153" s="2">
        <v>269.52100000000002</v>
      </c>
      <c r="H1153" s="2">
        <v>1.4390000000000001</v>
      </c>
      <c r="I1153" s="2">
        <v>265.71199999999999</v>
      </c>
      <c r="J1153" s="2">
        <v>265.50799999999998</v>
      </c>
      <c r="K1153" s="15">
        <v>4.0129999999999999</v>
      </c>
      <c r="L1153" s="2">
        <v>13.919</v>
      </c>
      <c r="N1153" s="7">
        <f t="shared" si="158"/>
        <v>359</v>
      </c>
      <c r="O1153" s="1">
        <f t="shared" si="156"/>
        <v>131</v>
      </c>
      <c r="P1153" s="1" t="str">
        <f t="shared" si="154"/>
        <v>359,131</v>
      </c>
      <c r="Q1153" s="6" t="s">
        <v>10</v>
      </c>
      <c r="R1153" s="1">
        <v>90</v>
      </c>
      <c r="S1153" s="1">
        <v>2.5</v>
      </c>
      <c r="T1153" s="1" t="str">
        <f t="shared" si="157"/>
        <v>-text 359,131 2.5 90 265.508</v>
      </c>
    </row>
    <row r="1154" spans="1:20" x14ac:dyDescent="0.35">
      <c r="A1154" s="1">
        <v>274880</v>
      </c>
      <c r="B1154" s="7">
        <v>1164314.2</v>
      </c>
      <c r="C1154" s="2">
        <v>268.77600000000001</v>
      </c>
      <c r="D1154" s="2">
        <v>270.23399999999998</v>
      </c>
      <c r="E1154" s="2">
        <v>1.458</v>
      </c>
      <c r="F1154" s="2">
        <v>268.10399999999998</v>
      </c>
      <c r="G1154" s="2">
        <v>269.52100000000002</v>
      </c>
      <c r="H1154" s="2">
        <v>1.417</v>
      </c>
      <c r="I1154" s="2">
        <v>265.64800000000002</v>
      </c>
      <c r="J1154" s="2">
        <v>265.58800000000002</v>
      </c>
      <c r="K1154" s="15">
        <v>3.9329999999999998</v>
      </c>
      <c r="L1154" s="2">
        <v>13.92</v>
      </c>
      <c r="N1154" s="7">
        <f t="shared" si="158"/>
        <v>379</v>
      </c>
      <c r="O1154" s="1">
        <f t="shared" si="156"/>
        <v>131</v>
      </c>
      <c r="P1154" s="1" t="str">
        <f t="shared" si="154"/>
        <v>379,131</v>
      </c>
      <c r="Q1154" s="6" t="s">
        <v>10</v>
      </c>
      <c r="R1154" s="1">
        <v>90</v>
      </c>
      <c r="S1154" s="1">
        <v>2.5</v>
      </c>
      <c r="T1154" s="1" t="str">
        <f t="shared" si="157"/>
        <v>-text 379,131 2.5 90 265.588</v>
      </c>
    </row>
    <row r="1155" spans="1:20" x14ac:dyDescent="0.35">
      <c r="A1155" s="1">
        <v>274900</v>
      </c>
      <c r="B1155" s="7">
        <v>1164334.2</v>
      </c>
      <c r="C1155" s="2">
        <v>268.75900000000001</v>
      </c>
      <c r="D1155" s="2">
        <v>270.23399999999998</v>
      </c>
      <c r="E1155" s="2">
        <v>1.4750000000000001</v>
      </c>
      <c r="F1155" s="2">
        <v>268.08699999999999</v>
      </c>
      <c r="G1155" s="2">
        <v>269.52100000000002</v>
      </c>
      <c r="H1155" s="2">
        <v>1.4339999999999999</v>
      </c>
      <c r="I1155" s="2">
        <v>265.59800000000001</v>
      </c>
      <c r="J1155" s="2">
        <v>265.52</v>
      </c>
      <c r="K1155" s="15">
        <v>4.0010000000000003</v>
      </c>
      <c r="L1155" s="2">
        <v>13.930999999999999</v>
      </c>
      <c r="N1155" s="7">
        <f t="shared" si="158"/>
        <v>399</v>
      </c>
      <c r="O1155" s="1">
        <f t="shared" si="156"/>
        <v>131</v>
      </c>
      <c r="P1155" s="1" t="str">
        <f t="shared" si="154"/>
        <v>399,131</v>
      </c>
      <c r="Q1155" s="6" t="s">
        <v>10</v>
      </c>
      <c r="R1155" s="1">
        <v>90</v>
      </c>
      <c r="S1155" s="1">
        <v>2.5</v>
      </c>
      <c r="T1155" s="1" t="str">
        <f t="shared" si="157"/>
        <v>-text 399,131 2.5 90 265.52</v>
      </c>
    </row>
    <row r="1156" spans="1:20" x14ac:dyDescent="0.35">
      <c r="A1156" s="1">
        <v>274920</v>
      </c>
      <c r="B1156" s="7">
        <v>1164354.2</v>
      </c>
      <c r="C1156" s="2">
        <v>268.73899999999998</v>
      </c>
      <c r="D1156" s="2">
        <v>270.23399999999998</v>
      </c>
      <c r="E1156" s="2">
        <v>1.4950000000000001</v>
      </c>
      <c r="F1156" s="2">
        <v>268.06700000000001</v>
      </c>
      <c r="G1156" s="2">
        <v>269.52100000000002</v>
      </c>
      <c r="H1156" s="2">
        <v>1.454</v>
      </c>
      <c r="I1156" s="2">
        <v>265.69799999999998</v>
      </c>
      <c r="J1156" s="2">
        <v>265.54500000000002</v>
      </c>
      <c r="K1156" s="15">
        <v>3.976</v>
      </c>
      <c r="L1156" s="2">
        <v>13.944000000000001</v>
      </c>
      <c r="N1156" s="7">
        <f t="shared" si="158"/>
        <v>419</v>
      </c>
      <c r="O1156" s="1">
        <f t="shared" si="156"/>
        <v>131</v>
      </c>
      <c r="P1156" s="1" t="str">
        <f t="shared" si="154"/>
        <v>419,131</v>
      </c>
      <c r="Q1156" s="6" t="s">
        <v>10</v>
      </c>
      <c r="R1156" s="1">
        <v>90</v>
      </c>
      <c r="S1156" s="1">
        <v>2.5</v>
      </c>
      <c r="T1156" s="1" t="str">
        <f t="shared" si="157"/>
        <v>-text 419,131 2.5 90 265.545</v>
      </c>
    </row>
    <row r="1157" spans="1:20" x14ac:dyDescent="0.35">
      <c r="A1157" s="1">
        <v>274940</v>
      </c>
      <c r="B1157" s="7">
        <v>1164374.2</v>
      </c>
      <c r="C1157" s="2">
        <v>268.72899999999998</v>
      </c>
      <c r="D1157" s="2">
        <v>270.23399999999998</v>
      </c>
      <c r="E1157" s="2">
        <v>1.5049999999999999</v>
      </c>
      <c r="F1157" s="2">
        <v>268.05700000000002</v>
      </c>
      <c r="G1157" s="2">
        <v>269.52100000000002</v>
      </c>
      <c r="H1157" s="2">
        <v>1.464</v>
      </c>
      <c r="I1157" s="2">
        <v>265.78100000000001</v>
      </c>
      <c r="J1157" s="2">
        <v>265.58100000000002</v>
      </c>
      <c r="K1157" s="15">
        <v>3.94</v>
      </c>
      <c r="L1157" s="2">
        <v>13.961</v>
      </c>
      <c r="N1157" s="7">
        <f t="shared" si="158"/>
        <v>439</v>
      </c>
      <c r="O1157" s="1">
        <f t="shared" si="156"/>
        <v>131</v>
      </c>
      <c r="P1157" s="1" t="str">
        <f t="shared" si="154"/>
        <v>439,131</v>
      </c>
      <c r="Q1157" s="6" t="s">
        <v>10</v>
      </c>
      <c r="R1157" s="1">
        <v>90</v>
      </c>
      <c r="S1157" s="1">
        <v>2.5</v>
      </c>
      <c r="T1157" s="1" t="str">
        <f t="shared" si="157"/>
        <v>-text 439,131 2.5 90 265.581</v>
      </c>
    </row>
    <row r="1158" spans="1:20" x14ac:dyDescent="0.35">
      <c r="A1158" s="1">
        <v>274960</v>
      </c>
      <c r="B1158" s="7">
        <v>1164394.2</v>
      </c>
      <c r="C1158" s="2">
        <v>268.72800000000001</v>
      </c>
      <c r="D1158" s="2">
        <v>270.23399999999998</v>
      </c>
      <c r="E1158" s="2">
        <v>1.506</v>
      </c>
      <c r="F1158" s="2">
        <v>268.05599999999998</v>
      </c>
      <c r="G1158" s="2">
        <v>269.52100000000002</v>
      </c>
      <c r="H1158" s="2">
        <v>1.4650000000000001</v>
      </c>
      <c r="I1158" s="2">
        <v>265.90199999999999</v>
      </c>
      <c r="J1158" s="2">
        <v>265.87099999999998</v>
      </c>
      <c r="K1158" s="15">
        <v>3.65</v>
      </c>
      <c r="L1158" s="2">
        <v>13.989000000000001</v>
      </c>
      <c r="N1158" s="7">
        <f t="shared" si="158"/>
        <v>459</v>
      </c>
      <c r="O1158" s="1">
        <f t="shared" si="156"/>
        <v>131</v>
      </c>
      <c r="P1158" s="1" t="str">
        <f t="shared" si="154"/>
        <v>459,131</v>
      </c>
      <c r="Q1158" s="6" t="s">
        <v>10</v>
      </c>
      <c r="R1158" s="1">
        <v>90</v>
      </c>
      <c r="S1158" s="1">
        <v>2.5</v>
      </c>
      <c r="T1158" s="1" t="str">
        <f t="shared" si="157"/>
        <v>-text 459,131 2.5 90 265.871</v>
      </c>
    </row>
    <row r="1159" spans="1:20" x14ac:dyDescent="0.35">
      <c r="A1159" s="1">
        <v>274980</v>
      </c>
      <c r="B1159" s="7">
        <v>1164414.2</v>
      </c>
      <c r="C1159" s="2">
        <v>268.726</v>
      </c>
      <c r="D1159" s="2">
        <v>270.23399999999998</v>
      </c>
      <c r="E1159" s="2">
        <v>1.508</v>
      </c>
      <c r="F1159" s="2">
        <v>268.05399999999997</v>
      </c>
      <c r="G1159" s="2">
        <v>269.52100000000002</v>
      </c>
      <c r="H1159" s="2">
        <v>1.4670000000000001</v>
      </c>
      <c r="I1159" s="2">
        <v>265.97800000000001</v>
      </c>
      <c r="J1159" s="2">
        <v>266.06599999999997</v>
      </c>
      <c r="K1159" s="15">
        <v>3.4550000000000001</v>
      </c>
      <c r="L1159" s="2">
        <v>14.009</v>
      </c>
      <c r="N1159" s="7">
        <f t="shared" si="158"/>
        <v>479</v>
      </c>
      <c r="O1159" s="1">
        <f t="shared" si="156"/>
        <v>131</v>
      </c>
      <c r="P1159" s="1" t="str">
        <f t="shared" si="154"/>
        <v>479,131</v>
      </c>
      <c r="Q1159" s="6" t="s">
        <v>10</v>
      </c>
      <c r="R1159" s="1">
        <v>90</v>
      </c>
      <c r="S1159" s="1">
        <v>2.5</v>
      </c>
      <c r="T1159" s="1" t="str">
        <f t="shared" si="157"/>
        <v>-text 479,131 2.5 90 266.066</v>
      </c>
    </row>
    <row r="1160" spans="1:20" x14ac:dyDescent="0.35">
      <c r="A1160" s="1">
        <v>275000</v>
      </c>
      <c r="B1160" s="7">
        <v>1164434.2</v>
      </c>
      <c r="C1160" s="2">
        <v>268.726</v>
      </c>
      <c r="D1160" s="2">
        <v>270.23399999999998</v>
      </c>
      <c r="E1160" s="2">
        <v>1.508</v>
      </c>
      <c r="F1160" s="2">
        <v>268.05399999999997</v>
      </c>
      <c r="G1160" s="2">
        <v>269.52100000000002</v>
      </c>
      <c r="H1160" s="2">
        <v>1.4670000000000001</v>
      </c>
      <c r="I1160" s="2">
        <v>265.91000000000003</v>
      </c>
      <c r="J1160" s="2">
        <v>265.85199999999998</v>
      </c>
      <c r="K1160" s="15">
        <v>3.669</v>
      </c>
      <c r="L1160" s="2">
        <v>14.019</v>
      </c>
      <c r="N1160" s="7">
        <f>N1157+(B1160-B1157)</f>
        <v>499</v>
      </c>
      <c r="O1160" s="1">
        <f t="shared" si="156"/>
        <v>131</v>
      </c>
      <c r="P1160" s="1" t="str">
        <f t="shared" ref="P1160" si="159">CONCATENATE(N1160,",",O1160)</f>
        <v>499,131</v>
      </c>
      <c r="Q1160" s="6" t="s">
        <v>10</v>
      </c>
      <c r="R1160" s="1">
        <v>90</v>
      </c>
      <c r="S1160" s="1">
        <v>2.5</v>
      </c>
      <c r="T1160" s="1" t="str">
        <f t="shared" si="157"/>
        <v>-text 499,131 2.5 90 265.852</v>
      </c>
    </row>
    <row r="1161" spans="1:20" s="10" customFormat="1" x14ac:dyDescent="0.35">
      <c r="B1161" s="11"/>
      <c r="C1161" s="9"/>
      <c r="D1161" s="9"/>
      <c r="E1161" s="9"/>
      <c r="F1161" s="9"/>
      <c r="G1161" s="9"/>
      <c r="H1161" s="9"/>
      <c r="I1161" s="9"/>
      <c r="J1161" s="9"/>
      <c r="K1161" s="16"/>
      <c r="L1161" s="9"/>
      <c r="M1161" s="9"/>
      <c r="N1161" s="11"/>
      <c r="Q1161" s="12"/>
    </row>
    <row r="1162" spans="1:20" x14ac:dyDescent="0.35">
      <c r="A1162" s="1">
        <v>275000</v>
      </c>
      <c r="B1162" s="7">
        <v>1164434.2</v>
      </c>
      <c r="C1162" s="2">
        <v>268.726</v>
      </c>
      <c r="D1162" s="2">
        <v>270.23399999999998</v>
      </c>
      <c r="E1162" s="2">
        <v>1.508</v>
      </c>
      <c r="F1162" s="2">
        <v>268.05399999999997</v>
      </c>
      <c r="G1162" s="2">
        <v>269.52100000000002</v>
      </c>
      <c r="H1162" s="2">
        <v>1.4670000000000001</v>
      </c>
      <c r="I1162" s="2">
        <v>265.91000000000003</v>
      </c>
      <c r="J1162" s="2">
        <v>265.85199999999998</v>
      </c>
      <c r="K1162" s="15">
        <v>3.669</v>
      </c>
      <c r="L1162" s="2">
        <v>14.019</v>
      </c>
      <c r="N1162" s="7">
        <v>0</v>
      </c>
      <c r="O1162" s="1">
        <f t="shared" si="156"/>
        <v>131</v>
      </c>
      <c r="P1162" s="1" t="str">
        <f t="shared" si="154"/>
        <v>0,131</v>
      </c>
      <c r="Q1162" s="6" t="s">
        <v>10</v>
      </c>
      <c r="R1162" s="1">
        <v>90</v>
      </c>
      <c r="S1162" s="1">
        <v>2.5</v>
      </c>
      <c r="T1162" s="1" t="str">
        <f t="shared" si="157"/>
        <v>-text 0,131 2.5 90 265.852</v>
      </c>
    </row>
    <row r="1163" spans="1:20" x14ac:dyDescent="0.35">
      <c r="A1163" s="1">
        <v>275020</v>
      </c>
      <c r="B1163" s="7">
        <v>1164454.2</v>
      </c>
      <c r="C1163" s="2">
        <v>268.72699999999998</v>
      </c>
      <c r="D1163" s="2">
        <v>270.23399999999998</v>
      </c>
      <c r="E1163" s="2">
        <v>1.5069999999999999</v>
      </c>
      <c r="F1163" s="2">
        <v>268.05500000000001</v>
      </c>
      <c r="G1163" s="2">
        <v>269.52100000000002</v>
      </c>
      <c r="H1163" s="2">
        <v>1.466</v>
      </c>
      <c r="I1163" s="2">
        <v>265.839</v>
      </c>
      <c r="J1163" s="2">
        <v>265.88200000000001</v>
      </c>
      <c r="K1163" s="15">
        <v>3.6389999999999998</v>
      </c>
      <c r="L1163" s="2">
        <v>14.016</v>
      </c>
      <c r="N1163" s="7">
        <f t="shared" ref="N1163:N1186" si="160">N1162+(B1163-B1162)</f>
        <v>20</v>
      </c>
      <c r="O1163" s="1">
        <f t="shared" si="156"/>
        <v>131</v>
      </c>
      <c r="P1163" s="1" t="str">
        <f t="shared" si="154"/>
        <v>20,131</v>
      </c>
      <c r="Q1163" s="6" t="s">
        <v>10</v>
      </c>
      <c r="R1163" s="1">
        <v>90</v>
      </c>
      <c r="S1163" s="1">
        <v>2.5</v>
      </c>
      <c r="T1163" s="1" t="str">
        <f t="shared" si="157"/>
        <v>-text 20,131 2.5 90 265.882</v>
      </c>
    </row>
    <row r="1164" spans="1:20" x14ac:dyDescent="0.35">
      <c r="A1164" s="1">
        <v>275040</v>
      </c>
      <c r="B1164" s="7">
        <v>1164474.2</v>
      </c>
      <c r="C1164" s="2">
        <v>268.75200000000001</v>
      </c>
      <c r="D1164" s="2">
        <v>270.23399999999998</v>
      </c>
      <c r="E1164" s="2">
        <v>1.482</v>
      </c>
      <c r="F1164" s="2">
        <v>268.08</v>
      </c>
      <c r="G1164" s="2">
        <v>269.52100000000002</v>
      </c>
      <c r="H1164" s="2">
        <v>1.4410000000000001</v>
      </c>
      <c r="I1164" s="2">
        <v>265.67599999999999</v>
      </c>
      <c r="J1164" s="2">
        <v>266.02800000000002</v>
      </c>
      <c r="K1164" s="15">
        <v>3.4929999999999999</v>
      </c>
      <c r="L1164" s="2">
        <v>14.022</v>
      </c>
      <c r="N1164" s="7">
        <f t="shared" si="160"/>
        <v>40</v>
      </c>
      <c r="O1164" s="1">
        <f t="shared" si="156"/>
        <v>131</v>
      </c>
      <c r="P1164" s="1" t="str">
        <f t="shared" si="154"/>
        <v>40,131</v>
      </c>
      <c r="Q1164" s="6" t="s">
        <v>10</v>
      </c>
      <c r="R1164" s="1">
        <v>90</v>
      </c>
      <c r="S1164" s="1">
        <v>2.5</v>
      </c>
      <c r="T1164" s="1" t="str">
        <f t="shared" si="157"/>
        <v>-text 40,131 2.5 90 266.028</v>
      </c>
    </row>
    <row r="1165" spans="1:20" x14ac:dyDescent="0.35">
      <c r="A1165" s="1">
        <v>275060</v>
      </c>
      <c r="B1165" s="7">
        <v>1164494.2</v>
      </c>
      <c r="C1165" s="2">
        <v>268.77800000000002</v>
      </c>
      <c r="D1165" s="2">
        <v>270.23399999999998</v>
      </c>
      <c r="E1165" s="2">
        <v>1.456</v>
      </c>
      <c r="F1165" s="2">
        <v>268.10599999999999</v>
      </c>
      <c r="G1165" s="2">
        <v>269.52100000000002</v>
      </c>
      <c r="H1165" s="2">
        <v>1.415</v>
      </c>
      <c r="I1165" s="2">
        <v>265.56200000000001</v>
      </c>
      <c r="J1165" s="2">
        <v>266.702</v>
      </c>
      <c r="K1165" s="15">
        <v>2.819</v>
      </c>
      <c r="L1165" s="2">
        <v>14.028</v>
      </c>
      <c r="N1165" s="7">
        <f t="shared" si="160"/>
        <v>60</v>
      </c>
      <c r="O1165" s="1">
        <f t="shared" si="156"/>
        <v>131</v>
      </c>
      <c r="P1165" s="1" t="str">
        <f t="shared" si="154"/>
        <v>60,131</v>
      </c>
      <c r="Q1165" s="6" t="s">
        <v>10</v>
      </c>
      <c r="R1165" s="1">
        <v>90</v>
      </c>
      <c r="S1165" s="1">
        <v>2.5</v>
      </c>
      <c r="T1165" s="1" t="str">
        <f t="shared" si="157"/>
        <v>-text 60,131 2.5 90 266.702</v>
      </c>
    </row>
    <row r="1166" spans="1:20" x14ac:dyDescent="0.35">
      <c r="A1166" s="1">
        <v>275080</v>
      </c>
      <c r="B1166" s="7">
        <v>1164514.2</v>
      </c>
      <c r="C1166" s="2">
        <v>268.79599999999999</v>
      </c>
      <c r="D1166" s="2">
        <v>270.23399999999998</v>
      </c>
      <c r="E1166" s="2">
        <v>1.4379999999999999</v>
      </c>
      <c r="F1166" s="2">
        <v>268.12400000000002</v>
      </c>
      <c r="G1166" s="2">
        <v>269.52100000000002</v>
      </c>
      <c r="H1166" s="2">
        <v>1.397</v>
      </c>
      <c r="I1166" s="2">
        <v>265.57499999999999</v>
      </c>
      <c r="J1166" s="2">
        <v>266.45299999999997</v>
      </c>
      <c r="K1166" s="15">
        <v>3.0680000000000001</v>
      </c>
      <c r="L1166" s="2">
        <v>14.03</v>
      </c>
      <c r="N1166" s="7">
        <f t="shared" si="160"/>
        <v>80</v>
      </c>
      <c r="O1166" s="1">
        <f t="shared" si="156"/>
        <v>131</v>
      </c>
      <c r="P1166" s="1" t="str">
        <f t="shared" si="154"/>
        <v>80,131</v>
      </c>
      <c r="Q1166" s="6" t="s">
        <v>10</v>
      </c>
      <c r="R1166" s="1">
        <v>90</v>
      </c>
      <c r="S1166" s="1">
        <v>2.5</v>
      </c>
      <c r="T1166" s="1" t="str">
        <f t="shared" si="157"/>
        <v>-text 80,131 2.5 90 266.453</v>
      </c>
    </row>
    <row r="1167" spans="1:20" x14ac:dyDescent="0.35">
      <c r="A1167" s="1">
        <v>275100</v>
      </c>
      <c r="B1167" s="7">
        <v>1164534.2</v>
      </c>
      <c r="C1167" s="2">
        <v>268.79899999999998</v>
      </c>
      <c r="D1167" s="2">
        <v>270.23399999999998</v>
      </c>
      <c r="E1167" s="2">
        <v>1.4350000000000001</v>
      </c>
      <c r="F1167" s="2">
        <v>268.12700000000001</v>
      </c>
      <c r="G1167" s="2">
        <v>269.52100000000002</v>
      </c>
      <c r="H1167" s="2">
        <v>1.3939999999999999</v>
      </c>
      <c r="I1167" s="2">
        <v>265.54000000000002</v>
      </c>
      <c r="J1167" s="2">
        <v>266.10500000000002</v>
      </c>
      <c r="K1167" s="15">
        <v>3.4159999999999999</v>
      </c>
      <c r="L1167" s="2">
        <v>14.031000000000001</v>
      </c>
      <c r="N1167" s="7">
        <f t="shared" si="160"/>
        <v>100</v>
      </c>
      <c r="O1167" s="1">
        <f t="shared" si="156"/>
        <v>131</v>
      </c>
      <c r="P1167" s="1" t="str">
        <f t="shared" si="154"/>
        <v>100,131</v>
      </c>
      <c r="Q1167" s="6" t="s">
        <v>10</v>
      </c>
      <c r="R1167" s="1">
        <v>90</v>
      </c>
      <c r="S1167" s="1">
        <v>2.5</v>
      </c>
      <c r="T1167" s="1" t="str">
        <f t="shared" si="157"/>
        <v>-text 100,131 2.5 90 266.105</v>
      </c>
    </row>
    <row r="1168" spans="1:20" x14ac:dyDescent="0.35">
      <c r="A1168" s="1">
        <v>275120</v>
      </c>
      <c r="B1168" s="7">
        <v>1164554.2</v>
      </c>
      <c r="C1168" s="2">
        <v>268.77699999999999</v>
      </c>
      <c r="D1168" s="2">
        <v>270.23399999999998</v>
      </c>
      <c r="E1168" s="2">
        <v>1.4570000000000001</v>
      </c>
      <c r="F1168" s="2">
        <v>268.10500000000002</v>
      </c>
      <c r="G1168" s="2">
        <v>269.52100000000002</v>
      </c>
      <c r="H1168" s="2">
        <v>1.4159999999999999</v>
      </c>
      <c r="I1168" s="2">
        <v>265.25700000000001</v>
      </c>
      <c r="J1168" s="2">
        <v>266.00799999999998</v>
      </c>
      <c r="K1168" s="15">
        <v>3.5129999999999999</v>
      </c>
      <c r="L1168" s="2">
        <v>14.031000000000001</v>
      </c>
      <c r="N1168" s="7">
        <f t="shared" si="160"/>
        <v>120</v>
      </c>
      <c r="O1168" s="1">
        <f t="shared" si="156"/>
        <v>131</v>
      </c>
      <c r="P1168" s="1" t="str">
        <f t="shared" si="154"/>
        <v>120,131</v>
      </c>
      <c r="Q1168" s="6" t="s">
        <v>10</v>
      </c>
      <c r="R1168" s="1">
        <v>90</v>
      </c>
      <c r="S1168" s="1">
        <v>2.5</v>
      </c>
      <c r="T1168" s="1" t="str">
        <f t="shared" si="157"/>
        <v>-text 120,131 2.5 90 266.008</v>
      </c>
    </row>
    <row r="1169" spans="1:20" x14ac:dyDescent="0.35">
      <c r="A1169" s="1">
        <v>275140</v>
      </c>
      <c r="B1169" s="7">
        <v>1164574.2</v>
      </c>
      <c r="C1169" s="2">
        <v>268.76600000000002</v>
      </c>
      <c r="D1169" s="2">
        <v>270.23399999999998</v>
      </c>
      <c r="E1169" s="2">
        <v>1.468</v>
      </c>
      <c r="F1169" s="2">
        <v>268.09399999999999</v>
      </c>
      <c r="G1169" s="2">
        <v>269.52100000000002</v>
      </c>
      <c r="H1169" s="2">
        <v>1.427</v>
      </c>
      <c r="I1169" s="2">
        <v>264.97000000000003</v>
      </c>
      <c r="J1169" s="2">
        <v>264.88900000000001</v>
      </c>
      <c r="K1169" s="15">
        <v>4.6319999999999997</v>
      </c>
      <c r="L1169" s="2">
        <v>14.035</v>
      </c>
      <c r="N1169" s="7">
        <f t="shared" si="160"/>
        <v>140</v>
      </c>
      <c r="O1169" s="1">
        <f t="shared" si="156"/>
        <v>131</v>
      </c>
      <c r="P1169" s="1" t="str">
        <f t="shared" si="154"/>
        <v>140,131</v>
      </c>
      <c r="Q1169" s="6" t="s">
        <v>10</v>
      </c>
      <c r="R1169" s="1">
        <v>90</v>
      </c>
      <c r="S1169" s="1">
        <v>2.5</v>
      </c>
      <c r="T1169" s="1" t="str">
        <f t="shared" si="157"/>
        <v>-text 140,131 2.5 90 264.889</v>
      </c>
    </row>
    <row r="1170" spans="1:20" x14ac:dyDescent="0.35">
      <c r="A1170" s="1">
        <v>275160</v>
      </c>
      <c r="B1170" s="7">
        <v>1164594.2</v>
      </c>
      <c r="C1170" s="2">
        <v>268.77</v>
      </c>
      <c r="D1170" s="2">
        <v>270.23399999999998</v>
      </c>
      <c r="E1170" s="2">
        <v>1.464</v>
      </c>
      <c r="F1170" s="2">
        <v>268.09800000000001</v>
      </c>
      <c r="G1170" s="2">
        <v>269.52100000000002</v>
      </c>
      <c r="H1170" s="2">
        <v>1.423</v>
      </c>
      <c r="I1170" s="2">
        <v>264.92399999999998</v>
      </c>
      <c r="J1170" s="2">
        <v>264.90300000000002</v>
      </c>
      <c r="K1170" s="15">
        <v>4.6180000000000003</v>
      </c>
      <c r="L1170" s="2">
        <v>14.042999999999999</v>
      </c>
      <c r="N1170" s="7">
        <f t="shared" si="160"/>
        <v>160</v>
      </c>
      <c r="O1170" s="1">
        <f t="shared" si="156"/>
        <v>131</v>
      </c>
      <c r="P1170" s="1" t="str">
        <f t="shared" si="154"/>
        <v>160,131</v>
      </c>
      <c r="Q1170" s="6" t="s">
        <v>10</v>
      </c>
      <c r="R1170" s="1">
        <v>90</v>
      </c>
      <c r="S1170" s="1">
        <v>2.5</v>
      </c>
      <c r="T1170" s="1" t="str">
        <f t="shared" si="157"/>
        <v>-text 160,131 2.5 90 264.903</v>
      </c>
    </row>
    <row r="1171" spans="1:20" x14ac:dyDescent="0.35">
      <c r="A1171" s="1">
        <v>275180</v>
      </c>
      <c r="B1171" s="7">
        <v>1164614.2</v>
      </c>
      <c r="C1171" s="2">
        <v>268.77999999999997</v>
      </c>
      <c r="D1171" s="2">
        <v>270.23399999999998</v>
      </c>
      <c r="E1171" s="2">
        <v>1.454</v>
      </c>
      <c r="F1171" s="2">
        <v>268.108</v>
      </c>
      <c r="G1171" s="2">
        <v>269.52100000000002</v>
      </c>
      <c r="H1171" s="2">
        <v>1.413</v>
      </c>
      <c r="I1171" s="2">
        <v>264.892</v>
      </c>
      <c r="J1171" s="2">
        <v>264.90600000000001</v>
      </c>
      <c r="K1171" s="15">
        <v>4.6150000000000002</v>
      </c>
      <c r="L1171" s="2">
        <v>14.05</v>
      </c>
      <c r="N1171" s="7">
        <f t="shared" si="160"/>
        <v>180</v>
      </c>
      <c r="O1171" s="1">
        <f t="shared" si="156"/>
        <v>131</v>
      </c>
      <c r="P1171" s="1" t="str">
        <f t="shared" si="154"/>
        <v>180,131</v>
      </c>
      <c r="Q1171" s="6" t="s">
        <v>10</v>
      </c>
      <c r="R1171" s="1">
        <v>90</v>
      </c>
      <c r="S1171" s="1">
        <v>2.5</v>
      </c>
      <c r="T1171" s="1" t="str">
        <f t="shared" si="157"/>
        <v>-text 180,131 2.5 90 264.906</v>
      </c>
    </row>
    <row r="1172" spans="1:20" x14ac:dyDescent="0.35">
      <c r="A1172" s="1">
        <v>275200</v>
      </c>
      <c r="B1172" s="7">
        <v>1164634.2</v>
      </c>
      <c r="C1172" s="2">
        <v>268.79500000000002</v>
      </c>
      <c r="D1172" s="2">
        <v>270.23399999999998</v>
      </c>
      <c r="E1172" s="2">
        <v>1.4390000000000001</v>
      </c>
      <c r="F1172" s="2">
        <v>268.12299999999999</v>
      </c>
      <c r="G1172" s="2">
        <v>269.52100000000002</v>
      </c>
      <c r="H1172" s="2">
        <v>1.3979999999999999</v>
      </c>
      <c r="I1172" s="2">
        <v>264.911</v>
      </c>
      <c r="J1172" s="2">
        <v>264.839</v>
      </c>
      <c r="K1172" s="15">
        <v>4.6820000000000004</v>
      </c>
      <c r="L1172" s="2">
        <v>14.055</v>
      </c>
      <c r="N1172" s="7">
        <f t="shared" si="160"/>
        <v>200</v>
      </c>
      <c r="O1172" s="1">
        <f t="shared" si="156"/>
        <v>131</v>
      </c>
      <c r="P1172" s="1" t="str">
        <f t="shared" si="154"/>
        <v>200,131</v>
      </c>
      <c r="Q1172" s="6" t="s">
        <v>10</v>
      </c>
      <c r="R1172" s="1">
        <v>90</v>
      </c>
      <c r="S1172" s="1">
        <v>2.5</v>
      </c>
      <c r="T1172" s="1" t="str">
        <f t="shared" si="157"/>
        <v>-text 200,131 2.5 90 264.839</v>
      </c>
    </row>
    <row r="1173" spans="1:20" x14ac:dyDescent="0.35">
      <c r="A1173" s="1">
        <v>275220</v>
      </c>
      <c r="B1173" s="7">
        <v>1164654.2</v>
      </c>
      <c r="C1173" s="2">
        <v>268.78699999999998</v>
      </c>
      <c r="D1173" s="2">
        <v>270.23399999999998</v>
      </c>
      <c r="E1173" s="2">
        <v>1.4470000000000001</v>
      </c>
      <c r="F1173" s="2">
        <v>268.11500000000001</v>
      </c>
      <c r="G1173" s="2">
        <v>269.52100000000002</v>
      </c>
      <c r="H1173" s="2">
        <v>1.4059999999999999</v>
      </c>
      <c r="I1173" s="2">
        <v>264.96699999999998</v>
      </c>
      <c r="J1173" s="2">
        <v>265.99700000000001</v>
      </c>
      <c r="K1173" s="15">
        <v>3.524</v>
      </c>
      <c r="L1173" s="2">
        <v>14.082000000000001</v>
      </c>
      <c r="N1173" s="7">
        <f t="shared" si="160"/>
        <v>220</v>
      </c>
      <c r="O1173" s="1">
        <f t="shared" si="156"/>
        <v>131</v>
      </c>
      <c r="P1173" s="1" t="str">
        <f t="shared" si="154"/>
        <v>220,131</v>
      </c>
      <c r="Q1173" s="6" t="s">
        <v>10</v>
      </c>
      <c r="R1173" s="1">
        <v>90</v>
      </c>
      <c r="S1173" s="1">
        <v>2.5</v>
      </c>
      <c r="T1173" s="1" t="str">
        <f t="shared" si="157"/>
        <v>-text 220,131 2.5 90 265.997</v>
      </c>
    </row>
    <row r="1174" spans="1:20" x14ac:dyDescent="0.35">
      <c r="A1174" s="1">
        <v>275240</v>
      </c>
      <c r="B1174" s="7">
        <v>1164674.1000000001</v>
      </c>
      <c r="C1174" s="2">
        <v>268.77199999999999</v>
      </c>
      <c r="D1174" s="2">
        <v>270.23399999999998</v>
      </c>
      <c r="E1174" s="2">
        <v>1.462</v>
      </c>
      <c r="F1174" s="2">
        <v>268.10000000000002</v>
      </c>
      <c r="G1174" s="2">
        <v>269.52100000000002</v>
      </c>
      <c r="H1174" s="2">
        <v>1.421</v>
      </c>
      <c r="I1174" s="2">
        <v>264.92599999999999</v>
      </c>
      <c r="J1174" s="2">
        <v>265.46699999999998</v>
      </c>
      <c r="K1174" s="15">
        <v>4.0540000000000003</v>
      </c>
      <c r="L1174" s="2">
        <v>14.112</v>
      </c>
      <c r="N1174" s="7">
        <f t="shared" si="160"/>
        <v>239.9000000001397</v>
      </c>
      <c r="O1174" s="1">
        <f t="shared" si="156"/>
        <v>131</v>
      </c>
      <c r="P1174" s="1" t="str">
        <f t="shared" si="154"/>
        <v>239.90000000014,131</v>
      </c>
      <c r="Q1174" s="6" t="s">
        <v>10</v>
      </c>
      <c r="R1174" s="1">
        <v>90</v>
      </c>
      <c r="S1174" s="1">
        <v>2.5</v>
      </c>
      <c r="T1174" s="1" t="str">
        <f t="shared" si="157"/>
        <v>-text 239.90000000014,131 2.5 90 265.467</v>
      </c>
    </row>
    <row r="1175" spans="1:20" x14ac:dyDescent="0.35">
      <c r="A1175" s="1">
        <v>275260</v>
      </c>
      <c r="B1175" s="7">
        <v>1164694.1000000001</v>
      </c>
      <c r="C1175" s="2">
        <v>268.78500000000003</v>
      </c>
      <c r="D1175" s="2">
        <v>270.23399999999998</v>
      </c>
      <c r="E1175" s="2">
        <v>1.4490000000000001</v>
      </c>
      <c r="F1175" s="2">
        <v>268.113</v>
      </c>
      <c r="G1175" s="2">
        <v>269.52100000000002</v>
      </c>
      <c r="H1175" s="2">
        <v>1.4079999999999999</v>
      </c>
      <c r="I1175" s="2">
        <v>264.90899999999999</v>
      </c>
      <c r="J1175" s="2">
        <v>264.94299999999998</v>
      </c>
      <c r="K1175" s="15">
        <v>4.5780000000000003</v>
      </c>
      <c r="L1175" s="2">
        <v>14.048</v>
      </c>
      <c r="N1175" s="7">
        <f t="shared" si="160"/>
        <v>259.9000000001397</v>
      </c>
      <c r="O1175" s="1">
        <f t="shared" si="156"/>
        <v>131</v>
      </c>
      <c r="P1175" s="1" t="str">
        <f t="shared" si="154"/>
        <v>259.90000000014,131</v>
      </c>
      <c r="Q1175" s="6" t="s">
        <v>10</v>
      </c>
      <c r="R1175" s="1">
        <v>90</v>
      </c>
      <c r="S1175" s="1">
        <v>2.5</v>
      </c>
      <c r="T1175" s="1" t="str">
        <f t="shared" si="157"/>
        <v>-text 259.90000000014,131 2.5 90 264.943</v>
      </c>
    </row>
    <row r="1176" spans="1:20" x14ac:dyDescent="0.35">
      <c r="A1176" s="1">
        <v>275280</v>
      </c>
      <c r="B1176" s="7">
        <v>1164714.2</v>
      </c>
      <c r="C1176" s="2">
        <v>268.79700000000003</v>
      </c>
      <c r="D1176" s="2">
        <v>270.23399999999998</v>
      </c>
      <c r="E1176" s="2">
        <v>1.4370000000000001</v>
      </c>
      <c r="F1176" s="2">
        <v>268.125</v>
      </c>
      <c r="G1176" s="2">
        <v>269.52100000000002</v>
      </c>
      <c r="H1176" s="2">
        <v>1.3959999999999999</v>
      </c>
      <c r="I1176" s="2">
        <v>264.90300000000002</v>
      </c>
      <c r="J1176" s="2">
        <v>264.86900000000003</v>
      </c>
      <c r="K1176" s="15">
        <v>4.6520000000000001</v>
      </c>
      <c r="L1176" s="2">
        <v>13.993</v>
      </c>
      <c r="N1176" s="7">
        <f t="shared" si="160"/>
        <v>280</v>
      </c>
      <c r="O1176" s="1">
        <f t="shared" ref="O1176:O1245" si="161">19+16+16+16+16+16+16+16</f>
        <v>131</v>
      </c>
      <c r="P1176" s="1" t="str">
        <f t="shared" si="154"/>
        <v>280,131</v>
      </c>
      <c r="Q1176" s="6" t="s">
        <v>10</v>
      </c>
      <c r="R1176" s="1">
        <v>90</v>
      </c>
      <c r="S1176" s="1">
        <v>2.5</v>
      </c>
      <c r="T1176" s="1" t="str">
        <f t="shared" ref="T1176:T1245" si="162">$Q1176&amp;" "&amp;$P1176&amp;" "&amp;$S1176&amp;" "&amp;$R1176&amp;" "&amp;$J1176</f>
        <v>-text 280,131 2.5 90 264.869</v>
      </c>
    </row>
    <row r="1177" spans="1:20" x14ac:dyDescent="0.35">
      <c r="A1177" s="1">
        <v>275300</v>
      </c>
      <c r="B1177" s="7">
        <v>1164734.2</v>
      </c>
      <c r="C1177" s="2">
        <v>268.803</v>
      </c>
      <c r="D1177" s="2">
        <v>270.23399999999998</v>
      </c>
      <c r="E1177" s="2">
        <v>1.431</v>
      </c>
      <c r="F1177" s="2">
        <v>268.13099999999997</v>
      </c>
      <c r="G1177" s="2">
        <v>269.52100000000002</v>
      </c>
      <c r="H1177" s="2">
        <v>1.39</v>
      </c>
      <c r="I1177" s="2">
        <v>264.42500000000001</v>
      </c>
      <c r="J1177" s="2">
        <v>263.92099999999999</v>
      </c>
      <c r="K1177" s="15">
        <v>5.6</v>
      </c>
      <c r="L1177" s="2">
        <v>13.984999999999999</v>
      </c>
      <c r="N1177" s="7">
        <f t="shared" si="160"/>
        <v>300</v>
      </c>
      <c r="O1177" s="1">
        <f t="shared" si="161"/>
        <v>131</v>
      </c>
      <c r="P1177" s="1" t="str">
        <f t="shared" si="154"/>
        <v>300,131</v>
      </c>
      <c r="Q1177" s="6" t="s">
        <v>10</v>
      </c>
      <c r="R1177" s="1">
        <v>90</v>
      </c>
      <c r="S1177" s="1">
        <v>2.5</v>
      </c>
      <c r="T1177" s="1" t="str">
        <f t="shared" si="162"/>
        <v>-text 300,131 2.5 90 263.921</v>
      </c>
    </row>
    <row r="1178" spans="1:20" x14ac:dyDescent="0.35">
      <c r="A1178" s="1">
        <v>275320</v>
      </c>
      <c r="B1178" s="7">
        <v>1164754.2</v>
      </c>
      <c r="C1178" s="2">
        <v>268.80099999999999</v>
      </c>
      <c r="D1178" s="2">
        <v>270.23399999999998</v>
      </c>
      <c r="E1178" s="2">
        <v>1.4330000000000001</v>
      </c>
      <c r="F1178" s="2">
        <v>268.12900000000002</v>
      </c>
      <c r="G1178" s="2">
        <v>269.52100000000002</v>
      </c>
      <c r="H1178" s="2">
        <v>1.3919999999999999</v>
      </c>
      <c r="I1178" s="2">
        <v>264.15499999999997</v>
      </c>
      <c r="J1178" s="2">
        <v>264.05200000000002</v>
      </c>
      <c r="K1178" s="15">
        <v>5.4690000000000003</v>
      </c>
      <c r="L1178" s="2">
        <v>13.974</v>
      </c>
      <c r="N1178" s="7">
        <f t="shared" si="160"/>
        <v>320</v>
      </c>
      <c r="O1178" s="1">
        <f t="shared" si="161"/>
        <v>131</v>
      </c>
      <c r="P1178" s="1" t="str">
        <f t="shared" ref="P1178:P1247" si="163">CONCATENATE(N1178,",",O1178)</f>
        <v>320,131</v>
      </c>
      <c r="Q1178" s="6" t="s">
        <v>10</v>
      </c>
      <c r="R1178" s="1">
        <v>90</v>
      </c>
      <c r="S1178" s="1">
        <v>2.5</v>
      </c>
      <c r="T1178" s="1" t="str">
        <f t="shared" si="162"/>
        <v>-text 320,131 2.5 90 264.052</v>
      </c>
    </row>
    <row r="1179" spans="1:20" x14ac:dyDescent="0.35">
      <c r="A1179" s="1">
        <v>275340</v>
      </c>
      <c r="B1179" s="7">
        <v>1164774.2</v>
      </c>
      <c r="C1179" s="2">
        <v>268.78699999999998</v>
      </c>
      <c r="D1179" s="2">
        <v>270.23399999999998</v>
      </c>
      <c r="E1179" s="2">
        <v>1.4470000000000001</v>
      </c>
      <c r="F1179" s="2">
        <v>268.11500000000001</v>
      </c>
      <c r="G1179" s="2">
        <v>269.52100000000002</v>
      </c>
      <c r="H1179" s="2">
        <v>1.4059999999999999</v>
      </c>
      <c r="I1179" s="2">
        <v>264.69</v>
      </c>
      <c r="J1179" s="2">
        <v>263.98399999999998</v>
      </c>
      <c r="K1179" s="15">
        <v>5.5369999999999999</v>
      </c>
      <c r="L1179" s="2">
        <v>13.959</v>
      </c>
      <c r="N1179" s="7">
        <f t="shared" si="160"/>
        <v>340</v>
      </c>
      <c r="O1179" s="1">
        <f t="shared" si="161"/>
        <v>131</v>
      </c>
      <c r="P1179" s="1" t="str">
        <f t="shared" si="163"/>
        <v>340,131</v>
      </c>
      <c r="Q1179" s="6" t="s">
        <v>10</v>
      </c>
      <c r="R1179" s="1">
        <v>90</v>
      </c>
      <c r="S1179" s="1">
        <v>2.5</v>
      </c>
      <c r="T1179" s="1" t="str">
        <f t="shared" si="162"/>
        <v>-text 340,131 2.5 90 263.984</v>
      </c>
    </row>
    <row r="1180" spans="1:20" x14ac:dyDescent="0.35">
      <c r="A1180" s="1">
        <v>275360</v>
      </c>
      <c r="B1180" s="7">
        <v>1164794.2</v>
      </c>
      <c r="C1180" s="2">
        <v>268.76799999999997</v>
      </c>
      <c r="D1180" s="2">
        <v>270.23399999999998</v>
      </c>
      <c r="E1180" s="2">
        <v>1.466</v>
      </c>
      <c r="F1180" s="2">
        <v>268.096</v>
      </c>
      <c r="G1180" s="2">
        <v>269.52100000000002</v>
      </c>
      <c r="H1180" s="2">
        <v>1.425</v>
      </c>
      <c r="I1180" s="2">
        <v>265.19499999999999</v>
      </c>
      <c r="J1180" s="2">
        <v>265.68</v>
      </c>
      <c r="K1180" s="15">
        <v>3.8410000000000002</v>
      </c>
      <c r="L1180" s="2">
        <v>13.945</v>
      </c>
      <c r="N1180" s="7">
        <f t="shared" si="160"/>
        <v>360</v>
      </c>
      <c r="O1180" s="1">
        <f t="shared" si="161"/>
        <v>131</v>
      </c>
      <c r="P1180" s="1" t="str">
        <f t="shared" si="163"/>
        <v>360,131</v>
      </c>
      <c r="Q1180" s="6" t="s">
        <v>10</v>
      </c>
      <c r="R1180" s="1">
        <v>90</v>
      </c>
      <c r="S1180" s="1">
        <v>2.5</v>
      </c>
      <c r="T1180" s="1" t="str">
        <f t="shared" si="162"/>
        <v>-text 360,131 2.5 90 265.68</v>
      </c>
    </row>
    <row r="1181" spans="1:20" x14ac:dyDescent="0.35">
      <c r="A1181" s="1">
        <v>275380</v>
      </c>
      <c r="B1181" s="7">
        <v>1164814.2</v>
      </c>
      <c r="C1181" s="2">
        <v>268.74299999999999</v>
      </c>
      <c r="D1181" s="2">
        <v>270.23399999999998</v>
      </c>
      <c r="E1181" s="2">
        <v>1.4910000000000001</v>
      </c>
      <c r="F1181" s="2">
        <v>268.07100000000003</v>
      </c>
      <c r="G1181" s="2">
        <v>269.52100000000002</v>
      </c>
      <c r="H1181" s="2">
        <v>1.45</v>
      </c>
      <c r="I1181" s="2">
        <v>265.29300000000001</v>
      </c>
      <c r="J1181" s="2">
        <v>265.84199999999998</v>
      </c>
      <c r="K1181" s="15">
        <v>3.6789999999999998</v>
      </c>
      <c r="L1181" s="2">
        <v>13.933999999999999</v>
      </c>
      <c r="N1181" s="7">
        <f t="shared" si="160"/>
        <v>380</v>
      </c>
      <c r="O1181" s="1">
        <f t="shared" si="161"/>
        <v>131</v>
      </c>
      <c r="P1181" s="1" t="str">
        <f t="shared" si="163"/>
        <v>380,131</v>
      </c>
      <c r="Q1181" s="6" t="s">
        <v>10</v>
      </c>
      <c r="R1181" s="1">
        <v>90</v>
      </c>
      <c r="S1181" s="1">
        <v>2.5</v>
      </c>
      <c r="T1181" s="1" t="str">
        <f t="shared" si="162"/>
        <v>-text 380,131 2.5 90 265.842</v>
      </c>
    </row>
    <row r="1182" spans="1:20" x14ac:dyDescent="0.35">
      <c r="A1182" s="1">
        <v>275400</v>
      </c>
      <c r="B1182" s="7">
        <v>1164834.1000000001</v>
      </c>
      <c r="C1182" s="2">
        <v>268.72899999999998</v>
      </c>
      <c r="D1182" s="2">
        <v>270.23399999999998</v>
      </c>
      <c r="E1182" s="2">
        <v>1.5049999999999999</v>
      </c>
      <c r="F1182" s="2">
        <v>268.05700000000002</v>
      </c>
      <c r="G1182" s="2">
        <v>269.52100000000002</v>
      </c>
      <c r="H1182" s="2">
        <v>1.464</v>
      </c>
      <c r="I1182" s="2">
        <v>265.15699999999998</v>
      </c>
      <c r="J1182" s="2">
        <v>266.012</v>
      </c>
      <c r="K1182" s="15">
        <v>3.5089999999999999</v>
      </c>
      <c r="L1182" s="2">
        <v>13.839</v>
      </c>
      <c r="N1182" s="7">
        <f t="shared" si="160"/>
        <v>399.9000000001397</v>
      </c>
      <c r="O1182" s="1">
        <f t="shared" si="161"/>
        <v>131</v>
      </c>
      <c r="P1182" s="1" t="str">
        <f t="shared" si="163"/>
        <v>399.90000000014,131</v>
      </c>
      <c r="Q1182" s="6" t="s">
        <v>10</v>
      </c>
      <c r="R1182" s="1">
        <v>90</v>
      </c>
      <c r="S1182" s="1">
        <v>2.5</v>
      </c>
      <c r="T1182" s="1" t="str">
        <f t="shared" si="162"/>
        <v>-text 399.90000000014,131 2.5 90 266.012</v>
      </c>
    </row>
    <row r="1183" spans="1:20" x14ac:dyDescent="0.35">
      <c r="A1183" s="1">
        <v>275420</v>
      </c>
      <c r="B1183" s="7">
        <v>1164854.1000000001</v>
      </c>
      <c r="C1183" s="2">
        <v>268.72199999999998</v>
      </c>
      <c r="D1183" s="2">
        <v>270.23399999999998</v>
      </c>
      <c r="E1183" s="2">
        <v>1.512</v>
      </c>
      <c r="F1183" s="2">
        <v>268.05</v>
      </c>
      <c r="G1183" s="2">
        <v>269.52100000000002</v>
      </c>
      <c r="H1183" s="2">
        <v>1.4710000000000001</v>
      </c>
      <c r="I1183" s="2">
        <v>265.16899999999998</v>
      </c>
      <c r="J1183" s="2">
        <v>266.09500000000003</v>
      </c>
      <c r="K1183" s="15">
        <v>3.4260000000000002</v>
      </c>
      <c r="L1183" s="2">
        <v>13.696999999999999</v>
      </c>
      <c r="N1183" s="7">
        <f t="shared" si="160"/>
        <v>419.9000000001397</v>
      </c>
      <c r="O1183" s="1">
        <f t="shared" si="161"/>
        <v>131</v>
      </c>
      <c r="P1183" s="1" t="str">
        <f t="shared" si="163"/>
        <v>419.90000000014,131</v>
      </c>
      <c r="Q1183" s="6" t="s">
        <v>10</v>
      </c>
      <c r="R1183" s="1">
        <v>90</v>
      </c>
      <c r="S1183" s="1">
        <v>2.5</v>
      </c>
      <c r="T1183" s="1" t="str">
        <f t="shared" si="162"/>
        <v>-text 419.90000000014,131 2.5 90 266.095</v>
      </c>
    </row>
    <row r="1184" spans="1:20" x14ac:dyDescent="0.35">
      <c r="A1184" s="1">
        <v>275440</v>
      </c>
      <c r="B1184" s="7">
        <v>1164874.2</v>
      </c>
      <c r="C1184" s="2">
        <v>268.745</v>
      </c>
      <c r="D1184" s="2">
        <v>270.23399999999998</v>
      </c>
      <c r="E1184" s="2">
        <v>1.4890000000000001</v>
      </c>
      <c r="F1184" s="2">
        <v>268.07299999999998</v>
      </c>
      <c r="G1184" s="2">
        <v>269.52100000000002</v>
      </c>
      <c r="H1184" s="2">
        <v>1.448</v>
      </c>
      <c r="I1184" s="2">
        <v>265.37900000000002</v>
      </c>
      <c r="J1184" s="2">
        <v>266.26100000000002</v>
      </c>
      <c r="K1184" s="15">
        <v>3.26</v>
      </c>
      <c r="L1184" s="2">
        <v>13.647</v>
      </c>
      <c r="N1184" s="7">
        <f t="shared" si="160"/>
        <v>440</v>
      </c>
      <c r="O1184" s="1">
        <f t="shared" si="161"/>
        <v>131</v>
      </c>
      <c r="P1184" s="1" t="str">
        <f t="shared" si="163"/>
        <v>440,131</v>
      </c>
      <c r="Q1184" s="6" t="s">
        <v>10</v>
      </c>
      <c r="R1184" s="1">
        <v>90</v>
      </c>
      <c r="S1184" s="1">
        <v>2.5</v>
      </c>
      <c r="T1184" s="1" t="str">
        <f t="shared" si="162"/>
        <v>-text 440,131 2.5 90 266.261</v>
      </c>
    </row>
    <row r="1185" spans="1:20" x14ac:dyDescent="0.35">
      <c r="A1185" s="1">
        <v>275460</v>
      </c>
      <c r="B1185" s="7">
        <v>1164894.2</v>
      </c>
      <c r="C1185" s="2">
        <v>268.77800000000002</v>
      </c>
      <c r="D1185" s="2">
        <v>270.23399999999998</v>
      </c>
      <c r="E1185" s="2">
        <v>1.456</v>
      </c>
      <c r="F1185" s="2">
        <v>268.10599999999999</v>
      </c>
      <c r="G1185" s="2">
        <v>269.52100000000002</v>
      </c>
      <c r="H1185" s="2">
        <v>1.415</v>
      </c>
      <c r="I1185" s="2">
        <v>265.47800000000001</v>
      </c>
      <c r="J1185" s="2">
        <v>266.35899999999998</v>
      </c>
      <c r="K1185" s="15">
        <v>3.1619999999999999</v>
      </c>
      <c r="L1185" s="2">
        <v>13.63</v>
      </c>
      <c r="N1185" s="7">
        <f t="shared" si="160"/>
        <v>460</v>
      </c>
      <c r="O1185" s="1">
        <f t="shared" si="161"/>
        <v>131</v>
      </c>
      <c r="P1185" s="1" t="str">
        <f t="shared" si="163"/>
        <v>460,131</v>
      </c>
      <c r="Q1185" s="6" t="s">
        <v>10</v>
      </c>
      <c r="R1185" s="1">
        <v>90</v>
      </c>
      <c r="S1185" s="1">
        <v>2.5</v>
      </c>
      <c r="T1185" s="1" t="str">
        <f t="shared" si="162"/>
        <v>-text 460,131 2.5 90 266.359</v>
      </c>
    </row>
    <row r="1186" spans="1:20" x14ac:dyDescent="0.35">
      <c r="A1186" s="1">
        <v>275480</v>
      </c>
      <c r="B1186" s="7">
        <v>1164914.2</v>
      </c>
      <c r="C1186" s="2">
        <v>268.80500000000001</v>
      </c>
      <c r="D1186" s="2">
        <v>270.23399999999998</v>
      </c>
      <c r="E1186" s="2">
        <v>1.429</v>
      </c>
      <c r="F1186" s="2">
        <v>268.13299999999998</v>
      </c>
      <c r="G1186" s="2">
        <v>269.52100000000002</v>
      </c>
      <c r="H1186" s="2">
        <v>1.3879999999999999</v>
      </c>
      <c r="I1186" s="2">
        <v>265.18900000000002</v>
      </c>
      <c r="J1186" s="2">
        <v>265.23099999999999</v>
      </c>
      <c r="K1186" s="15">
        <v>4.29</v>
      </c>
      <c r="L1186" s="2">
        <v>13.602</v>
      </c>
      <c r="N1186" s="7">
        <f t="shared" si="160"/>
        <v>480</v>
      </c>
      <c r="O1186" s="1">
        <f t="shared" si="161"/>
        <v>131</v>
      </c>
      <c r="P1186" s="1" t="str">
        <f t="shared" si="163"/>
        <v>480,131</v>
      </c>
      <c r="Q1186" s="6" t="s">
        <v>10</v>
      </c>
      <c r="R1186" s="1">
        <v>90</v>
      </c>
      <c r="S1186" s="1">
        <v>2.5</v>
      </c>
      <c r="T1186" s="1" t="str">
        <f t="shared" si="162"/>
        <v>-text 480,131 2.5 90 265.231</v>
      </c>
    </row>
    <row r="1187" spans="1:20" x14ac:dyDescent="0.35">
      <c r="A1187" s="1">
        <v>275500</v>
      </c>
      <c r="B1187" s="7">
        <v>1164934.2</v>
      </c>
      <c r="C1187" s="2">
        <v>268.80399999999997</v>
      </c>
      <c r="D1187" s="2">
        <v>270.23399999999998</v>
      </c>
      <c r="E1187" s="2">
        <v>1.43</v>
      </c>
      <c r="F1187" s="2">
        <v>268.13200000000001</v>
      </c>
      <c r="G1187" s="2">
        <v>269.52100000000002</v>
      </c>
      <c r="H1187" s="2">
        <v>1.389</v>
      </c>
      <c r="I1187" s="2">
        <v>264.93900000000002</v>
      </c>
      <c r="J1187" s="2">
        <v>264.85899999999998</v>
      </c>
      <c r="K1187" s="15">
        <v>4.6619999999999999</v>
      </c>
      <c r="L1187" s="2">
        <v>13.574999999999999</v>
      </c>
      <c r="N1187" s="7">
        <f>N1184+(B1187-B1184)</f>
        <v>500</v>
      </c>
      <c r="O1187" s="1">
        <f t="shared" si="161"/>
        <v>131</v>
      </c>
      <c r="P1187" s="1" t="str">
        <f t="shared" ref="P1187" si="164">CONCATENATE(N1187,",",O1187)</f>
        <v>500,131</v>
      </c>
      <c r="Q1187" s="6" t="s">
        <v>10</v>
      </c>
      <c r="R1187" s="1">
        <v>90</v>
      </c>
      <c r="S1187" s="1">
        <v>2.5</v>
      </c>
      <c r="T1187" s="1" t="str">
        <f t="shared" si="162"/>
        <v>-text 500,131 2.5 90 264.859</v>
      </c>
    </row>
    <row r="1188" spans="1:20" s="10" customFormat="1" x14ac:dyDescent="0.35">
      <c r="B1188" s="11"/>
      <c r="C1188" s="9"/>
      <c r="D1188" s="9"/>
      <c r="E1188" s="9"/>
      <c r="F1188" s="9"/>
      <c r="G1188" s="9"/>
      <c r="H1188" s="9"/>
      <c r="I1188" s="9"/>
      <c r="J1188" s="9"/>
      <c r="K1188" s="16"/>
      <c r="L1188" s="9"/>
      <c r="M1188" s="9"/>
      <c r="N1188" s="11"/>
      <c r="Q1188" s="12"/>
    </row>
    <row r="1189" spans="1:20" x14ac:dyDescent="0.35">
      <c r="A1189" s="1">
        <v>275500</v>
      </c>
      <c r="B1189" s="7">
        <v>1164934.2</v>
      </c>
      <c r="C1189" s="2">
        <v>268.80399999999997</v>
      </c>
      <c r="D1189" s="2">
        <v>270.23399999999998</v>
      </c>
      <c r="E1189" s="2">
        <v>1.43</v>
      </c>
      <c r="F1189" s="2">
        <v>268.13200000000001</v>
      </c>
      <c r="G1189" s="2">
        <v>269.52100000000002</v>
      </c>
      <c r="H1189" s="2">
        <v>1.389</v>
      </c>
      <c r="I1189" s="2">
        <v>264.93900000000002</v>
      </c>
      <c r="J1189" s="2">
        <v>264.85899999999998</v>
      </c>
      <c r="K1189" s="15">
        <v>4.6619999999999999</v>
      </c>
      <c r="L1189" s="2">
        <v>13.574999999999999</v>
      </c>
      <c r="N1189" s="7">
        <v>0</v>
      </c>
      <c r="O1189" s="1">
        <f t="shared" si="161"/>
        <v>131</v>
      </c>
      <c r="P1189" s="1" t="str">
        <f t="shared" si="163"/>
        <v>0,131</v>
      </c>
      <c r="Q1189" s="6" t="s">
        <v>10</v>
      </c>
      <c r="R1189" s="1">
        <v>90</v>
      </c>
      <c r="S1189" s="1">
        <v>2.5</v>
      </c>
      <c r="T1189" s="1" t="str">
        <f t="shared" si="162"/>
        <v>-text 0,131 2.5 90 264.859</v>
      </c>
    </row>
    <row r="1190" spans="1:20" x14ac:dyDescent="0.35">
      <c r="A1190" s="1">
        <v>275520</v>
      </c>
      <c r="B1190" s="7">
        <v>1164954.2</v>
      </c>
      <c r="C1190" s="2">
        <v>268.77300000000002</v>
      </c>
      <c r="D1190" s="2">
        <v>270.23399999999998</v>
      </c>
      <c r="E1190" s="2">
        <v>1.4610000000000001</v>
      </c>
      <c r="F1190" s="2">
        <v>268.101</v>
      </c>
      <c r="G1190" s="2">
        <v>269.52100000000002</v>
      </c>
      <c r="H1190" s="2">
        <v>1.42</v>
      </c>
      <c r="I1190" s="2">
        <v>265.00299999999999</v>
      </c>
      <c r="J1190" s="2">
        <v>264.79899999999998</v>
      </c>
      <c r="K1190" s="15">
        <v>4.7220000000000004</v>
      </c>
      <c r="L1190" s="2">
        <v>13.55</v>
      </c>
      <c r="N1190" s="7">
        <f t="shared" ref="N1190:N1213" si="165">N1189+(B1190-B1189)</f>
        <v>20</v>
      </c>
      <c r="O1190" s="1">
        <f t="shared" si="161"/>
        <v>131</v>
      </c>
      <c r="P1190" s="1" t="str">
        <f t="shared" si="163"/>
        <v>20,131</v>
      </c>
      <c r="Q1190" s="6" t="s">
        <v>10</v>
      </c>
      <c r="R1190" s="1">
        <v>90</v>
      </c>
      <c r="S1190" s="1">
        <v>2.5</v>
      </c>
      <c r="T1190" s="1" t="str">
        <f t="shared" si="162"/>
        <v>-text 20,131 2.5 90 264.799</v>
      </c>
    </row>
    <row r="1191" spans="1:20" x14ac:dyDescent="0.35">
      <c r="A1191" s="1">
        <v>275540</v>
      </c>
      <c r="B1191" s="7">
        <v>1164974.2</v>
      </c>
      <c r="C1191" s="2">
        <v>268.767</v>
      </c>
      <c r="D1191" s="2">
        <v>270.23399999999998</v>
      </c>
      <c r="E1191" s="2">
        <v>1.4670000000000001</v>
      </c>
      <c r="F1191" s="2">
        <v>268.09500000000003</v>
      </c>
      <c r="G1191" s="2">
        <v>269.52100000000002</v>
      </c>
      <c r="H1191" s="2">
        <v>1.4259999999999999</v>
      </c>
      <c r="I1191" s="2">
        <v>265.27199999999999</v>
      </c>
      <c r="J1191" s="2">
        <v>264.95100000000002</v>
      </c>
      <c r="K1191" s="15">
        <v>4.57</v>
      </c>
      <c r="L1191" s="2">
        <v>13.52</v>
      </c>
      <c r="N1191" s="7">
        <f t="shared" si="165"/>
        <v>40</v>
      </c>
      <c r="O1191" s="1">
        <f t="shared" si="161"/>
        <v>131</v>
      </c>
      <c r="P1191" s="1" t="str">
        <f t="shared" si="163"/>
        <v>40,131</v>
      </c>
      <c r="Q1191" s="6" t="s">
        <v>10</v>
      </c>
      <c r="R1191" s="1">
        <v>90</v>
      </c>
      <c r="S1191" s="1">
        <v>2.5</v>
      </c>
      <c r="T1191" s="1" t="str">
        <f t="shared" si="162"/>
        <v>-text 40,131 2.5 90 264.951</v>
      </c>
    </row>
    <row r="1192" spans="1:20" x14ac:dyDescent="0.35">
      <c r="A1192" s="1">
        <v>275560</v>
      </c>
      <c r="B1192" s="7">
        <v>1164994.2</v>
      </c>
      <c r="C1192" s="2">
        <v>268.78199999999998</v>
      </c>
      <c r="D1192" s="2">
        <v>270.23399999999998</v>
      </c>
      <c r="E1192" s="2">
        <v>1.452</v>
      </c>
      <c r="F1192" s="2">
        <v>268.11</v>
      </c>
      <c r="G1192" s="2">
        <v>269.52100000000002</v>
      </c>
      <c r="H1192" s="2">
        <v>1.411</v>
      </c>
      <c r="I1192" s="2">
        <v>265.74599999999998</v>
      </c>
      <c r="J1192" s="2">
        <v>265.66699999999997</v>
      </c>
      <c r="K1192" s="15">
        <v>3.8540000000000001</v>
      </c>
      <c r="L1192" s="2">
        <v>13.487</v>
      </c>
      <c r="N1192" s="7">
        <f t="shared" si="165"/>
        <v>60</v>
      </c>
      <c r="O1192" s="1">
        <f t="shared" si="161"/>
        <v>131</v>
      </c>
      <c r="P1192" s="1" t="str">
        <f t="shared" si="163"/>
        <v>60,131</v>
      </c>
      <c r="Q1192" s="6" t="s">
        <v>10</v>
      </c>
      <c r="R1192" s="1">
        <v>90</v>
      </c>
      <c r="S1192" s="1">
        <v>2.5</v>
      </c>
      <c r="T1192" s="1" t="str">
        <f t="shared" si="162"/>
        <v>-text 60,131 2.5 90 265.667</v>
      </c>
    </row>
    <row r="1193" spans="1:20" x14ac:dyDescent="0.35">
      <c r="A1193" s="1">
        <v>275580</v>
      </c>
      <c r="B1193" s="7">
        <v>1165014.2</v>
      </c>
      <c r="C1193" s="2">
        <v>268.791</v>
      </c>
      <c r="D1193" s="2">
        <v>270.23399999999998</v>
      </c>
      <c r="E1193" s="2">
        <v>1.4430000000000001</v>
      </c>
      <c r="F1193" s="2">
        <v>268.11900000000003</v>
      </c>
      <c r="G1193" s="2">
        <v>269.52100000000002</v>
      </c>
      <c r="H1193" s="2">
        <v>1.4019999999999999</v>
      </c>
      <c r="I1193" s="2">
        <v>265.93400000000003</v>
      </c>
      <c r="J1193" s="2">
        <v>265.79899999999998</v>
      </c>
      <c r="K1193" s="15">
        <v>3.722</v>
      </c>
      <c r="L1193" s="2">
        <v>13.458</v>
      </c>
      <c r="N1193" s="7">
        <f t="shared" si="165"/>
        <v>80</v>
      </c>
      <c r="O1193" s="1">
        <f t="shared" si="161"/>
        <v>131</v>
      </c>
      <c r="P1193" s="1" t="str">
        <f t="shared" si="163"/>
        <v>80,131</v>
      </c>
      <c r="Q1193" s="6" t="s">
        <v>10</v>
      </c>
      <c r="R1193" s="1">
        <v>90</v>
      </c>
      <c r="S1193" s="1">
        <v>2.5</v>
      </c>
      <c r="T1193" s="1" t="str">
        <f t="shared" si="162"/>
        <v>-text 80,131 2.5 90 265.799</v>
      </c>
    </row>
    <row r="1194" spans="1:20" x14ac:dyDescent="0.35">
      <c r="A1194" s="1">
        <v>275600</v>
      </c>
      <c r="B1194" s="7">
        <v>1165034.2</v>
      </c>
      <c r="C1194" s="2">
        <v>268.8</v>
      </c>
      <c r="D1194" s="2">
        <v>270.23399999999998</v>
      </c>
      <c r="E1194" s="2">
        <v>1.4339999999999999</v>
      </c>
      <c r="F1194" s="2">
        <v>268.12799999999999</v>
      </c>
      <c r="G1194" s="2">
        <v>269.52100000000002</v>
      </c>
      <c r="H1194" s="2">
        <v>1.393</v>
      </c>
      <c r="I1194" s="2">
        <v>266.024</v>
      </c>
      <c r="J1194" s="2">
        <v>266.07900000000001</v>
      </c>
      <c r="K1194" s="15">
        <v>3.4420000000000002</v>
      </c>
      <c r="L1194" s="2">
        <v>13.430999999999999</v>
      </c>
      <c r="N1194" s="7">
        <f t="shared" si="165"/>
        <v>100</v>
      </c>
      <c r="O1194" s="1">
        <f t="shared" si="161"/>
        <v>131</v>
      </c>
      <c r="P1194" s="1" t="str">
        <f t="shared" si="163"/>
        <v>100,131</v>
      </c>
      <c r="Q1194" s="6" t="s">
        <v>10</v>
      </c>
      <c r="R1194" s="1">
        <v>90</v>
      </c>
      <c r="S1194" s="1">
        <v>2.5</v>
      </c>
      <c r="T1194" s="1" t="str">
        <f t="shared" si="162"/>
        <v>-text 100,131 2.5 90 266.079</v>
      </c>
    </row>
    <row r="1195" spans="1:20" x14ac:dyDescent="0.35">
      <c r="A1195" s="1">
        <v>275620</v>
      </c>
      <c r="B1195" s="7">
        <v>1165054.2</v>
      </c>
      <c r="C1195" s="2">
        <v>268.77600000000001</v>
      </c>
      <c r="D1195" s="2">
        <v>270.23399999999998</v>
      </c>
      <c r="E1195" s="2">
        <v>1.458</v>
      </c>
      <c r="F1195" s="2">
        <v>268.10399999999998</v>
      </c>
      <c r="G1195" s="2">
        <v>269.52100000000002</v>
      </c>
      <c r="H1195" s="2">
        <v>1.417</v>
      </c>
      <c r="I1195" s="2">
        <v>265.86099999999999</v>
      </c>
      <c r="J1195" s="2">
        <v>266.12</v>
      </c>
      <c r="K1195" s="15">
        <v>3.4009999999999998</v>
      </c>
      <c r="L1195" s="2">
        <v>13.401999999999999</v>
      </c>
      <c r="N1195" s="7">
        <f t="shared" si="165"/>
        <v>120</v>
      </c>
      <c r="O1195" s="1">
        <f t="shared" si="161"/>
        <v>131</v>
      </c>
      <c r="P1195" s="1" t="str">
        <f t="shared" si="163"/>
        <v>120,131</v>
      </c>
      <c r="Q1195" s="6" t="s">
        <v>10</v>
      </c>
      <c r="R1195" s="1">
        <v>90</v>
      </c>
      <c r="S1195" s="1">
        <v>2.5</v>
      </c>
      <c r="T1195" s="1" t="str">
        <f t="shared" si="162"/>
        <v>-text 120,131 2.5 90 266.12</v>
      </c>
    </row>
    <row r="1196" spans="1:20" x14ac:dyDescent="0.35">
      <c r="A1196" s="1">
        <v>275640</v>
      </c>
      <c r="B1196" s="7">
        <v>1165074.2</v>
      </c>
      <c r="C1196" s="2">
        <v>268.75400000000002</v>
      </c>
      <c r="D1196" s="2">
        <v>270.23399999999998</v>
      </c>
      <c r="E1196" s="2">
        <v>1.48</v>
      </c>
      <c r="F1196" s="2">
        <v>268.08199999999999</v>
      </c>
      <c r="G1196" s="2">
        <v>269.52100000000002</v>
      </c>
      <c r="H1196" s="2">
        <v>1.4390000000000001</v>
      </c>
      <c r="I1196" s="2">
        <v>265.59199999999998</v>
      </c>
      <c r="J1196" s="2">
        <v>266.38200000000001</v>
      </c>
      <c r="K1196" s="15">
        <v>3.1389999999999998</v>
      </c>
      <c r="L1196" s="2">
        <v>13.374000000000001</v>
      </c>
      <c r="N1196" s="7">
        <f t="shared" si="165"/>
        <v>140</v>
      </c>
      <c r="O1196" s="1">
        <f t="shared" si="161"/>
        <v>131</v>
      </c>
      <c r="P1196" s="1" t="str">
        <f t="shared" si="163"/>
        <v>140,131</v>
      </c>
      <c r="Q1196" s="6" t="s">
        <v>10</v>
      </c>
      <c r="R1196" s="1">
        <v>90</v>
      </c>
      <c r="S1196" s="1">
        <v>2.5</v>
      </c>
      <c r="T1196" s="1" t="str">
        <f t="shared" si="162"/>
        <v>-text 140,131 2.5 90 266.382</v>
      </c>
    </row>
    <row r="1197" spans="1:20" x14ac:dyDescent="0.35">
      <c r="A1197" s="1">
        <v>275660</v>
      </c>
      <c r="B1197" s="7">
        <v>1165094.2</v>
      </c>
      <c r="C1197" s="2">
        <v>268.74799999999999</v>
      </c>
      <c r="D1197" s="2">
        <v>270.23399999999998</v>
      </c>
      <c r="E1197" s="2">
        <v>1.486</v>
      </c>
      <c r="F1197" s="2">
        <v>268.07600000000002</v>
      </c>
      <c r="G1197" s="2">
        <v>269.52100000000002</v>
      </c>
      <c r="H1197" s="2">
        <v>1.4450000000000001</v>
      </c>
      <c r="I1197" s="2">
        <v>265.53800000000001</v>
      </c>
      <c r="J1197" s="2">
        <v>265.93599999999998</v>
      </c>
      <c r="K1197" s="15">
        <v>3.585</v>
      </c>
      <c r="L1197" s="2">
        <v>13.349</v>
      </c>
      <c r="N1197" s="7">
        <f t="shared" si="165"/>
        <v>160</v>
      </c>
      <c r="O1197" s="1">
        <f t="shared" si="161"/>
        <v>131</v>
      </c>
      <c r="P1197" s="1" t="str">
        <f t="shared" si="163"/>
        <v>160,131</v>
      </c>
      <c r="Q1197" s="6" t="s">
        <v>10</v>
      </c>
      <c r="R1197" s="1">
        <v>90</v>
      </c>
      <c r="S1197" s="1">
        <v>2.5</v>
      </c>
      <c r="T1197" s="1" t="str">
        <f t="shared" si="162"/>
        <v>-text 160,131 2.5 90 265.936</v>
      </c>
    </row>
    <row r="1198" spans="1:20" x14ac:dyDescent="0.35">
      <c r="A1198" s="1">
        <v>275680</v>
      </c>
      <c r="B1198" s="7">
        <v>1165114.2</v>
      </c>
      <c r="C1198" s="2">
        <v>268.73899999999998</v>
      </c>
      <c r="D1198" s="2">
        <v>270.209</v>
      </c>
      <c r="E1198" s="2">
        <v>1.4710000000000001</v>
      </c>
      <c r="F1198" s="2">
        <v>268.06700000000001</v>
      </c>
      <c r="G1198" s="2">
        <v>269.49599999999998</v>
      </c>
      <c r="H1198" s="2">
        <v>1.43</v>
      </c>
      <c r="I1198" s="2">
        <v>265.49099999999999</v>
      </c>
      <c r="J1198" s="2">
        <v>265.78699999999998</v>
      </c>
      <c r="K1198" s="15">
        <v>3.7090000000000001</v>
      </c>
      <c r="L1198" s="2">
        <v>13.321</v>
      </c>
      <c r="N1198" s="7">
        <f t="shared" si="165"/>
        <v>180</v>
      </c>
      <c r="O1198" s="1">
        <f t="shared" si="161"/>
        <v>131</v>
      </c>
      <c r="P1198" s="1" t="str">
        <f t="shared" si="163"/>
        <v>180,131</v>
      </c>
      <c r="Q1198" s="6" t="s">
        <v>10</v>
      </c>
      <c r="R1198" s="1">
        <v>90</v>
      </c>
      <c r="S1198" s="1">
        <v>2.5</v>
      </c>
      <c r="T1198" s="1" t="str">
        <f t="shared" si="162"/>
        <v>-text 180,131 2.5 90 265.787</v>
      </c>
    </row>
    <row r="1199" spans="1:20" x14ac:dyDescent="0.35">
      <c r="A1199" s="1">
        <v>275700</v>
      </c>
      <c r="B1199" s="7">
        <v>1165134.2</v>
      </c>
      <c r="C1199" s="2">
        <v>268.72000000000003</v>
      </c>
      <c r="D1199" s="2">
        <v>270.14400000000001</v>
      </c>
      <c r="E1199" s="2">
        <v>1.4239999999999999</v>
      </c>
      <c r="F1199" s="2">
        <v>268.048</v>
      </c>
      <c r="G1199" s="2">
        <v>269.43099999999998</v>
      </c>
      <c r="H1199" s="2">
        <v>1.383</v>
      </c>
      <c r="I1199" s="2">
        <v>265.37</v>
      </c>
      <c r="J1199" s="2">
        <v>265.38099999999997</v>
      </c>
      <c r="K1199" s="15">
        <v>4.05</v>
      </c>
      <c r="L1199" s="2">
        <v>13.285</v>
      </c>
      <c r="N1199" s="7">
        <f t="shared" si="165"/>
        <v>200</v>
      </c>
      <c r="O1199" s="1">
        <f t="shared" si="161"/>
        <v>131</v>
      </c>
      <c r="P1199" s="1" t="str">
        <f t="shared" si="163"/>
        <v>200,131</v>
      </c>
      <c r="Q1199" s="6" t="s">
        <v>10</v>
      </c>
      <c r="R1199" s="1">
        <v>90</v>
      </c>
      <c r="S1199" s="1">
        <v>2.5</v>
      </c>
      <c r="T1199" s="1" t="str">
        <f t="shared" si="162"/>
        <v>-text 200,131 2.5 90 265.381</v>
      </c>
    </row>
    <row r="1200" spans="1:20" x14ac:dyDescent="0.35">
      <c r="A1200" s="1">
        <v>275720</v>
      </c>
      <c r="B1200" s="7">
        <v>1165154.2</v>
      </c>
      <c r="C1200" s="2">
        <v>268.71499999999997</v>
      </c>
      <c r="D1200" s="2">
        <v>270.07900000000001</v>
      </c>
      <c r="E1200" s="2">
        <v>1.3640000000000001</v>
      </c>
      <c r="F1200" s="2">
        <v>268.04300000000001</v>
      </c>
      <c r="G1200" s="2">
        <v>269.36599999999999</v>
      </c>
      <c r="H1200" s="2">
        <v>1.323</v>
      </c>
      <c r="I1200" s="2">
        <v>265.315</v>
      </c>
      <c r="J1200" s="2">
        <v>265.61099999999999</v>
      </c>
      <c r="K1200" s="15">
        <v>3.7549999999999999</v>
      </c>
      <c r="L1200" s="2">
        <v>13.252000000000001</v>
      </c>
      <c r="N1200" s="7">
        <f t="shared" si="165"/>
        <v>220</v>
      </c>
      <c r="O1200" s="1">
        <f t="shared" si="161"/>
        <v>131</v>
      </c>
      <c r="P1200" s="1" t="str">
        <f t="shared" si="163"/>
        <v>220,131</v>
      </c>
      <c r="Q1200" s="6" t="s">
        <v>10</v>
      </c>
      <c r="R1200" s="1">
        <v>90</v>
      </c>
      <c r="S1200" s="1">
        <v>2.5</v>
      </c>
      <c r="T1200" s="1" t="str">
        <f t="shared" si="162"/>
        <v>-text 220,131 2.5 90 265.611</v>
      </c>
    </row>
    <row r="1201" spans="1:20" x14ac:dyDescent="0.35">
      <c r="A1201" s="1">
        <v>275740</v>
      </c>
      <c r="B1201" s="7">
        <v>1165174.2</v>
      </c>
      <c r="C1201" s="2">
        <v>268.714</v>
      </c>
      <c r="D1201" s="2">
        <v>270.01400000000001</v>
      </c>
      <c r="E1201" s="2">
        <v>1.3</v>
      </c>
      <c r="F1201" s="2">
        <v>268.04199999999997</v>
      </c>
      <c r="G1201" s="2">
        <v>269.30099999999999</v>
      </c>
      <c r="H1201" s="2">
        <v>1.2589999999999999</v>
      </c>
      <c r="I1201" s="2">
        <v>265.39100000000002</v>
      </c>
      <c r="J1201" s="2">
        <v>265.51299999999998</v>
      </c>
      <c r="K1201" s="15">
        <v>3.7879999999999998</v>
      </c>
      <c r="L1201" s="2">
        <v>13.218</v>
      </c>
      <c r="N1201" s="7">
        <f t="shared" si="165"/>
        <v>240</v>
      </c>
      <c r="O1201" s="1">
        <f t="shared" si="161"/>
        <v>131</v>
      </c>
      <c r="P1201" s="1" t="str">
        <f t="shared" si="163"/>
        <v>240,131</v>
      </c>
      <c r="Q1201" s="6" t="s">
        <v>10</v>
      </c>
      <c r="R1201" s="1">
        <v>90</v>
      </c>
      <c r="S1201" s="1">
        <v>2.5</v>
      </c>
      <c r="T1201" s="1" t="str">
        <f t="shared" si="162"/>
        <v>-text 240,131 2.5 90 265.513</v>
      </c>
    </row>
    <row r="1202" spans="1:20" x14ac:dyDescent="0.35">
      <c r="A1202" s="1">
        <v>275760</v>
      </c>
      <c r="B1202" s="7">
        <v>1165194.2</v>
      </c>
      <c r="C1202" s="2">
        <v>268.65499999999997</v>
      </c>
      <c r="D1202" s="2">
        <v>269.94900000000001</v>
      </c>
      <c r="E1202" s="2">
        <v>1.2949999999999999</v>
      </c>
      <c r="F1202" s="2">
        <v>267.983</v>
      </c>
      <c r="G1202" s="2">
        <v>269.23599999999999</v>
      </c>
      <c r="H1202" s="2">
        <v>1.254</v>
      </c>
      <c r="I1202" s="2">
        <v>265.22300000000001</v>
      </c>
      <c r="J1202" s="2">
        <v>265.44799999999998</v>
      </c>
      <c r="K1202" s="15">
        <v>3.7879999999999998</v>
      </c>
      <c r="L1202" s="2">
        <v>13.182</v>
      </c>
      <c r="N1202" s="7">
        <f t="shared" si="165"/>
        <v>260</v>
      </c>
      <c r="O1202" s="1">
        <f t="shared" si="161"/>
        <v>131</v>
      </c>
      <c r="P1202" s="1" t="str">
        <f t="shared" si="163"/>
        <v>260,131</v>
      </c>
      <c r="Q1202" s="6" t="s">
        <v>10</v>
      </c>
      <c r="R1202" s="1">
        <v>90</v>
      </c>
      <c r="S1202" s="1">
        <v>2.5</v>
      </c>
      <c r="T1202" s="1" t="str">
        <f t="shared" si="162"/>
        <v>-text 260,131 2.5 90 265.448</v>
      </c>
    </row>
    <row r="1203" spans="1:20" x14ac:dyDescent="0.35">
      <c r="A1203" s="1">
        <v>275780</v>
      </c>
      <c r="B1203" s="7">
        <v>1165214.2</v>
      </c>
      <c r="C1203" s="2">
        <v>268.57799999999997</v>
      </c>
      <c r="D1203" s="2">
        <v>269.88499999999999</v>
      </c>
      <c r="E1203" s="2">
        <v>1.306</v>
      </c>
      <c r="F1203" s="2">
        <v>267.90600000000001</v>
      </c>
      <c r="G1203" s="2">
        <v>269.17200000000003</v>
      </c>
      <c r="H1203" s="2">
        <v>1.2649999999999999</v>
      </c>
      <c r="I1203" s="2">
        <v>265.065</v>
      </c>
      <c r="J1203" s="2">
        <v>265.42500000000001</v>
      </c>
      <c r="K1203" s="15">
        <v>3.7469999999999999</v>
      </c>
      <c r="L1203" s="2">
        <v>13.145</v>
      </c>
      <c r="N1203" s="7">
        <f t="shared" si="165"/>
        <v>280</v>
      </c>
      <c r="O1203" s="1">
        <f t="shared" si="161"/>
        <v>131</v>
      </c>
      <c r="P1203" s="1" t="str">
        <f t="shared" si="163"/>
        <v>280,131</v>
      </c>
      <c r="Q1203" s="6" t="s">
        <v>10</v>
      </c>
      <c r="R1203" s="1">
        <v>90</v>
      </c>
      <c r="S1203" s="1">
        <v>2.5</v>
      </c>
      <c r="T1203" s="1" t="str">
        <f t="shared" si="162"/>
        <v>-text 280,131 2.5 90 265.425</v>
      </c>
    </row>
    <row r="1204" spans="1:20" x14ac:dyDescent="0.35">
      <c r="A1204" s="1">
        <v>275800</v>
      </c>
      <c r="B1204" s="7">
        <v>1165234.2</v>
      </c>
      <c r="C1204" s="2">
        <v>268.54300000000001</v>
      </c>
      <c r="D1204" s="2">
        <v>269.82</v>
      </c>
      <c r="E1204" s="2">
        <v>1.276</v>
      </c>
      <c r="F1204" s="2">
        <v>267.87099999999998</v>
      </c>
      <c r="G1204" s="2">
        <v>269.10700000000003</v>
      </c>
      <c r="H1204" s="2">
        <v>1.2350000000000001</v>
      </c>
      <c r="I1204" s="2">
        <v>264.94</v>
      </c>
      <c r="J1204" s="2">
        <v>265.423</v>
      </c>
      <c r="K1204" s="15">
        <v>3.6840000000000002</v>
      </c>
      <c r="L1204" s="2">
        <v>13.145</v>
      </c>
      <c r="N1204" s="7">
        <f t="shared" si="165"/>
        <v>300</v>
      </c>
      <c r="O1204" s="1">
        <f t="shared" si="161"/>
        <v>131</v>
      </c>
      <c r="P1204" s="1" t="str">
        <f t="shared" si="163"/>
        <v>300,131</v>
      </c>
      <c r="Q1204" s="6" t="s">
        <v>10</v>
      </c>
      <c r="R1204" s="1">
        <v>90</v>
      </c>
      <c r="S1204" s="1">
        <v>2.5</v>
      </c>
      <c r="T1204" s="1" t="str">
        <f t="shared" si="162"/>
        <v>-text 300,131 2.5 90 265.423</v>
      </c>
    </row>
    <row r="1205" spans="1:20" x14ac:dyDescent="0.35">
      <c r="A1205" s="1">
        <v>275820</v>
      </c>
      <c r="B1205" s="7">
        <v>1165254.2</v>
      </c>
      <c r="C1205" s="2">
        <v>268.51499999999999</v>
      </c>
      <c r="D1205" s="2">
        <v>269.755</v>
      </c>
      <c r="E1205" s="2">
        <v>1.2390000000000001</v>
      </c>
      <c r="F1205" s="2">
        <v>267.84300000000002</v>
      </c>
      <c r="G1205" s="2">
        <v>269.04199999999997</v>
      </c>
      <c r="H1205" s="2">
        <v>1.198</v>
      </c>
      <c r="I1205" s="2">
        <v>264.94400000000002</v>
      </c>
      <c r="J1205" s="2">
        <v>265.40899999999999</v>
      </c>
      <c r="K1205" s="15">
        <v>3.633</v>
      </c>
      <c r="L1205" s="2">
        <v>13.15</v>
      </c>
      <c r="N1205" s="7">
        <f t="shared" si="165"/>
        <v>320</v>
      </c>
      <c r="O1205" s="1">
        <f t="shared" si="161"/>
        <v>131</v>
      </c>
      <c r="P1205" s="1" t="str">
        <f t="shared" si="163"/>
        <v>320,131</v>
      </c>
      <c r="Q1205" s="6" t="s">
        <v>10</v>
      </c>
      <c r="R1205" s="1">
        <v>90</v>
      </c>
      <c r="S1205" s="1">
        <v>2.5</v>
      </c>
      <c r="T1205" s="1" t="str">
        <f t="shared" si="162"/>
        <v>-text 320,131 2.5 90 265.409</v>
      </c>
    </row>
    <row r="1206" spans="1:20" x14ac:dyDescent="0.35">
      <c r="A1206" s="1">
        <v>275840</v>
      </c>
      <c r="B1206" s="7">
        <v>1165274.2</v>
      </c>
      <c r="C1206" s="2">
        <v>268.495</v>
      </c>
      <c r="D1206" s="2">
        <v>269.69</v>
      </c>
      <c r="E1206" s="2">
        <v>1.194</v>
      </c>
      <c r="F1206" s="2">
        <v>267.82299999999998</v>
      </c>
      <c r="G1206" s="2">
        <v>268.97699999999998</v>
      </c>
      <c r="H1206" s="2">
        <v>1.153</v>
      </c>
      <c r="I1206" s="2">
        <v>264.98099999999999</v>
      </c>
      <c r="J1206" s="2">
        <v>265.33699999999999</v>
      </c>
      <c r="K1206" s="15">
        <v>3.64</v>
      </c>
      <c r="L1206" s="2">
        <v>13.13</v>
      </c>
      <c r="N1206" s="7">
        <f t="shared" si="165"/>
        <v>340</v>
      </c>
      <c r="O1206" s="1">
        <f t="shared" si="161"/>
        <v>131</v>
      </c>
      <c r="P1206" s="1" t="str">
        <f t="shared" si="163"/>
        <v>340,131</v>
      </c>
      <c r="Q1206" s="6" t="s">
        <v>10</v>
      </c>
      <c r="R1206" s="1">
        <v>90</v>
      </c>
      <c r="S1206" s="1">
        <v>2.5</v>
      </c>
      <c r="T1206" s="1" t="str">
        <f t="shared" si="162"/>
        <v>-text 340,131 2.5 90 265.337</v>
      </c>
    </row>
    <row r="1207" spans="1:20" x14ac:dyDescent="0.35">
      <c r="A1207" s="1">
        <v>275860</v>
      </c>
      <c r="B1207" s="7">
        <v>1165294.2</v>
      </c>
      <c r="C1207" s="2">
        <v>268.47800000000001</v>
      </c>
      <c r="D1207" s="2">
        <v>269.625</v>
      </c>
      <c r="E1207" s="2">
        <v>1.147</v>
      </c>
      <c r="F1207" s="2">
        <v>267.80599999999998</v>
      </c>
      <c r="G1207" s="2">
        <v>268.91199999999998</v>
      </c>
      <c r="H1207" s="2">
        <v>1.1060000000000001</v>
      </c>
      <c r="I1207" s="2">
        <v>264.94499999999999</v>
      </c>
      <c r="J1207" s="2">
        <v>265.214</v>
      </c>
      <c r="K1207" s="15">
        <v>3.6970000000000001</v>
      </c>
      <c r="L1207" s="2">
        <v>13.097</v>
      </c>
      <c r="N1207" s="7">
        <f t="shared" si="165"/>
        <v>360</v>
      </c>
      <c r="O1207" s="1">
        <f t="shared" si="161"/>
        <v>131</v>
      </c>
      <c r="P1207" s="1" t="str">
        <f t="shared" si="163"/>
        <v>360,131</v>
      </c>
      <c r="Q1207" s="6" t="s">
        <v>10</v>
      </c>
      <c r="R1207" s="1">
        <v>90</v>
      </c>
      <c r="S1207" s="1">
        <v>2.5</v>
      </c>
      <c r="T1207" s="1" t="str">
        <f t="shared" si="162"/>
        <v>-text 360,131 2.5 90 265.214</v>
      </c>
    </row>
    <row r="1208" spans="1:20" x14ac:dyDescent="0.35">
      <c r="A1208" s="1">
        <v>275880</v>
      </c>
      <c r="B1208" s="7">
        <v>1165314.2</v>
      </c>
      <c r="C1208" s="2">
        <v>268.45400000000001</v>
      </c>
      <c r="D1208" s="2">
        <v>269.56</v>
      </c>
      <c r="E1208" s="2">
        <v>1.1060000000000001</v>
      </c>
      <c r="F1208" s="2">
        <v>267.78199999999998</v>
      </c>
      <c r="G1208" s="2">
        <v>268.84699999999998</v>
      </c>
      <c r="H1208" s="2">
        <v>1.0649999999999999</v>
      </c>
      <c r="I1208" s="2">
        <v>264.77800000000002</v>
      </c>
      <c r="J1208" s="2">
        <v>265.09699999999998</v>
      </c>
      <c r="K1208" s="15">
        <v>3.75</v>
      </c>
      <c r="L1208" s="2">
        <v>13.036</v>
      </c>
      <c r="N1208" s="7">
        <f t="shared" si="165"/>
        <v>380</v>
      </c>
      <c r="O1208" s="1">
        <f t="shared" si="161"/>
        <v>131</v>
      </c>
      <c r="P1208" s="1" t="str">
        <f t="shared" si="163"/>
        <v>380,131</v>
      </c>
      <c r="Q1208" s="6" t="s">
        <v>10</v>
      </c>
      <c r="R1208" s="1">
        <v>90</v>
      </c>
      <c r="S1208" s="1">
        <v>2.5</v>
      </c>
      <c r="T1208" s="1" t="str">
        <f t="shared" si="162"/>
        <v>-text 380,131 2.5 90 265.097</v>
      </c>
    </row>
    <row r="1209" spans="1:20" x14ac:dyDescent="0.35">
      <c r="A1209" s="1">
        <v>275900</v>
      </c>
      <c r="B1209" s="7">
        <v>1165334.2</v>
      </c>
      <c r="C1209" s="2">
        <v>268.41500000000002</v>
      </c>
      <c r="D1209" s="2">
        <v>269.495</v>
      </c>
      <c r="E1209" s="2">
        <v>1.08</v>
      </c>
      <c r="F1209" s="2">
        <v>267.74299999999999</v>
      </c>
      <c r="G1209" s="2">
        <v>268.78199999999998</v>
      </c>
      <c r="H1209" s="2">
        <v>1.0389999999999999</v>
      </c>
      <c r="I1209" s="2">
        <v>264.702</v>
      </c>
      <c r="J1209" s="2">
        <v>265.02699999999999</v>
      </c>
      <c r="K1209" s="15">
        <v>3.7549999999999999</v>
      </c>
      <c r="L1209" s="2">
        <v>12.932</v>
      </c>
      <c r="N1209" s="7">
        <f t="shared" si="165"/>
        <v>400</v>
      </c>
      <c r="O1209" s="1">
        <f t="shared" si="161"/>
        <v>131</v>
      </c>
      <c r="P1209" s="1" t="str">
        <f t="shared" si="163"/>
        <v>400,131</v>
      </c>
      <c r="Q1209" s="6" t="s">
        <v>10</v>
      </c>
      <c r="R1209" s="1">
        <v>90</v>
      </c>
      <c r="S1209" s="1">
        <v>2.5</v>
      </c>
      <c r="T1209" s="1" t="str">
        <f t="shared" si="162"/>
        <v>-text 400,131 2.5 90 265.027</v>
      </c>
    </row>
    <row r="1210" spans="1:20" x14ac:dyDescent="0.35">
      <c r="A1210" s="1">
        <v>275920</v>
      </c>
      <c r="B1210" s="7">
        <v>1165354.2</v>
      </c>
      <c r="C1210" s="2">
        <v>268.41500000000002</v>
      </c>
      <c r="D1210" s="2">
        <v>269.43</v>
      </c>
      <c r="E1210" s="2">
        <v>1.0149999999999999</v>
      </c>
      <c r="F1210" s="2">
        <v>267.74299999999999</v>
      </c>
      <c r="G1210" s="2">
        <v>268.71699999999998</v>
      </c>
      <c r="H1210" s="2">
        <v>0.97399999999999998</v>
      </c>
      <c r="I1210" s="2">
        <v>264.77300000000002</v>
      </c>
      <c r="J1210" s="2">
        <v>265.08999999999997</v>
      </c>
      <c r="K1210" s="15">
        <v>3.6269999999999998</v>
      </c>
      <c r="L1210" s="2">
        <v>12.82</v>
      </c>
      <c r="N1210" s="7">
        <f t="shared" si="165"/>
        <v>420</v>
      </c>
      <c r="O1210" s="1">
        <f t="shared" si="161"/>
        <v>131</v>
      </c>
      <c r="P1210" s="1" t="str">
        <f t="shared" si="163"/>
        <v>420,131</v>
      </c>
      <c r="Q1210" s="6" t="s">
        <v>10</v>
      </c>
      <c r="R1210" s="1">
        <v>90</v>
      </c>
      <c r="S1210" s="1">
        <v>2.5</v>
      </c>
      <c r="T1210" s="1" t="str">
        <f t="shared" si="162"/>
        <v>-text 420,131 2.5 90 265.09</v>
      </c>
    </row>
    <row r="1211" spans="1:20" x14ac:dyDescent="0.35">
      <c r="A1211" s="1">
        <v>275940</v>
      </c>
      <c r="B1211" s="7">
        <v>1165374.2</v>
      </c>
      <c r="C1211" s="2">
        <v>268.42599999999999</v>
      </c>
      <c r="D1211" s="2">
        <v>269.36500000000001</v>
      </c>
      <c r="E1211" s="2">
        <v>0.93899999999999995</v>
      </c>
      <c r="F1211" s="2">
        <v>267.75400000000002</v>
      </c>
      <c r="G1211" s="2">
        <v>268.65199999999999</v>
      </c>
      <c r="H1211" s="2">
        <v>0.89800000000000002</v>
      </c>
      <c r="I1211" s="2">
        <v>264.91000000000003</v>
      </c>
      <c r="J1211" s="2">
        <v>265.13099999999997</v>
      </c>
      <c r="K1211" s="15">
        <v>3.5209999999999999</v>
      </c>
      <c r="L1211" s="2">
        <v>12.664</v>
      </c>
      <c r="N1211" s="7">
        <f t="shared" si="165"/>
        <v>440</v>
      </c>
      <c r="O1211" s="1">
        <f t="shared" si="161"/>
        <v>131</v>
      </c>
      <c r="P1211" s="1" t="str">
        <f t="shared" si="163"/>
        <v>440,131</v>
      </c>
      <c r="Q1211" s="6" t="s">
        <v>10</v>
      </c>
      <c r="R1211" s="1">
        <v>90</v>
      </c>
      <c r="S1211" s="1">
        <v>2.5</v>
      </c>
      <c r="T1211" s="1" t="str">
        <f t="shared" si="162"/>
        <v>-text 440,131 2.5 90 265.131</v>
      </c>
    </row>
    <row r="1212" spans="1:20" x14ac:dyDescent="0.35">
      <c r="A1212" s="1">
        <v>275960</v>
      </c>
      <c r="B1212" s="7">
        <v>1165394.2</v>
      </c>
      <c r="C1212" s="2">
        <v>268.43900000000002</v>
      </c>
      <c r="D1212" s="2">
        <v>269.3</v>
      </c>
      <c r="E1212" s="2">
        <v>0.86099999999999999</v>
      </c>
      <c r="F1212" s="2">
        <v>267.767</v>
      </c>
      <c r="G1212" s="2">
        <v>268.58699999999999</v>
      </c>
      <c r="H1212" s="2">
        <v>0.82</v>
      </c>
      <c r="I1212" s="2">
        <v>265.07799999999997</v>
      </c>
      <c r="J1212" s="2">
        <v>265.22399999999999</v>
      </c>
      <c r="K1212" s="15">
        <v>3.363</v>
      </c>
      <c r="L1212" s="2">
        <v>12.468999999999999</v>
      </c>
      <c r="N1212" s="7">
        <f t="shared" si="165"/>
        <v>460</v>
      </c>
      <c r="O1212" s="1">
        <f t="shared" si="161"/>
        <v>131</v>
      </c>
      <c r="P1212" s="1" t="str">
        <f t="shared" si="163"/>
        <v>460,131</v>
      </c>
      <c r="Q1212" s="6" t="s">
        <v>10</v>
      </c>
      <c r="R1212" s="1">
        <v>90</v>
      </c>
      <c r="S1212" s="1">
        <v>2.5</v>
      </c>
      <c r="T1212" s="1" t="str">
        <f t="shared" si="162"/>
        <v>-text 460,131 2.5 90 265.224</v>
      </c>
    </row>
    <row r="1213" spans="1:20" x14ac:dyDescent="0.35">
      <c r="A1213" s="1">
        <v>275980</v>
      </c>
      <c r="B1213" s="7">
        <v>1165414.2</v>
      </c>
      <c r="C1213" s="2">
        <v>268.483</v>
      </c>
      <c r="D1213" s="2">
        <v>269.23500000000001</v>
      </c>
      <c r="E1213" s="2">
        <v>0.752</v>
      </c>
      <c r="F1213" s="2">
        <v>267.81099999999998</v>
      </c>
      <c r="G1213" s="2">
        <v>268.52199999999999</v>
      </c>
      <c r="H1213" s="2">
        <v>0.71099999999999997</v>
      </c>
      <c r="I1213" s="2">
        <v>265.17599999999999</v>
      </c>
      <c r="J1213" s="2">
        <v>265.37200000000001</v>
      </c>
      <c r="K1213" s="15">
        <v>3.15</v>
      </c>
      <c r="L1213" s="2">
        <v>12.236000000000001</v>
      </c>
      <c r="N1213" s="7">
        <f t="shared" si="165"/>
        <v>480</v>
      </c>
      <c r="O1213" s="1">
        <f t="shared" si="161"/>
        <v>131</v>
      </c>
      <c r="P1213" s="1" t="str">
        <f t="shared" si="163"/>
        <v>480,131</v>
      </c>
      <c r="Q1213" s="6" t="s">
        <v>10</v>
      </c>
      <c r="R1213" s="1">
        <v>90</v>
      </c>
      <c r="S1213" s="1">
        <v>2.5</v>
      </c>
      <c r="T1213" s="1" t="str">
        <f t="shared" si="162"/>
        <v>-text 480,131 2.5 90 265.372</v>
      </c>
    </row>
    <row r="1214" spans="1:20" x14ac:dyDescent="0.35">
      <c r="A1214" s="1">
        <v>276000</v>
      </c>
      <c r="B1214" s="7">
        <v>1165434.2</v>
      </c>
      <c r="C1214" s="2">
        <v>268.52699999999999</v>
      </c>
      <c r="D1214" s="2">
        <v>269.17</v>
      </c>
      <c r="E1214" s="2">
        <v>0.64300000000000002</v>
      </c>
      <c r="F1214" s="2">
        <v>267.85500000000002</v>
      </c>
      <c r="G1214" s="2">
        <v>268.45699999999999</v>
      </c>
      <c r="H1214" s="2">
        <v>0.60199999999999998</v>
      </c>
      <c r="I1214" s="2">
        <v>265.32499999999999</v>
      </c>
      <c r="J1214" s="2">
        <v>265.78699999999998</v>
      </c>
      <c r="K1214" s="15">
        <v>2.67</v>
      </c>
      <c r="L1214" s="2">
        <v>11.997</v>
      </c>
      <c r="N1214" s="7">
        <f>N1211+(B1214-B1211)</f>
        <v>500</v>
      </c>
      <c r="O1214" s="1">
        <f t="shared" si="161"/>
        <v>131</v>
      </c>
      <c r="P1214" s="1" t="str">
        <f t="shared" ref="P1214" si="166">CONCATENATE(N1214,",",O1214)</f>
        <v>500,131</v>
      </c>
      <c r="Q1214" s="6" t="s">
        <v>10</v>
      </c>
      <c r="R1214" s="1">
        <v>90</v>
      </c>
      <c r="S1214" s="1">
        <v>2.5</v>
      </c>
      <c r="T1214" s="1" t="str">
        <f t="shared" si="162"/>
        <v>-text 500,131 2.5 90 265.787</v>
      </c>
    </row>
    <row r="1215" spans="1:20" s="10" customFormat="1" x14ac:dyDescent="0.35">
      <c r="B1215" s="11"/>
      <c r="C1215" s="9"/>
      <c r="D1215" s="9"/>
      <c r="E1215" s="9"/>
      <c r="F1215" s="9"/>
      <c r="G1215" s="9"/>
      <c r="H1215" s="9"/>
      <c r="I1215" s="9"/>
      <c r="J1215" s="9"/>
      <c r="K1215" s="16"/>
      <c r="L1215" s="9"/>
      <c r="M1215" s="9"/>
      <c r="N1215" s="11"/>
      <c r="Q1215" s="12"/>
    </row>
    <row r="1216" spans="1:20" x14ac:dyDescent="0.35">
      <c r="A1216" s="1">
        <v>276000</v>
      </c>
      <c r="B1216" s="7">
        <v>1165434.2</v>
      </c>
      <c r="C1216" s="2">
        <v>268.52699999999999</v>
      </c>
      <c r="D1216" s="2">
        <v>269.17</v>
      </c>
      <c r="E1216" s="2">
        <v>0.64300000000000002</v>
      </c>
      <c r="F1216" s="2">
        <v>267.85500000000002</v>
      </c>
      <c r="G1216" s="2">
        <v>268.45699999999999</v>
      </c>
      <c r="H1216" s="2">
        <v>0.60199999999999998</v>
      </c>
      <c r="I1216" s="2">
        <v>265.32499999999999</v>
      </c>
      <c r="J1216" s="2">
        <v>265.78699999999998</v>
      </c>
      <c r="K1216" s="15">
        <v>2.67</v>
      </c>
      <c r="L1216" s="2">
        <v>11.997</v>
      </c>
      <c r="N1216" s="7">
        <v>0</v>
      </c>
      <c r="O1216" s="1">
        <f t="shared" si="161"/>
        <v>131</v>
      </c>
      <c r="P1216" s="1" t="str">
        <f t="shared" si="163"/>
        <v>0,131</v>
      </c>
      <c r="Q1216" s="6" t="s">
        <v>10</v>
      </c>
      <c r="R1216" s="1">
        <v>90</v>
      </c>
      <c r="S1216" s="1">
        <v>2.5</v>
      </c>
      <c r="T1216" s="1" t="str">
        <f t="shared" si="162"/>
        <v>-text 0,131 2.5 90 265.787</v>
      </c>
    </row>
    <row r="1217" spans="1:20" x14ac:dyDescent="0.35">
      <c r="A1217" s="1">
        <v>276020</v>
      </c>
      <c r="B1217" s="7">
        <v>1165454.2</v>
      </c>
      <c r="C1217" s="2">
        <v>268.52800000000002</v>
      </c>
      <c r="D1217" s="2">
        <v>269.10500000000002</v>
      </c>
      <c r="E1217" s="2">
        <v>0.57699999999999996</v>
      </c>
      <c r="F1217" s="2">
        <v>267.85599999999999</v>
      </c>
      <c r="G1217" s="2">
        <v>268.392</v>
      </c>
      <c r="H1217" s="2">
        <v>0.53600000000000003</v>
      </c>
      <c r="I1217" s="2">
        <v>265.40899999999999</v>
      </c>
      <c r="J1217" s="2">
        <v>266.02600000000001</v>
      </c>
      <c r="K1217" s="15">
        <v>2.367</v>
      </c>
      <c r="L1217" s="2">
        <v>11.757</v>
      </c>
      <c r="N1217" s="7">
        <f t="shared" ref="N1217:N1240" si="167">N1216+(B1217-B1216)</f>
        <v>20</v>
      </c>
      <c r="O1217" s="1">
        <f t="shared" si="161"/>
        <v>131</v>
      </c>
      <c r="P1217" s="1" t="str">
        <f t="shared" si="163"/>
        <v>20,131</v>
      </c>
      <c r="Q1217" s="6" t="s">
        <v>10</v>
      </c>
      <c r="R1217" s="1">
        <v>90</v>
      </c>
      <c r="S1217" s="1">
        <v>2.5</v>
      </c>
      <c r="T1217" s="1" t="str">
        <f t="shared" si="162"/>
        <v>-text 20,131 2.5 90 266.026</v>
      </c>
    </row>
    <row r="1218" spans="1:20" x14ac:dyDescent="0.35">
      <c r="A1218" s="1">
        <v>276040</v>
      </c>
      <c r="B1218" s="7">
        <v>1165474.2</v>
      </c>
      <c r="C1218" s="2">
        <v>268.529</v>
      </c>
      <c r="D1218" s="2">
        <v>269.04000000000002</v>
      </c>
      <c r="E1218" s="2">
        <v>0.51100000000000001</v>
      </c>
      <c r="F1218" s="2">
        <v>267.85700000000003</v>
      </c>
      <c r="G1218" s="2">
        <v>268.327</v>
      </c>
      <c r="H1218" s="2">
        <v>0.47</v>
      </c>
      <c r="I1218" s="2">
        <v>265.46600000000001</v>
      </c>
      <c r="J1218" s="2">
        <v>266.041</v>
      </c>
      <c r="K1218" s="15">
        <v>2.2869999999999999</v>
      </c>
      <c r="L1218" s="2">
        <v>11.516999999999999</v>
      </c>
      <c r="N1218" s="7">
        <f t="shared" si="167"/>
        <v>40</v>
      </c>
      <c r="O1218" s="1">
        <f t="shared" si="161"/>
        <v>131</v>
      </c>
      <c r="P1218" s="1" t="str">
        <f t="shared" si="163"/>
        <v>40,131</v>
      </c>
      <c r="Q1218" s="6" t="s">
        <v>10</v>
      </c>
      <c r="R1218" s="1">
        <v>90</v>
      </c>
      <c r="S1218" s="1">
        <v>2.5</v>
      </c>
      <c r="T1218" s="1" t="str">
        <f t="shared" si="162"/>
        <v>-text 40,131 2.5 90 266.041</v>
      </c>
    </row>
    <row r="1219" spans="1:20" x14ac:dyDescent="0.35">
      <c r="A1219" s="1">
        <v>276060</v>
      </c>
      <c r="B1219" s="7">
        <v>1165494.2</v>
      </c>
      <c r="C1219" s="2">
        <v>268.52999999999997</v>
      </c>
      <c r="D1219" s="2">
        <v>268.976</v>
      </c>
      <c r="E1219" s="2">
        <v>0.44500000000000001</v>
      </c>
      <c r="F1219" s="2">
        <v>267.858</v>
      </c>
      <c r="G1219" s="2">
        <v>268.26299999999998</v>
      </c>
      <c r="H1219" s="2">
        <v>0.40400000000000003</v>
      </c>
      <c r="I1219" s="2">
        <v>265.57299999999998</v>
      </c>
      <c r="J1219" s="2">
        <v>266</v>
      </c>
      <c r="K1219" s="15">
        <v>2.262</v>
      </c>
      <c r="L1219" s="2">
        <v>11.271000000000001</v>
      </c>
      <c r="N1219" s="7">
        <f t="shared" si="167"/>
        <v>60</v>
      </c>
      <c r="O1219" s="1">
        <f t="shared" si="161"/>
        <v>131</v>
      </c>
      <c r="P1219" s="1" t="str">
        <f t="shared" si="163"/>
        <v>60,131</v>
      </c>
      <c r="Q1219" s="6" t="s">
        <v>10</v>
      </c>
      <c r="R1219" s="1">
        <v>90</v>
      </c>
      <c r="S1219" s="1">
        <v>2.5</v>
      </c>
      <c r="T1219" s="1" t="str">
        <f t="shared" si="162"/>
        <v>-text 60,131 2.5 90 266</v>
      </c>
    </row>
    <row r="1220" spans="1:20" x14ac:dyDescent="0.35">
      <c r="A1220" s="1">
        <v>276080</v>
      </c>
      <c r="B1220" s="7">
        <v>1165514.2</v>
      </c>
      <c r="C1220" s="2">
        <v>268.529</v>
      </c>
      <c r="D1220" s="2">
        <v>268.911</v>
      </c>
      <c r="E1220" s="2">
        <v>0.38200000000000001</v>
      </c>
      <c r="F1220" s="2">
        <v>267.85700000000003</v>
      </c>
      <c r="G1220" s="2">
        <v>268.19799999999998</v>
      </c>
      <c r="H1220" s="2">
        <v>0.34100000000000003</v>
      </c>
      <c r="I1220" s="2">
        <v>265.62599999999998</v>
      </c>
      <c r="J1220" s="2">
        <v>266</v>
      </c>
      <c r="K1220" s="15">
        <v>2.1970000000000001</v>
      </c>
      <c r="L1220" s="2">
        <v>11.023</v>
      </c>
      <c r="N1220" s="7">
        <f t="shared" si="167"/>
        <v>80</v>
      </c>
      <c r="O1220" s="1">
        <f t="shared" si="161"/>
        <v>131</v>
      </c>
      <c r="P1220" s="1" t="str">
        <f t="shared" si="163"/>
        <v>80,131</v>
      </c>
      <c r="Q1220" s="6" t="s">
        <v>10</v>
      </c>
      <c r="R1220" s="1">
        <v>90</v>
      </c>
      <c r="S1220" s="1">
        <v>2.5</v>
      </c>
      <c r="T1220" s="1" t="str">
        <f t="shared" si="162"/>
        <v>-text 80,131 2.5 90 266</v>
      </c>
    </row>
    <row r="1221" spans="1:20" x14ac:dyDescent="0.35">
      <c r="A1221" s="1">
        <v>276100</v>
      </c>
      <c r="B1221" s="7">
        <v>1165534.2</v>
      </c>
      <c r="C1221" s="2">
        <v>268.52</v>
      </c>
      <c r="D1221" s="2">
        <v>268.846</v>
      </c>
      <c r="E1221" s="2">
        <v>0.32500000000000001</v>
      </c>
      <c r="F1221" s="2">
        <v>267.84800000000001</v>
      </c>
      <c r="G1221" s="2">
        <v>268.13299999999998</v>
      </c>
      <c r="H1221" s="2">
        <v>0.28399999999999997</v>
      </c>
      <c r="I1221" s="2">
        <v>265.62900000000002</v>
      </c>
      <c r="J1221" s="2">
        <v>266.233</v>
      </c>
      <c r="K1221" s="15">
        <v>1.9</v>
      </c>
      <c r="L1221" s="2">
        <v>10.771000000000001</v>
      </c>
      <c r="N1221" s="7">
        <f t="shared" si="167"/>
        <v>100</v>
      </c>
      <c r="O1221" s="1">
        <f t="shared" si="161"/>
        <v>131</v>
      </c>
      <c r="P1221" s="1" t="str">
        <f t="shared" si="163"/>
        <v>100,131</v>
      </c>
      <c r="Q1221" s="6" t="s">
        <v>10</v>
      </c>
      <c r="R1221" s="1">
        <v>90</v>
      </c>
      <c r="S1221" s="1">
        <v>2.5</v>
      </c>
      <c r="T1221" s="1" t="str">
        <f t="shared" si="162"/>
        <v>-text 100,131 2.5 90 266.233</v>
      </c>
    </row>
    <row r="1222" spans="1:20" x14ac:dyDescent="0.35">
      <c r="A1222" s="1">
        <v>276120</v>
      </c>
      <c r="B1222" s="7">
        <v>1165554.2</v>
      </c>
      <c r="C1222" s="2">
        <v>268.50400000000002</v>
      </c>
      <c r="D1222" s="2">
        <v>268.78100000000001</v>
      </c>
      <c r="E1222" s="2">
        <v>0.27700000000000002</v>
      </c>
      <c r="F1222" s="2">
        <v>267.83199999999999</v>
      </c>
      <c r="G1222" s="2">
        <v>268.06799999999998</v>
      </c>
      <c r="H1222" s="2">
        <v>0.23599999999999999</v>
      </c>
      <c r="I1222" s="2">
        <v>265.642</v>
      </c>
      <c r="J1222" s="2">
        <v>266.61099999999999</v>
      </c>
      <c r="K1222" s="15">
        <v>1.4570000000000001</v>
      </c>
      <c r="L1222" s="2">
        <v>10.523</v>
      </c>
      <c r="N1222" s="7">
        <f t="shared" si="167"/>
        <v>120</v>
      </c>
      <c r="O1222" s="1">
        <f t="shared" si="161"/>
        <v>131</v>
      </c>
      <c r="P1222" s="1" t="str">
        <f t="shared" si="163"/>
        <v>120,131</v>
      </c>
      <c r="Q1222" s="6" t="s">
        <v>10</v>
      </c>
      <c r="R1222" s="1">
        <v>90</v>
      </c>
      <c r="S1222" s="1">
        <v>2.5</v>
      </c>
      <c r="T1222" s="1" t="str">
        <f t="shared" si="162"/>
        <v>-text 120,131 2.5 90 266.611</v>
      </c>
    </row>
    <row r="1223" spans="1:20" x14ac:dyDescent="0.35">
      <c r="A1223" s="1">
        <v>276140</v>
      </c>
      <c r="B1223" s="7">
        <v>1165574.2</v>
      </c>
      <c r="C1223" s="2">
        <v>268.488</v>
      </c>
      <c r="D1223" s="2">
        <v>268.71600000000001</v>
      </c>
      <c r="E1223" s="2">
        <v>0.22800000000000001</v>
      </c>
      <c r="F1223" s="2">
        <v>267.81599999999997</v>
      </c>
      <c r="G1223" s="2">
        <v>268.00299999999999</v>
      </c>
      <c r="H1223" s="2">
        <v>0.187</v>
      </c>
      <c r="I1223" s="2">
        <v>265.63799999999998</v>
      </c>
      <c r="J1223" s="2">
        <v>266.41699999999997</v>
      </c>
      <c r="K1223" s="15">
        <v>1.5860000000000001</v>
      </c>
      <c r="L1223" s="2">
        <v>10.284000000000001</v>
      </c>
      <c r="N1223" s="7">
        <f t="shared" si="167"/>
        <v>140</v>
      </c>
      <c r="O1223" s="1">
        <f t="shared" si="161"/>
        <v>131</v>
      </c>
      <c r="P1223" s="1" t="str">
        <f t="shared" si="163"/>
        <v>140,131</v>
      </c>
      <c r="Q1223" s="6" t="s">
        <v>10</v>
      </c>
      <c r="R1223" s="1">
        <v>90</v>
      </c>
      <c r="S1223" s="1">
        <v>2.5</v>
      </c>
      <c r="T1223" s="1" t="str">
        <f t="shared" si="162"/>
        <v>-text 140,131 2.5 90 266.417</v>
      </c>
    </row>
    <row r="1224" spans="1:20" x14ac:dyDescent="0.35">
      <c r="A1224" s="1">
        <v>276160</v>
      </c>
      <c r="B1224" s="7">
        <v>1165594.2</v>
      </c>
      <c r="C1224" s="2">
        <v>268.46600000000001</v>
      </c>
      <c r="D1224" s="2">
        <v>268.69799999999998</v>
      </c>
      <c r="E1224" s="2">
        <v>0.23200000000000001</v>
      </c>
      <c r="F1224" s="2">
        <v>267.79399999999998</v>
      </c>
      <c r="G1224" s="2">
        <v>267.98500000000001</v>
      </c>
      <c r="H1224" s="2">
        <v>0.191</v>
      </c>
      <c r="I1224" s="2">
        <v>266.642</v>
      </c>
      <c r="J1224" s="2">
        <v>267.03199999999998</v>
      </c>
      <c r="K1224" s="15">
        <v>0.95299999999999996</v>
      </c>
      <c r="L1224" s="2">
        <v>10.032</v>
      </c>
      <c r="N1224" s="7">
        <f t="shared" si="167"/>
        <v>160</v>
      </c>
      <c r="O1224" s="1">
        <f t="shared" si="161"/>
        <v>131</v>
      </c>
      <c r="P1224" s="1" t="str">
        <f t="shared" si="163"/>
        <v>160,131</v>
      </c>
      <c r="Q1224" s="6" t="s">
        <v>10</v>
      </c>
      <c r="R1224" s="1">
        <v>90</v>
      </c>
      <c r="S1224" s="1">
        <v>2.5</v>
      </c>
      <c r="T1224" s="1" t="str">
        <f t="shared" si="162"/>
        <v>-text 160,131 2.5 90 267.032</v>
      </c>
    </row>
    <row r="1225" spans="1:20" x14ac:dyDescent="0.35">
      <c r="A1225" s="1">
        <v>276180</v>
      </c>
      <c r="B1225" s="7">
        <v>1165614.2</v>
      </c>
      <c r="C1225" s="2">
        <v>268.46499999999997</v>
      </c>
      <c r="D1225" s="2">
        <v>268.714</v>
      </c>
      <c r="E1225" s="2">
        <v>0.249</v>
      </c>
      <c r="F1225" s="2">
        <v>267.79300000000001</v>
      </c>
      <c r="G1225" s="2">
        <v>268.00099999999998</v>
      </c>
      <c r="H1225" s="2">
        <v>0.20799999999999999</v>
      </c>
      <c r="I1225" s="2">
        <v>266.392</v>
      </c>
      <c r="J1225" s="2">
        <v>266.68</v>
      </c>
      <c r="K1225" s="15">
        <v>1.321</v>
      </c>
      <c r="L1225" s="2">
        <v>9.7759999999999998</v>
      </c>
      <c r="N1225" s="7">
        <f t="shared" si="167"/>
        <v>180</v>
      </c>
      <c r="O1225" s="1">
        <f t="shared" si="161"/>
        <v>131</v>
      </c>
      <c r="P1225" s="1" t="str">
        <f t="shared" si="163"/>
        <v>180,131</v>
      </c>
      <c r="Q1225" s="6" t="s">
        <v>10</v>
      </c>
      <c r="R1225" s="1">
        <v>90</v>
      </c>
      <c r="S1225" s="1">
        <v>2.5</v>
      </c>
      <c r="T1225" s="1" t="str">
        <f t="shared" si="162"/>
        <v>-text 180,131 2.5 90 266.68</v>
      </c>
    </row>
    <row r="1226" spans="1:20" x14ac:dyDescent="0.35">
      <c r="A1226" s="1">
        <v>276200</v>
      </c>
      <c r="B1226" s="7">
        <v>1165634.2</v>
      </c>
      <c r="C1226" s="2">
        <v>268.51600000000002</v>
      </c>
      <c r="D1226" s="2">
        <v>268.73</v>
      </c>
      <c r="E1226" s="2">
        <v>0.214</v>
      </c>
      <c r="F1226" s="2">
        <v>267.84399999999999</v>
      </c>
      <c r="G1226" s="2">
        <v>268.017</v>
      </c>
      <c r="H1226" s="2">
        <v>0.17299999999999999</v>
      </c>
      <c r="I1226" s="2">
        <v>266.22699999999998</v>
      </c>
      <c r="J1226" s="2">
        <v>266.04599999999999</v>
      </c>
      <c r="K1226" s="15">
        <v>1.9710000000000001</v>
      </c>
      <c r="L1226" s="2">
        <v>9.5340000000000007</v>
      </c>
      <c r="N1226" s="7">
        <f t="shared" si="167"/>
        <v>200</v>
      </c>
      <c r="O1226" s="1">
        <f t="shared" si="161"/>
        <v>131</v>
      </c>
      <c r="P1226" s="1" t="str">
        <f t="shared" si="163"/>
        <v>200,131</v>
      </c>
      <c r="Q1226" s="6" t="s">
        <v>10</v>
      </c>
      <c r="R1226" s="1">
        <v>90</v>
      </c>
      <c r="S1226" s="1">
        <v>2.5</v>
      </c>
      <c r="T1226" s="1" t="str">
        <f t="shared" si="162"/>
        <v>-text 200,131 2.5 90 266.046</v>
      </c>
    </row>
    <row r="1227" spans="1:20" x14ac:dyDescent="0.35">
      <c r="A1227" s="1">
        <v>276220</v>
      </c>
      <c r="B1227" s="7">
        <v>1165654.2</v>
      </c>
      <c r="C1227" s="2">
        <v>268.54199999999997</v>
      </c>
      <c r="D1227" s="2">
        <v>268.745</v>
      </c>
      <c r="E1227" s="2">
        <v>0.20399999999999999</v>
      </c>
      <c r="F1227" s="2">
        <v>267.87</v>
      </c>
      <c r="G1227" s="2">
        <v>268.03199999999998</v>
      </c>
      <c r="H1227" s="2">
        <v>0.16300000000000001</v>
      </c>
      <c r="I1227" s="2">
        <v>266.48700000000002</v>
      </c>
      <c r="J1227" s="2">
        <v>266.28699999999998</v>
      </c>
      <c r="K1227" s="15">
        <v>1.746</v>
      </c>
      <c r="L1227" s="2">
        <v>9.3369999999999997</v>
      </c>
      <c r="N1227" s="7">
        <f t="shared" si="167"/>
        <v>220</v>
      </c>
      <c r="O1227" s="1">
        <f t="shared" si="161"/>
        <v>131</v>
      </c>
      <c r="P1227" s="1" t="str">
        <f t="shared" si="163"/>
        <v>220,131</v>
      </c>
      <c r="Q1227" s="6" t="s">
        <v>10</v>
      </c>
      <c r="R1227" s="1">
        <v>90</v>
      </c>
      <c r="S1227" s="1">
        <v>2.5</v>
      </c>
      <c r="T1227" s="1" t="str">
        <f t="shared" si="162"/>
        <v>-text 220,131 2.5 90 266.287</v>
      </c>
    </row>
    <row r="1228" spans="1:20" x14ac:dyDescent="0.35">
      <c r="A1228" s="1">
        <v>276240</v>
      </c>
      <c r="B1228" s="7">
        <v>1165674.2</v>
      </c>
      <c r="C1228" s="2">
        <v>268.54199999999997</v>
      </c>
      <c r="D1228" s="2">
        <v>268.76100000000002</v>
      </c>
      <c r="E1228" s="2">
        <v>0.219</v>
      </c>
      <c r="F1228" s="2">
        <v>267.87</v>
      </c>
      <c r="G1228" s="2">
        <v>268.048</v>
      </c>
      <c r="H1228" s="2">
        <v>0.17799999999999999</v>
      </c>
      <c r="I1228" s="2">
        <v>266.65699999999998</v>
      </c>
      <c r="J1228" s="2">
        <v>267.16500000000002</v>
      </c>
      <c r="K1228" s="15">
        <v>0.88400000000000001</v>
      </c>
      <c r="L1228" s="2">
        <v>9.2319999999999993</v>
      </c>
      <c r="N1228" s="7">
        <f t="shared" si="167"/>
        <v>240</v>
      </c>
      <c r="O1228" s="1">
        <f t="shared" si="161"/>
        <v>131</v>
      </c>
      <c r="P1228" s="1" t="str">
        <f t="shared" si="163"/>
        <v>240,131</v>
      </c>
      <c r="Q1228" s="6" t="s">
        <v>10</v>
      </c>
      <c r="R1228" s="1">
        <v>90</v>
      </c>
      <c r="S1228" s="1">
        <v>2.5</v>
      </c>
      <c r="T1228" s="1" t="str">
        <f t="shared" si="162"/>
        <v>-text 240,131 2.5 90 267.165</v>
      </c>
    </row>
    <row r="1229" spans="1:20" x14ac:dyDescent="0.35">
      <c r="A1229" s="1">
        <v>276260</v>
      </c>
      <c r="B1229" s="7">
        <v>1165694.2</v>
      </c>
      <c r="C1229" s="2">
        <v>268.54000000000002</v>
      </c>
      <c r="D1229" s="2">
        <v>268.77699999999999</v>
      </c>
      <c r="E1229" s="2">
        <v>0.23699999999999999</v>
      </c>
      <c r="F1229" s="2">
        <v>267.86799999999999</v>
      </c>
      <c r="G1229" s="2">
        <v>268.06400000000002</v>
      </c>
      <c r="H1229" s="2">
        <v>0.19600000000000001</v>
      </c>
      <c r="I1229" s="2">
        <v>266.24099999999999</v>
      </c>
      <c r="J1229" s="2">
        <v>266.63099999999997</v>
      </c>
      <c r="K1229" s="15">
        <v>1.4330000000000001</v>
      </c>
      <c r="L1229" s="2">
        <v>9.2479999999999993</v>
      </c>
      <c r="N1229" s="7">
        <f t="shared" si="167"/>
        <v>260</v>
      </c>
      <c r="O1229" s="1">
        <f t="shared" si="161"/>
        <v>131</v>
      </c>
      <c r="P1229" s="1" t="str">
        <f t="shared" si="163"/>
        <v>260,131</v>
      </c>
      <c r="Q1229" s="6" t="s">
        <v>10</v>
      </c>
      <c r="R1229" s="1">
        <v>90</v>
      </c>
      <c r="S1229" s="1">
        <v>2.5</v>
      </c>
      <c r="T1229" s="1" t="str">
        <f t="shared" si="162"/>
        <v>-text 260,131 2.5 90 266.631</v>
      </c>
    </row>
    <row r="1230" spans="1:20" x14ac:dyDescent="0.35">
      <c r="A1230" s="1">
        <v>276280</v>
      </c>
      <c r="B1230" s="7">
        <v>1165714.2</v>
      </c>
      <c r="C1230" s="2">
        <v>268.53500000000003</v>
      </c>
      <c r="D1230" s="2">
        <v>268.79300000000001</v>
      </c>
      <c r="E1230" s="2">
        <v>0.25800000000000001</v>
      </c>
      <c r="F1230" s="2">
        <v>267.863</v>
      </c>
      <c r="G1230" s="2">
        <v>268.08</v>
      </c>
      <c r="H1230" s="2">
        <v>0.217</v>
      </c>
      <c r="I1230" s="2">
        <v>266.08100000000002</v>
      </c>
      <c r="J1230" s="2">
        <v>265.69299999999998</v>
      </c>
      <c r="K1230" s="15">
        <v>2.387</v>
      </c>
      <c r="L1230" s="2">
        <v>9.3780000000000001</v>
      </c>
      <c r="N1230" s="7">
        <f t="shared" si="167"/>
        <v>280</v>
      </c>
      <c r="O1230" s="1">
        <f t="shared" si="161"/>
        <v>131</v>
      </c>
      <c r="P1230" s="1" t="str">
        <f t="shared" si="163"/>
        <v>280,131</v>
      </c>
      <c r="Q1230" s="6" t="s">
        <v>10</v>
      </c>
      <c r="R1230" s="1">
        <v>90</v>
      </c>
      <c r="S1230" s="1">
        <v>2.5</v>
      </c>
      <c r="T1230" s="1" t="str">
        <f t="shared" si="162"/>
        <v>-text 280,131 2.5 90 265.693</v>
      </c>
    </row>
    <row r="1231" spans="1:20" x14ac:dyDescent="0.35">
      <c r="A1231" s="1">
        <v>276300</v>
      </c>
      <c r="B1231" s="7">
        <v>1165734.2</v>
      </c>
      <c r="C1231" s="2">
        <v>268.53199999999998</v>
      </c>
      <c r="D1231" s="2">
        <v>268.80900000000003</v>
      </c>
      <c r="E1231" s="2">
        <v>0.27700000000000002</v>
      </c>
      <c r="F1231" s="2">
        <v>267.86</v>
      </c>
      <c r="G1231" s="2">
        <v>268.096</v>
      </c>
      <c r="H1231" s="2">
        <v>0.23599999999999999</v>
      </c>
      <c r="I1231" s="2">
        <v>266.02999999999997</v>
      </c>
      <c r="J1231" s="2">
        <v>265.97199999999998</v>
      </c>
      <c r="K1231" s="15">
        <v>2.1230000000000002</v>
      </c>
      <c r="L1231" s="2">
        <v>9.5660000000000007</v>
      </c>
      <c r="N1231" s="7">
        <f t="shared" si="167"/>
        <v>300</v>
      </c>
      <c r="O1231" s="1">
        <f t="shared" si="161"/>
        <v>131</v>
      </c>
      <c r="P1231" s="1" t="str">
        <f t="shared" si="163"/>
        <v>300,131</v>
      </c>
      <c r="Q1231" s="6" t="s">
        <v>10</v>
      </c>
      <c r="R1231" s="1">
        <v>90</v>
      </c>
      <c r="S1231" s="1">
        <v>2.5</v>
      </c>
      <c r="T1231" s="1" t="str">
        <f t="shared" si="162"/>
        <v>-text 300,131 2.5 90 265.972</v>
      </c>
    </row>
    <row r="1232" spans="1:20" x14ac:dyDescent="0.35">
      <c r="A1232" s="1">
        <v>276320</v>
      </c>
      <c r="B1232" s="7">
        <v>1165754.2</v>
      </c>
      <c r="C1232" s="2">
        <v>268.52300000000002</v>
      </c>
      <c r="D1232" s="2">
        <v>268.82400000000001</v>
      </c>
      <c r="E1232" s="2">
        <v>0.30099999999999999</v>
      </c>
      <c r="F1232" s="2">
        <v>267.851</v>
      </c>
      <c r="G1232" s="2">
        <v>268.11099999999999</v>
      </c>
      <c r="H1232" s="2">
        <v>0.26</v>
      </c>
      <c r="I1232" s="2">
        <v>266.17899999999997</v>
      </c>
      <c r="J1232" s="2">
        <v>266.61700000000002</v>
      </c>
      <c r="K1232" s="15">
        <v>1.494</v>
      </c>
      <c r="L1232" s="2">
        <v>9.76</v>
      </c>
      <c r="N1232" s="7">
        <f t="shared" si="167"/>
        <v>320</v>
      </c>
      <c r="O1232" s="1">
        <f t="shared" si="161"/>
        <v>131</v>
      </c>
      <c r="P1232" s="1" t="str">
        <f t="shared" si="163"/>
        <v>320,131</v>
      </c>
      <c r="Q1232" s="6" t="s">
        <v>10</v>
      </c>
      <c r="R1232" s="1">
        <v>90</v>
      </c>
      <c r="S1232" s="1">
        <v>2.5</v>
      </c>
      <c r="T1232" s="1" t="str">
        <f t="shared" si="162"/>
        <v>-text 320,131 2.5 90 266.617</v>
      </c>
    </row>
    <row r="1233" spans="1:20" x14ac:dyDescent="0.35">
      <c r="A1233" s="1">
        <v>276340</v>
      </c>
      <c r="B1233" s="7">
        <v>1165774.2</v>
      </c>
      <c r="C1233" s="2">
        <v>268.50099999999998</v>
      </c>
      <c r="D1233" s="2">
        <v>268.83999999999997</v>
      </c>
      <c r="E1233" s="2">
        <v>0.34</v>
      </c>
      <c r="F1233" s="2">
        <v>267.82900000000001</v>
      </c>
      <c r="G1233" s="2">
        <v>268.12700000000001</v>
      </c>
      <c r="H1233" s="2">
        <v>0.29899999999999999</v>
      </c>
      <c r="I1233" s="2">
        <v>265.79599999999999</v>
      </c>
      <c r="J1233" s="2">
        <v>266.01400000000001</v>
      </c>
      <c r="K1233" s="15">
        <v>2.113</v>
      </c>
      <c r="L1233" s="2">
        <v>9.9410000000000007</v>
      </c>
      <c r="N1233" s="7">
        <f t="shared" si="167"/>
        <v>340</v>
      </c>
      <c r="O1233" s="1">
        <f t="shared" si="161"/>
        <v>131</v>
      </c>
      <c r="P1233" s="1" t="str">
        <f t="shared" si="163"/>
        <v>340,131</v>
      </c>
      <c r="Q1233" s="6" t="s">
        <v>10</v>
      </c>
      <c r="R1233" s="1">
        <v>90</v>
      </c>
      <c r="S1233" s="1">
        <v>2.5</v>
      </c>
      <c r="T1233" s="1" t="str">
        <f t="shared" si="162"/>
        <v>-text 340,131 2.5 90 266.014</v>
      </c>
    </row>
    <row r="1234" spans="1:20" x14ac:dyDescent="0.35">
      <c r="A1234" s="1">
        <v>276360</v>
      </c>
      <c r="B1234" s="7">
        <v>1165794.2</v>
      </c>
      <c r="C1234" s="2">
        <v>268.476</v>
      </c>
      <c r="D1234" s="2">
        <v>268.85599999999999</v>
      </c>
      <c r="E1234" s="2">
        <v>0.38</v>
      </c>
      <c r="F1234" s="2">
        <v>267.80399999999997</v>
      </c>
      <c r="G1234" s="2">
        <v>268.14299999999997</v>
      </c>
      <c r="H1234" s="2">
        <v>0.33900000000000002</v>
      </c>
      <c r="I1234" s="2">
        <v>265.37799999999999</v>
      </c>
      <c r="J1234" s="2">
        <v>265.44299999999998</v>
      </c>
      <c r="K1234" s="15">
        <v>2.7010000000000001</v>
      </c>
      <c r="L1234" s="2">
        <v>10.122</v>
      </c>
      <c r="N1234" s="7">
        <f t="shared" si="167"/>
        <v>360</v>
      </c>
      <c r="O1234" s="1">
        <f t="shared" si="161"/>
        <v>131</v>
      </c>
      <c r="P1234" s="1" t="str">
        <f t="shared" si="163"/>
        <v>360,131</v>
      </c>
      <c r="Q1234" s="6" t="s">
        <v>10</v>
      </c>
      <c r="R1234" s="1">
        <v>90</v>
      </c>
      <c r="S1234" s="1">
        <v>2.5</v>
      </c>
      <c r="T1234" s="1" t="str">
        <f t="shared" si="162"/>
        <v>-text 360,131 2.5 90 265.443</v>
      </c>
    </row>
    <row r="1235" spans="1:20" x14ac:dyDescent="0.35">
      <c r="A1235" s="1">
        <v>276380</v>
      </c>
      <c r="B1235" s="7">
        <v>1165814.2</v>
      </c>
      <c r="C1235" s="2">
        <v>268.43400000000003</v>
      </c>
      <c r="D1235" s="2">
        <v>268.87200000000001</v>
      </c>
      <c r="E1235" s="2">
        <v>0.438</v>
      </c>
      <c r="F1235" s="2">
        <v>267.762</v>
      </c>
      <c r="G1235" s="2">
        <v>268.15899999999999</v>
      </c>
      <c r="H1235" s="2">
        <v>0.39700000000000002</v>
      </c>
      <c r="I1235" s="2">
        <v>265.31200000000001</v>
      </c>
      <c r="J1235" s="2">
        <v>265.55099999999999</v>
      </c>
      <c r="K1235" s="15">
        <v>2.6080000000000001</v>
      </c>
      <c r="L1235" s="2">
        <v>10.298</v>
      </c>
      <c r="N1235" s="7">
        <f t="shared" si="167"/>
        <v>380</v>
      </c>
      <c r="O1235" s="1">
        <f t="shared" si="161"/>
        <v>131</v>
      </c>
      <c r="P1235" s="1" t="str">
        <f t="shared" si="163"/>
        <v>380,131</v>
      </c>
      <c r="Q1235" s="6" t="s">
        <v>10</v>
      </c>
      <c r="R1235" s="1">
        <v>90</v>
      </c>
      <c r="S1235" s="1">
        <v>2.5</v>
      </c>
      <c r="T1235" s="1" t="str">
        <f t="shared" si="162"/>
        <v>-text 380,131 2.5 90 265.551</v>
      </c>
    </row>
    <row r="1236" spans="1:20" x14ac:dyDescent="0.35">
      <c r="A1236" s="1">
        <v>276400</v>
      </c>
      <c r="B1236" s="7">
        <v>1165834.2</v>
      </c>
      <c r="C1236" s="2">
        <v>268.39600000000002</v>
      </c>
      <c r="D1236" s="2">
        <v>268.88799999999998</v>
      </c>
      <c r="E1236" s="2">
        <v>0.49199999999999999</v>
      </c>
      <c r="F1236" s="2">
        <v>267.72399999999999</v>
      </c>
      <c r="G1236" s="2">
        <v>268.17500000000001</v>
      </c>
      <c r="H1236" s="2">
        <v>0.45100000000000001</v>
      </c>
      <c r="I1236" s="2">
        <v>265.298</v>
      </c>
      <c r="J1236" s="2">
        <v>265.58699999999999</v>
      </c>
      <c r="K1236" s="15">
        <v>2.5880000000000001</v>
      </c>
      <c r="L1236" s="2">
        <v>10.476000000000001</v>
      </c>
      <c r="N1236" s="7">
        <f t="shared" si="167"/>
        <v>400</v>
      </c>
      <c r="O1236" s="1">
        <f t="shared" si="161"/>
        <v>131</v>
      </c>
      <c r="P1236" s="1" t="str">
        <f t="shared" si="163"/>
        <v>400,131</v>
      </c>
      <c r="Q1236" s="6" t="s">
        <v>10</v>
      </c>
      <c r="R1236" s="1">
        <v>90</v>
      </c>
      <c r="S1236" s="1">
        <v>2.5</v>
      </c>
      <c r="T1236" s="1" t="str">
        <f t="shared" si="162"/>
        <v>-text 400,131 2.5 90 265.587</v>
      </c>
    </row>
    <row r="1237" spans="1:20" x14ac:dyDescent="0.35">
      <c r="A1237" s="1">
        <v>276420</v>
      </c>
      <c r="B1237" s="7">
        <v>1165854.2</v>
      </c>
      <c r="C1237" s="2">
        <v>268.44</v>
      </c>
      <c r="D1237" s="2">
        <v>268.90300000000002</v>
      </c>
      <c r="E1237" s="2">
        <v>0.46400000000000002</v>
      </c>
      <c r="F1237" s="2">
        <v>267.76799999999997</v>
      </c>
      <c r="G1237" s="2">
        <v>268.19</v>
      </c>
      <c r="H1237" s="2">
        <v>0.42299999999999999</v>
      </c>
      <c r="I1237" s="2">
        <v>265.08300000000003</v>
      </c>
      <c r="J1237" s="2">
        <v>265.54399999999998</v>
      </c>
      <c r="K1237" s="15">
        <v>2.6459999999999999</v>
      </c>
      <c r="L1237" s="2">
        <v>10.682</v>
      </c>
      <c r="N1237" s="7">
        <f t="shared" si="167"/>
        <v>420</v>
      </c>
      <c r="O1237" s="1">
        <f t="shared" si="161"/>
        <v>131</v>
      </c>
      <c r="P1237" s="1" t="str">
        <f t="shared" si="163"/>
        <v>420,131</v>
      </c>
      <c r="Q1237" s="6" t="s">
        <v>10</v>
      </c>
      <c r="R1237" s="1">
        <v>90</v>
      </c>
      <c r="S1237" s="1">
        <v>2.5</v>
      </c>
      <c r="T1237" s="1" t="str">
        <f t="shared" si="162"/>
        <v>-text 420,131 2.5 90 265.544</v>
      </c>
    </row>
    <row r="1238" spans="1:20" x14ac:dyDescent="0.35">
      <c r="A1238" s="1">
        <v>276440</v>
      </c>
      <c r="B1238" s="7">
        <v>1165874.2</v>
      </c>
      <c r="C1238" s="2">
        <v>268.47899999999998</v>
      </c>
      <c r="D1238" s="2">
        <v>268.91899999999998</v>
      </c>
      <c r="E1238" s="2">
        <v>0.44</v>
      </c>
      <c r="F1238" s="2">
        <v>267.80700000000002</v>
      </c>
      <c r="G1238" s="2">
        <v>268.20600000000002</v>
      </c>
      <c r="H1238" s="2">
        <v>0.39900000000000002</v>
      </c>
      <c r="I1238" s="2">
        <v>264.87400000000002</v>
      </c>
      <c r="J1238" s="2">
        <v>265.55099999999999</v>
      </c>
      <c r="K1238" s="15">
        <v>2.6560000000000001</v>
      </c>
      <c r="L1238" s="2">
        <v>10.885999999999999</v>
      </c>
      <c r="N1238" s="7">
        <f t="shared" si="167"/>
        <v>440</v>
      </c>
      <c r="O1238" s="1">
        <f t="shared" si="161"/>
        <v>131</v>
      </c>
      <c r="P1238" s="1" t="str">
        <f t="shared" si="163"/>
        <v>440,131</v>
      </c>
      <c r="Q1238" s="6" t="s">
        <v>10</v>
      </c>
      <c r="R1238" s="1">
        <v>90</v>
      </c>
      <c r="S1238" s="1">
        <v>2.5</v>
      </c>
      <c r="T1238" s="1" t="str">
        <f t="shared" si="162"/>
        <v>-text 440,131 2.5 90 265.551</v>
      </c>
    </row>
    <row r="1239" spans="1:20" x14ac:dyDescent="0.35">
      <c r="A1239" s="1">
        <v>276460</v>
      </c>
      <c r="B1239" s="7">
        <v>1165894.2</v>
      </c>
      <c r="C1239" s="2">
        <v>268.50200000000001</v>
      </c>
      <c r="D1239" s="2">
        <v>268.935</v>
      </c>
      <c r="E1239" s="2">
        <v>0.433</v>
      </c>
      <c r="F1239" s="2">
        <v>267.83</v>
      </c>
      <c r="G1239" s="2">
        <v>268.22199999999998</v>
      </c>
      <c r="H1239" s="2">
        <v>0.39200000000000002</v>
      </c>
      <c r="I1239" s="2">
        <v>264.74299999999999</v>
      </c>
      <c r="J1239" s="2">
        <v>265.06400000000002</v>
      </c>
      <c r="K1239" s="15">
        <v>3.1579999999999999</v>
      </c>
      <c r="L1239" s="2">
        <v>11.083</v>
      </c>
      <c r="N1239" s="7">
        <f t="shared" si="167"/>
        <v>460</v>
      </c>
      <c r="O1239" s="1">
        <f t="shared" si="161"/>
        <v>131</v>
      </c>
      <c r="P1239" s="1" t="str">
        <f t="shared" si="163"/>
        <v>460,131</v>
      </c>
      <c r="Q1239" s="6" t="s">
        <v>10</v>
      </c>
      <c r="R1239" s="1">
        <v>90</v>
      </c>
      <c r="S1239" s="1">
        <v>2.5</v>
      </c>
      <c r="T1239" s="1" t="str">
        <f t="shared" si="162"/>
        <v>-text 460,131 2.5 90 265.064</v>
      </c>
    </row>
    <row r="1240" spans="1:20" x14ac:dyDescent="0.35">
      <c r="A1240" s="1">
        <v>276480</v>
      </c>
      <c r="B1240" s="7">
        <v>1165914.2</v>
      </c>
      <c r="C1240" s="2">
        <v>268.52</v>
      </c>
      <c r="D1240" s="2">
        <v>268.95100000000002</v>
      </c>
      <c r="E1240" s="2">
        <v>0.43099999999999999</v>
      </c>
      <c r="F1240" s="2">
        <v>267.84800000000001</v>
      </c>
      <c r="G1240" s="2">
        <v>268.238</v>
      </c>
      <c r="H1240" s="2">
        <v>0.39</v>
      </c>
      <c r="I1240" s="2">
        <v>264.63099999999997</v>
      </c>
      <c r="J1240" s="2">
        <v>265.31400000000002</v>
      </c>
      <c r="K1240" s="15">
        <v>2.9239999999999999</v>
      </c>
      <c r="L1240" s="2">
        <v>11.234999999999999</v>
      </c>
      <c r="N1240" s="7">
        <f t="shared" si="167"/>
        <v>480</v>
      </c>
      <c r="O1240" s="1">
        <f t="shared" si="161"/>
        <v>131</v>
      </c>
      <c r="P1240" s="1" t="str">
        <f t="shared" si="163"/>
        <v>480,131</v>
      </c>
      <c r="Q1240" s="6" t="s">
        <v>10</v>
      </c>
      <c r="R1240" s="1">
        <v>90</v>
      </c>
      <c r="S1240" s="1">
        <v>2.5</v>
      </c>
      <c r="T1240" s="1" t="str">
        <f t="shared" si="162"/>
        <v>-text 480,131 2.5 90 265.314</v>
      </c>
    </row>
    <row r="1241" spans="1:20" x14ac:dyDescent="0.35">
      <c r="A1241" s="1">
        <v>276500</v>
      </c>
      <c r="B1241" s="7">
        <v>1165934.2</v>
      </c>
      <c r="C1241" s="2">
        <v>268.53899999999999</v>
      </c>
      <c r="D1241" s="2">
        <v>268.96699999999998</v>
      </c>
      <c r="E1241" s="2">
        <v>0.42799999999999999</v>
      </c>
      <c r="F1241" s="2">
        <v>267.86700000000002</v>
      </c>
      <c r="G1241" s="2">
        <v>268.25400000000002</v>
      </c>
      <c r="H1241" s="2">
        <v>0.38700000000000001</v>
      </c>
      <c r="I1241" s="2">
        <v>264.44900000000001</v>
      </c>
      <c r="J1241" s="2">
        <v>265.38799999999998</v>
      </c>
      <c r="K1241" s="15">
        <v>2.8660000000000001</v>
      </c>
      <c r="L1241" s="2">
        <v>11.382999999999999</v>
      </c>
      <c r="N1241" s="7">
        <f>N1238+(B1241-B1238)</f>
        <v>500</v>
      </c>
      <c r="O1241" s="1">
        <f t="shared" si="161"/>
        <v>131</v>
      </c>
      <c r="P1241" s="1" t="str">
        <f t="shared" ref="P1241" si="168">CONCATENATE(N1241,",",O1241)</f>
        <v>500,131</v>
      </c>
      <c r="Q1241" s="6" t="s">
        <v>10</v>
      </c>
      <c r="R1241" s="1">
        <v>90</v>
      </c>
      <c r="S1241" s="1">
        <v>2.5</v>
      </c>
      <c r="T1241" s="1" t="str">
        <f t="shared" si="162"/>
        <v>-text 500,131 2.5 90 265.388</v>
      </c>
    </row>
    <row r="1242" spans="1:20" s="10" customFormat="1" x14ac:dyDescent="0.35">
      <c r="B1242" s="11"/>
      <c r="C1242" s="9"/>
      <c r="D1242" s="9"/>
      <c r="E1242" s="9"/>
      <c r="F1242" s="9"/>
      <c r="G1242" s="9"/>
      <c r="H1242" s="9"/>
      <c r="I1242" s="9"/>
      <c r="J1242" s="9"/>
      <c r="K1242" s="16"/>
      <c r="L1242" s="9"/>
      <c r="M1242" s="9"/>
      <c r="N1242" s="11"/>
      <c r="Q1242" s="12"/>
    </row>
    <row r="1243" spans="1:20" x14ac:dyDescent="0.35">
      <c r="A1243" s="1">
        <v>276500</v>
      </c>
      <c r="B1243" s="7">
        <v>1165934.2</v>
      </c>
      <c r="C1243" s="2">
        <v>268.53899999999999</v>
      </c>
      <c r="D1243" s="2">
        <v>268.96699999999998</v>
      </c>
      <c r="E1243" s="2">
        <v>0.42799999999999999</v>
      </c>
      <c r="F1243" s="2">
        <v>267.86700000000002</v>
      </c>
      <c r="G1243" s="2">
        <v>268.25400000000002</v>
      </c>
      <c r="H1243" s="2">
        <v>0.38700000000000001</v>
      </c>
      <c r="I1243" s="2">
        <v>264.44900000000001</v>
      </c>
      <c r="J1243" s="2">
        <v>265.38799999999998</v>
      </c>
      <c r="K1243" s="15">
        <v>2.8660000000000001</v>
      </c>
      <c r="L1243" s="2">
        <v>11.382999999999999</v>
      </c>
      <c r="N1243" s="7">
        <v>0</v>
      </c>
      <c r="O1243" s="1">
        <f t="shared" si="161"/>
        <v>131</v>
      </c>
      <c r="P1243" s="1" t="str">
        <f t="shared" si="163"/>
        <v>0,131</v>
      </c>
      <c r="Q1243" s="6" t="s">
        <v>10</v>
      </c>
      <c r="R1243" s="1">
        <v>90</v>
      </c>
      <c r="S1243" s="1">
        <v>2.5</v>
      </c>
      <c r="T1243" s="1" t="str">
        <f t="shared" si="162"/>
        <v>-text 0,131 2.5 90 265.388</v>
      </c>
    </row>
    <row r="1244" spans="1:20" x14ac:dyDescent="0.35">
      <c r="A1244" s="1">
        <v>276520</v>
      </c>
      <c r="B1244" s="7">
        <v>1165954.2</v>
      </c>
      <c r="C1244" s="2">
        <v>268.56799999999998</v>
      </c>
      <c r="D1244" s="2">
        <v>268.98200000000003</v>
      </c>
      <c r="E1244" s="2">
        <v>0.41399999999999998</v>
      </c>
      <c r="F1244" s="2">
        <v>267.89600000000002</v>
      </c>
      <c r="G1244" s="2">
        <v>268.26900000000001</v>
      </c>
      <c r="H1244" s="2">
        <v>0.373</v>
      </c>
      <c r="I1244" s="2">
        <v>264.27999999999997</v>
      </c>
      <c r="J1244" s="2">
        <v>265.262</v>
      </c>
      <c r="K1244" s="15">
        <v>3.008</v>
      </c>
      <c r="L1244" s="2">
        <v>11.584</v>
      </c>
      <c r="N1244" s="7">
        <f t="shared" ref="N1244:N1267" si="169">N1243+(B1244-B1243)</f>
        <v>20</v>
      </c>
      <c r="O1244" s="1">
        <f t="shared" si="161"/>
        <v>131</v>
      </c>
      <c r="P1244" s="1" t="str">
        <f t="shared" si="163"/>
        <v>20,131</v>
      </c>
      <c r="Q1244" s="6" t="s">
        <v>10</v>
      </c>
      <c r="R1244" s="1">
        <v>90</v>
      </c>
      <c r="S1244" s="1">
        <v>2.5</v>
      </c>
      <c r="T1244" s="1" t="str">
        <f t="shared" si="162"/>
        <v>-text 20,131 2.5 90 265.262</v>
      </c>
    </row>
    <row r="1245" spans="1:20" x14ac:dyDescent="0.35">
      <c r="A1245" s="1">
        <v>276540</v>
      </c>
      <c r="B1245" s="7">
        <v>1165974.2</v>
      </c>
      <c r="C1245" s="2">
        <v>268.59800000000001</v>
      </c>
      <c r="D1245" s="2">
        <v>268.99799999999999</v>
      </c>
      <c r="E1245" s="2">
        <v>0.4</v>
      </c>
      <c r="F1245" s="2">
        <v>267.92599999999999</v>
      </c>
      <c r="G1245" s="2">
        <v>268.28500000000003</v>
      </c>
      <c r="H1245" s="2">
        <v>0.35899999999999999</v>
      </c>
      <c r="I1245" s="2">
        <v>264.178</v>
      </c>
      <c r="J1245" s="2">
        <v>265.14100000000002</v>
      </c>
      <c r="K1245" s="15">
        <v>3.1440000000000001</v>
      </c>
      <c r="L1245" s="2">
        <v>11.788</v>
      </c>
      <c r="N1245" s="7">
        <f t="shared" si="169"/>
        <v>40</v>
      </c>
      <c r="O1245" s="1">
        <f t="shared" si="161"/>
        <v>131</v>
      </c>
      <c r="P1245" s="1" t="str">
        <f t="shared" si="163"/>
        <v>40,131</v>
      </c>
      <c r="Q1245" s="6" t="s">
        <v>10</v>
      </c>
      <c r="R1245" s="1">
        <v>90</v>
      </c>
      <c r="S1245" s="1">
        <v>2.5</v>
      </c>
      <c r="T1245" s="1" t="str">
        <f t="shared" si="162"/>
        <v>-text 40,131 2.5 90 265.141</v>
      </c>
    </row>
    <row r="1246" spans="1:20" x14ac:dyDescent="0.35">
      <c r="A1246" s="1">
        <v>276560</v>
      </c>
      <c r="B1246" s="7">
        <v>1165994.2</v>
      </c>
      <c r="C1246" s="2">
        <v>268.61700000000002</v>
      </c>
      <c r="D1246" s="2">
        <v>269.01400000000001</v>
      </c>
      <c r="E1246" s="2">
        <v>0.39700000000000002</v>
      </c>
      <c r="F1246" s="2">
        <v>267.94499999999999</v>
      </c>
      <c r="G1246" s="2">
        <v>268.30099999999999</v>
      </c>
      <c r="H1246" s="2">
        <v>0.35599999999999998</v>
      </c>
      <c r="I1246" s="2">
        <v>264.108</v>
      </c>
      <c r="J1246" s="2">
        <v>265.02</v>
      </c>
      <c r="K1246" s="15">
        <v>3.2810000000000001</v>
      </c>
      <c r="L1246" s="2">
        <v>11.955</v>
      </c>
      <c r="N1246" s="7">
        <f t="shared" si="169"/>
        <v>60</v>
      </c>
      <c r="O1246" s="1">
        <f t="shared" ref="O1246:O1312" si="170">19+16+16+16+16+16+16+16</f>
        <v>131</v>
      </c>
      <c r="P1246" s="1" t="str">
        <f t="shared" si="163"/>
        <v>60,131</v>
      </c>
      <c r="Q1246" s="6" t="s">
        <v>10</v>
      </c>
      <c r="R1246" s="1">
        <v>90</v>
      </c>
      <c r="S1246" s="1">
        <v>2.5</v>
      </c>
      <c r="T1246" s="1" t="str">
        <f t="shared" ref="T1246:T1312" si="171">$Q1246&amp;" "&amp;$P1246&amp;" "&amp;$S1246&amp;" "&amp;$R1246&amp;" "&amp;$J1246</f>
        <v>-text 60,131 2.5 90 265.02</v>
      </c>
    </row>
    <row r="1247" spans="1:20" x14ac:dyDescent="0.35">
      <c r="A1247" s="1">
        <v>276580</v>
      </c>
      <c r="B1247" s="7">
        <v>1166014.2</v>
      </c>
      <c r="C1247" s="2">
        <v>268.63200000000001</v>
      </c>
      <c r="D1247" s="2">
        <v>269.02999999999997</v>
      </c>
      <c r="E1247" s="2">
        <v>0.39700000000000002</v>
      </c>
      <c r="F1247" s="2">
        <v>267.95999999999998</v>
      </c>
      <c r="G1247" s="2">
        <v>268.31700000000001</v>
      </c>
      <c r="H1247" s="2">
        <v>0.35599999999999998</v>
      </c>
      <c r="I1247" s="2">
        <v>264.01499999999999</v>
      </c>
      <c r="J1247" s="2">
        <v>265.08800000000002</v>
      </c>
      <c r="K1247" s="15">
        <v>3.2290000000000001</v>
      </c>
      <c r="L1247" s="2">
        <v>12.127000000000001</v>
      </c>
      <c r="N1247" s="7">
        <f t="shared" si="169"/>
        <v>80</v>
      </c>
      <c r="O1247" s="1">
        <f t="shared" si="170"/>
        <v>131</v>
      </c>
      <c r="P1247" s="1" t="str">
        <f t="shared" si="163"/>
        <v>80,131</v>
      </c>
      <c r="Q1247" s="6" t="s">
        <v>10</v>
      </c>
      <c r="R1247" s="1">
        <v>90</v>
      </c>
      <c r="S1247" s="1">
        <v>2.5</v>
      </c>
      <c r="T1247" s="1" t="str">
        <f t="shared" si="171"/>
        <v>-text 80,131 2.5 90 265.088</v>
      </c>
    </row>
    <row r="1248" spans="1:20" x14ac:dyDescent="0.35">
      <c r="A1248" s="1">
        <v>276600</v>
      </c>
      <c r="B1248" s="7">
        <v>1166034.2</v>
      </c>
      <c r="C1248" s="2">
        <v>268.64</v>
      </c>
      <c r="D1248" s="2">
        <v>269.04599999999999</v>
      </c>
      <c r="E1248" s="2">
        <v>0.40500000000000003</v>
      </c>
      <c r="F1248" s="2">
        <v>267.96800000000002</v>
      </c>
      <c r="G1248" s="2">
        <v>268.33300000000003</v>
      </c>
      <c r="H1248" s="2">
        <v>0.36399999999999999</v>
      </c>
      <c r="I1248" s="2">
        <v>264.08499999999998</v>
      </c>
      <c r="J1248" s="2">
        <v>265.05200000000002</v>
      </c>
      <c r="K1248" s="15">
        <v>3.28</v>
      </c>
      <c r="L1248" s="2">
        <v>12.307</v>
      </c>
      <c r="N1248" s="7">
        <f t="shared" si="169"/>
        <v>100</v>
      </c>
      <c r="O1248" s="1">
        <f t="shared" si="170"/>
        <v>131</v>
      </c>
      <c r="P1248" s="1" t="str">
        <f t="shared" ref="P1248:P1314" si="172">CONCATENATE(N1248,",",O1248)</f>
        <v>100,131</v>
      </c>
      <c r="Q1248" s="6" t="s">
        <v>10</v>
      </c>
      <c r="R1248" s="1">
        <v>90</v>
      </c>
      <c r="S1248" s="1">
        <v>2.5</v>
      </c>
      <c r="T1248" s="1" t="str">
        <f t="shared" si="171"/>
        <v>-text 100,131 2.5 90 265.052</v>
      </c>
    </row>
    <row r="1249" spans="1:20" x14ac:dyDescent="0.35">
      <c r="A1249" s="1">
        <v>276620</v>
      </c>
      <c r="B1249" s="7">
        <v>1166054.2</v>
      </c>
      <c r="C1249" s="2">
        <v>268.637</v>
      </c>
      <c r="D1249" s="2">
        <v>269.06099999999998</v>
      </c>
      <c r="E1249" s="2">
        <v>0.42399999999999999</v>
      </c>
      <c r="F1249" s="2">
        <v>267.96499999999997</v>
      </c>
      <c r="G1249" s="2">
        <v>268.34800000000001</v>
      </c>
      <c r="H1249" s="2">
        <v>0.38300000000000001</v>
      </c>
      <c r="I1249" s="2">
        <v>264.29000000000002</v>
      </c>
      <c r="J1249" s="2">
        <v>265.29899999999998</v>
      </c>
      <c r="K1249" s="15">
        <v>3.0489999999999999</v>
      </c>
      <c r="L1249" s="2">
        <v>12.457000000000001</v>
      </c>
      <c r="N1249" s="7">
        <f t="shared" si="169"/>
        <v>120</v>
      </c>
      <c r="O1249" s="1">
        <f t="shared" si="170"/>
        <v>131</v>
      </c>
      <c r="P1249" s="1" t="str">
        <f t="shared" si="172"/>
        <v>120,131</v>
      </c>
      <c r="Q1249" s="6" t="s">
        <v>10</v>
      </c>
      <c r="R1249" s="1">
        <v>90</v>
      </c>
      <c r="S1249" s="1">
        <v>2.5</v>
      </c>
      <c r="T1249" s="1" t="str">
        <f t="shared" si="171"/>
        <v>-text 120,131 2.5 90 265.299</v>
      </c>
    </row>
    <row r="1250" spans="1:20" x14ac:dyDescent="0.35">
      <c r="A1250" s="1">
        <v>276640</v>
      </c>
      <c r="B1250" s="7">
        <v>1166074.2</v>
      </c>
      <c r="C1250" s="2">
        <v>268.62599999999998</v>
      </c>
      <c r="D1250" s="2">
        <v>269.077</v>
      </c>
      <c r="E1250" s="2">
        <v>0.45100000000000001</v>
      </c>
      <c r="F1250" s="2">
        <v>267.95400000000001</v>
      </c>
      <c r="G1250" s="2">
        <v>268.36399999999998</v>
      </c>
      <c r="H1250" s="2">
        <v>0.41</v>
      </c>
      <c r="I1250" s="2">
        <v>264.48200000000003</v>
      </c>
      <c r="J1250" s="2">
        <v>265.58999999999997</v>
      </c>
      <c r="K1250" s="15">
        <v>2.7749999999999999</v>
      </c>
      <c r="L1250" s="2">
        <v>12.553000000000001</v>
      </c>
      <c r="N1250" s="7">
        <f t="shared" si="169"/>
        <v>140</v>
      </c>
      <c r="O1250" s="1">
        <f t="shared" si="170"/>
        <v>131</v>
      </c>
      <c r="P1250" s="1" t="str">
        <f t="shared" si="172"/>
        <v>140,131</v>
      </c>
      <c r="Q1250" s="6" t="s">
        <v>10</v>
      </c>
      <c r="R1250" s="1">
        <v>90</v>
      </c>
      <c r="S1250" s="1">
        <v>2.5</v>
      </c>
      <c r="T1250" s="1" t="str">
        <f t="shared" si="171"/>
        <v>-text 140,131 2.5 90 265.59</v>
      </c>
    </row>
    <row r="1251" spans="1:20" x14ac:dyDescent="0.35">
      <c r="A1251" s="1">
        <v>276660</v>
      </c>
      <c r="B1251" s="7">
        <v>1166094.2</v>
      </c>
      <c r="C1251" s="2">
        <v>268.601</v>
      </c>
      <c r="D1251" s="2">
        <v>269.09300000000002</v>
      </c>
      <c r="E1251" s="2">
        <v>0.49199999999999999</v>
      </c>
      <c r="F1251" s="2">
        <v>267.92899999999997</v>
      </c>
      <c r="G1251" s="2">
        <v>268.38</v>
      </c>
      <c r="H1251" s="2">
        <v>0.45100000000000001</v>
      </c>
      <c r="I1251" s="2">
        <v>264.52199999999999</v>
      </c>
      <c r="J1251" s="2">
        <v>266.41399999999999</v>
      </c>
      <c r="K1251" s="15">
        <v>1.966</v>
      </c>
      <c r="L1251" s="2">
        <v>12.589</v>
      </c>
      <c r="N1251" s="7">
        <f t="shared" si="169"/>
        <v>160</v>
      </c>
      <c r="O1251" s="1">
        <f t="shared" si="170"/>
        <v>131</v>
      </c>
      <c r="P1251" s="1" t="str">
        <f t="shared" si="172"/>
        <v>160,131</v>
      </c>
      <c r="Q1251" s="6" t="s">
        <v>10</v>
      </c>
      <c r="R1251" s="1">
        <v>90</v>
      </c>
      <c r="S1251" s="1">
        <v>2.5</v>
      </c>
      <c r="T1251" s="1" t="str">
        <f t="shared" si="171"/>
        <v>-text 160,131 2.5 90 266.414</v>
      </c>
    </row>
    <row r="1252" spans="1:20" x14ac:dyDescent="0.35">
      <c r="A1252" s="1">
        <v>276680</v>
      </c>
      <c r="B1252" s="7">
        <v>1166114.2</v>
      </c>
      <c r="C1252" s="2">
        <v>268.61399999999998</v>
      </c>
      <c r="D1252" s="2">
        <v>269.10899999999998</v>
      </c>
      <c r="E1252" s="2">
        <v>0.49399999999999999</v>
      </c>
      <c r="F1252" s="2">
        <v>267.94200000000001</v>
      </c>
      <c r="G1252" s="2">
        <v>268.39600000000002</v>
      </c>
      <c r="H1252" s="2">
        <v>0.45300000000000001</v>
      </c>
      <c r="I1252" s="2">
        <v>264.46499999999997</v>
      </c>
      <c r="J1252" s="2">
        <v>265.61599999999999</v>
      </c>
      <c r="K1252" s="15">
        <v>2.78</v>
      </c>
      <c r="L1252" s="2">
        <v>12.576000000000001</v>
      </c>
      <c r="N1252" s="7">
        <f t="shared" si="169"/>
        <v>180</v>
      </c>
      <c r="O1252" s="1">
        <f t="shared" si="170"/>
        <v>131</v>
      </c>
      <c r="P1252" s="1" t="str">
        <f t="shared" si="172"/>
        <v>180,131</v>
      </c>
      <c r="Q1252" s="6" t="s">
        <v>10</v>
      </c>
      <c r="R1252" s="1">
        <v>90</v>
      </c>
      <c r="S1252" s="1">
        <v>2.5</v>
      </c>
      <c r="T1252" s="1" t="str">
        <f t="shared" si="171"/>
        <v>-text 180,131 2.5 90 265.616</v>
      </c>
    </row>
    <row r="1253" spans="1:20" x14ac:dyDescent="0.35">
      <c r="A1253" s="1">
        <v>276700</v>
      </c>
      <c r="B1253" s="7">
        <v>1166134.2</v>
      </c>
      <c r="C1253" s="2">
        <v>268.637</v>
      </c>
      <c r="D1253" s="2">
        <v>269.125</v>
      </c>
      <c r="E1253" s="2">
        <v>0.48799999999999999</v>
      </c>
      <c r="F1253" s="2">
        <v>267.96499999999997</v>
      </c>
      <c r="G1253" s="2">
        <v>268.41199999999998</v>
      </c>
      <c r="H1253" s="2">
        <v>0.44700000000000001</v>
      </c>
      <c r="I1253" s="2">
        <v>264.31599999999997</v>
      </c>
      <c r="J1253" s="2">
        <v>265.637</v>
      </c>
      <c r="K1253" s="15">
        <v>2.7749999999999999</v>
      </c>
      <c r="L1253" s="2">
        <v>12.541</v>
      </c>
      <c r="N1253" s="7">
        <f t="shared" si="169"/>
        <v>200</v>
      </c>
      <c r="O1253" s="1">
        <f t="shared" si="170"/>
        <v>131</v>
      </c>
      <c r="P1253" s="1" t="str">
        <f t="shared" si="172"/>
        <v>200,131</v>
      </c>
      <c r="Q1253" s="6" t="s">
        <v>10</v>
      </c>
      <c r="R1253" s="1">
        <v>90</v>
      </c>
      <c r="S1253" s="1">
        <v>2.5</v>
      </c>
      <c r="T1253" s="1" t="str">
        <f t="shared" si="171"/>
        <v>-text 200,131 2.5 90 265.637</v>
      </c>
    </row>
    <row r="1254" spans="1:20" x14ac:dyDescent="0.35">
      <c r="A1254" s="1">
        <v>276720</v>
      </c>
      <c r="B1254" s="7">
        <v>1166154.2</v>
      </c>
      <c r="C1254" s="2">
        <v>268.64299999999997</v>
      </c>
      <c r="D1254" s="2">
        <v>269.14</v>
      </c>
      <c r="E1254" s="2">
        <v>0.498</v>
      </c>
      <c r="F1254" s="2">
        <v>267.971</v>
      </c>
      <c r="G1254" s="2">
        <v>268.42700000000002</v>
      </c>
      <c r="H1254" s="2">
        <v>0.45700000000000002</v>
      </c>
      <c r="I1254" s="2">
        <v>263.99599999999998</v>
      </c>
      <c r="J1254" s="2">
        <v>265.41899999999998</v>
      </c>
      <c r="K1254" s="15">
        <v>3.0089999999999999</v>
      </c>
      <c r="L1254" s="2">
        <v>12.500999999999999</v>
      </c>
      <c r="N1254" s="7">
        <f t="shared" si="169"/>
        <v>220</v>
      </c>
      <c r="O1254" s="1">
        <f t="shared" si="170"/>
        <v>131</v>
      </c>
      <c r="P1254" s="1" t="str">
        <f t="shared" si="172"/>
        <v>220,131</v>
      </c>
      <c r="Q1254" s="6" t="s">
        <v>10</v>
      </c>
      <c r="R1254" s="1">
        <v>90</v>
      </c>
      <c r="S1254" s="1">
        <v>2.5</v>
      </c>
      <c r="T1254" s="1" t="str">
        <f t="shared" si="171"/>
        <v>-text 220,131 2.5 90 265.419</v>
      </c>
    </row>
    <row r="1255" spans="1:20" x14ac:dyDescent="0.35">
      <c r="A1255" s="1">
        <v>276740</v>
      </c>
      <c r="B1255" s="7">
        <v>1166174.2</v>
      </c>
      <c r="C1255" s="2">
        <v>268.65199999999999</v>
      </c>
      <c r="D1255" s="2">
        <v>269.15600000000001</v>
      </c>
      <c r="E1255" s="2">
        <v>0.504</v>
      </c>
      <c r="F1255" s="2">
        <v>267.98</v>
      </c>
      <c r="G1255" s="2">
        <v>268.44299999999998</v>
      </c>
      <c r="H1255" s="2">
        <v>0.46300000000000002</v>
      </c>
      <c r="I1255" s="2">
        <v>263.70699999999999</v>
      </c>
      <c r="J1255" s="2">
        <v>265.19900000000001</v>
      </c>
      <c r="K1255" s="15">
        <v>3.2440000000000002</v>
      </c>
      <c r="L1255" s="2">
        <v>12.461</v>
      </c>
      <c r="N1255" s="7">
        <f t="shared" si="169"/>
        <v>240</v>
      </c>
      <c r="O1255" s="1">
        <f t="shared" si="170"/>
        <v>131</v>
      </c>
      <c r="P1255" s="1" t="str">
        <f t="shared" si="172"/>
        <v>240,131</v>
      </c>
      <c r="Q1255" s="6" t="s">
        <v>10</v>
      </c>
      <c r="R1255" s="1">
        <v>90</v>
      </c>
      <c r="S1255" s="1">
        <v>2.5</v>
      </c>
      <c r="T1255" s="1" t="str">
        <f t="shared" si="171"/>
        <v>-text 240,131 2.5 90 265.199</v>
      </c>
    </row>
    <row r="1256" spans="1:20" x14ac:dyDescent="0.35">
      <c r="A1256" s="1">
        <v>276760</v>
      </c>
      <c r="B1256" s="7">
        <v>1166194.2</v>
      </c>
      <c r="C1256" s="2">
        <v>268.67099999999999</v>
      </c>
      <c r="D1256" s="2">
        <v>269.17200000000003</v>
      </c>
      <c r="E1256" s="2">
        <v>0.501</v>
      </c>
      <c r="F1256" s="2">
        <v>267.99900000000002</v>
      </c>
      <c r="G1256" s="2">
        <v>268.459</v>
      </c>
      <c r="H1256" s="2">
        <v>0.46</v>
      </c>
      <c r="I1256" s="2">
        <v>263.75799999999998</v>
      </c>
      <c r="J1256" s="2">
        <v>264.95299999999997</v>
      </c>
      <c r="K1256" s="15">
        <v>3.5059999999999998</v>
      </c>
      <c r="L1256" s="2">
        <v>12.42</v>
      </c>
      <c r="N1256" s="7">
        <f t="shared" si="169"/>
        <v>260</v>
      </c>
      <c r="O1256" s="1">
        <f t="shared" si="170"/>
        <v>131</v>
      </c>
      <c r="P1256" s="1" t="str">
        <f t="shared" si="172"/>
        <v>260,131</v>
      </c>
      <c r="Q1256" s="6" t="s">
        <v>10</v>
      </c>
      <c r="R1256" s="1">
        <v>90</v>
      </c>
      <c r="S1256" s="1">
        <v>2.5</v>
      </c>
      <c r="T1256" s="1" t="str">
        <f t="shared" si="171"/>
        <v>-text 260,131 2.5 90 264.953</v>
      </c>
    </row>
    <row r="1257" spans="1:20" x14ac:dyDescent="0.35">
      <c r="A1257" s="1">
        <v>276780</v>
      </c>
      <c r="B1257" s="7">
        <v>1166214.2</v>
      </c>
      <c r="C1257" s="2">
        <v>268.68900000000002</v>
      </c>
      <c r="D1257" s="2">
        <v>269.18799999999999</v>
      </c>
      <c r="E1257" s="2">
        <v>0.499</v>
      </c>
      <c r="F1257" s="2">
        <v>268.017</v>
      </c>
      <c r="G1257" s="2">
        <v>268.47500000000002</v>
      </c>
      <c r="H1257" s="2">
        <v>0.45800000000000002</v>
      </c>
      <c r="I1257" s="2">
        <v>264.08100000000002</v>
      </c>
      <c r="J1257" s="2">
        <v>264.70800000000003</v>
      </c>
      <c r="K1257" s="15">
        <v>3.7669999999999999</v>
      </c>
      <c r="L1257" s="2">
        <v>12.378</v>
      </c>
      <c r="N1257" s="7">
        <f t="shared" si="169"/>
        <v>280</v>
      </c>
      <c r="O1257" s="1">
        <f t="shared" si="170"/>
        <v>131</v>
      </c>
      <c r="P1257" s="1" t="str">
        <f t="shared" si="172"/>
        <v>280,131</v>
      </c>
      <c r="Q1257" s="6" t="s">
        <v>10</v>
      </c>
      <c r="R1257" s="1">
        <v>90</v>
      </c>
      <c r="S1257" s="1">
        <v>2.5</v>
      </c>
      <c r="T1257" s="1" t="str">
        <f t="shared" si="171"/>
        <v>-text 280,131 2.5 90 264.708</v>
      </c>
    </row>
    <row r="1258" spans="1:20" x14ac:dyDescent="0.35">
      <c r="A1258" s="1">
        <v>276800</v>
      </c>
      <c r="B1258" s="7">
        <v>1166234.2</v>
      </c>
      <c r="C1258" s="2">
        <v>268.69200000000001</v>
      </c>
      <c r="D1258" s="2">
        <v>269.20400000000001</v>
      </c>
      <c r="E1258" s="2">
        <v>0.51200000000000001</v>
      </c>
      <c r="F1258" s="2">
        <v>268.02</v>
      </c>
      <c r="G1258" s="2">
        <v>268.49099999999999</v>
      </c>
      <c r="H1258" s="2">
        <v>0.47099999999999997</v>
      </c>
      <c r="I1258" s="2">
        <v>264.28500000000003</v>
      </c>
      <c r="J1258" s="2">
        <v>264.79199999999997</v>
      </c>
      <c r="K1258" s="15">
        <v>3.6989999999999998</v>
      </c>
      <c r="L1258" s="2">
        <v>12.335000000000001</v>
      </c>
      <c r="N1258" s="7">
        <f t="shared" si="169"/>
        <v>300</v>
      </c>
      <c r="O1258" s="1">
        <f t="shared" si="170"/>
        <v>131</v>
      </c>
      <c r="P1258" s="1" t="str">
        <f t="shared" si="172"/>
        <v>300,131</v>
      </c>
      <c r="Q1258" s="6" t="s">
        <v>10</v>
      </c>
      <c r="R1258" s="1">
        <v>90</v>
      </c>
      <c r="S1258" s="1">
        <v>2.5</v>
      </c>
      <c r="T1258" s="1" t="str">
        <f t="shared" si="171"/>
        <v>-text 300,131 2.5 90 264.792</v>
      </c>
    </row>
    <row r="1259" spans="1:20" x14ac:dyDescent="0.35">
      <c r="A1259" s="1">
        <v>276820</v>
      </c>
      <c r="B1259" s="7">
        <v>1166254.2</v>
      </c>
      <c r="C1259" s="2">
        <v>268.70100000000002</v>
      </c>
      <c r="D1259" s="2">
        <v>269.21899999999999</v>
      </c>
      <c r="E1259" s="2">
        <v>0.51800000000000002</v>
      </c>
      <c r="F1259" s="2">
        <v>268.029</v>
      </c>
      <c r="G1259" s="2">
        <v>268.50599999999997</v>
      </c>
      <c r="H1259" s="2">
        <v>0.47699999999999998</v>
      </c>
      <c r="I1259" s="2">
        <v>264.19400000000002</v>
      </c>
      <c r="J1259" s="2">
        <v>264.60899999999998</v>
      </c>
      <c r="K1259" s="15">
        <v>3.8980000000000001</v>
      </c>
      <c r="L1259" s="2">
        <v>12.295</v>
      </c>
      <c r="N1259" s="7">
        <f t="shared" si="169"/>
        <v>320</v>
      </c>
      <c r="O1259" s="1">
        <f t="shared" si="170"/>
        <v>131</v>
      </c>
      <c r="P1259" s="1" t="str">
        <f t="shared" si="172"/>
        <v>320,131</v>
      </c>
      <c r="Q1259" s="6" t="s">
        <v>10</v>
      </c>
      <c r="R1259" s="1">
        <v>90</v>
      </c>
      <c r="S1259" s="1">
        <v>2.5</v>
      </c>
      <c r="T1259" s="1" t="str">
        <f t="shared" si="171"/>
        <v>-text 320,131 2.5 90 264.609</v>
      </c>
    </row>
    <row r="1260" spans="1:20" x14ac:dyDescent="0.35">
      <c r="A1260" s="1">
        <v>276840</v>
      </c>
      <c r="B1260" s="7">
        <v>1166274.2</v>
      </c>
      <c r="C1260" s="2">
        <v>268.726</v>
      </c>
      <c r="D1260" s="2">
        <v>269.23500000000001</v>
      </c>
      <c r="E1260" s="2">
        <v>0.50900000000000001</v>
      </c>
      <c r="F1260" s="2">
        <v>268.05399999999997</v>
      </c>
      <c r="G1260" s="2">
        <v>268.52199999999999</v>
      </c>
      <c r="H1260" s="2">
        <v>0.46800000000000003</v>
      </c>
      <c r="I1260" s="2">
        <v>263.95400000000001</v>
      </c>
      <c r="J1260" s="2">
        <v>264.89499999999998</v>
      </c>
      <c r="K1260" s="15">
        <v>3.6269999999999998</v>
      </c>
      <c r="L1260" s="2">
        <v>12.263999999999999</v>
      </c>
      <c r="N1260" s="7">
        <f t="shared" si="169"/>
        <v>340</v>
      </c>
      <c r="O1260" s="1">
        <f t="shared" si="170"/>
        <v>131</v>
      </c>
      <c r="P1260" s="1" t="str">
        <f t="shared" si="172"/>
        <v>340,131</v>
      </c>
      <c r="Q1260" s="6" t="s">
        <v>10</v>
      </c>
      <c r="R1260" s="1">
        <v>90</v>
      </c>
      <c r="S1260" s="1">
        <v>2.5</v>
      </c>
      <c r="T1260" s="1" t="str">
        <f t="shared" si="171"/>
        <v>-text 340,131 2.5 90 264.895</v>
      </c>
    </row>
    <row r="1261" spans="1:20" x14ac:dyDescent="0.35">
      <c r="A1261" s="1">
        <v>276860</v>
      </c>
      <c r="B1261" s="7">
        <v>1166294.2</v>
      </c>
      <c r="C1261" s="2">
        <v>268.72800000000001</v>
      </c>
      <c r="D1261" s="2">
        <v>269.25099999999998</v>
      </c>
      <c r="E1261" s="2">
        <v>0.52300000000000002</v>
      </c>
      <c r="F1261" s="2">
        <v>268.05599999999998</v>
      </c>
      <c r="G1261" s="2">
        <v>268.53800000000001</v>
      </c>
      <c r="H1261" s="2">
        <v>0.48199999999999998</v>
      </c>
      <c r="I1261" s="2">
        <v>263.99700000000001</v>
      </c>
      <c r="J1261" s="2">
        <v>265.3</v>
      </c>
      <c r="K1261" s="15">
        <v>3.238</v>
      </c>
      <c r="L1261" s="2">
        <v>12.234999999999999</v>
      </c>
      <c r="N1261" s="7">
        <f t="shared" si="169"/>
        <v>360</v>
      </c>
      <c r="O1261" s="1">
        <f t="shared" si="170"/>
        <v>131</v>
      </c>
      <c r="P1261" s="1" t="str">
        <f t="shared" si="172"/>
        <v>360,131</v>
      </c>
      <c r="Q1261" s="6" t="s">
        <v>10</v>
      </c>
      <c r="R1261" s="1">
        <v>90</v>
      </c>
      <c r="S1261" s="1">
        <v>2.5</v>
      </c>
      <c r="T1261" s="1" t="str">
        <f t="shared" si="171"/>
        <v>-text 360,131 2.5 90 265.3</v>
      </c>
    </row>
    <row r="1262" spans="1:20" x14ac:dyDescent="0.35">
      <c r="A1262" s="1">
        <v>276880</v>
      </c>
      <c r="B1262" s="7">
        <v>1166314.2</v>
      </c>
      <c r="C1262" s="2">
        <v>268.72000000000003</v>
      </c>
      <c r="D1262" s="2">
        <v>269.267</v>
      </c>
      <c r="E1262" s="2">
        <v>0.54600000000000004</v>
      </c>
      <c r="F1262" s="2">
        <v>268.048</v>
      </c>
      <c r="G1262" s="2">
        <v>268.55399999999997</v>
      </c>
      <c r="H1262" s="2">
        <v>0.505</v>
      </c>
      <c r="I1262" s="2">
        <v>264.26400000000001</v>
      </c>
      <c r="J1262" s="2">
        <v>265.66399999999999</v>
      </c>
      <c r="K1262" s="15">
        <v>2.89</v>
      </c>
      <c r="L1262" s="2">
        <v>12.206</v>
      </c>
      <c r="N1262" s="7">
        <f t="shared" si="169"/>
        <v>380</v>
      </c>
      <c r="O1262" s="1">
        <f t="shared" si="170"/>
        <v>131</v>
      </c>
      <c r="P1262" s="1" t="str">
        <f t="shared" si="172"/>
        <v>380,131</v>
      </c>
      <c r="Q1262" s="6" t="s">
        <v>10</v>
      </c>
      <c r="R1262" s="1">
        <v>90</v>
      </c>
      <c r="S1262" s="1">
        <v>2.5</v>
      </c>
      <c r="T1262" s="1" t="str">
        <f t="shared" si="171"/>
        <v>-text 380,131 2.5 90 265.664</v>
      </c>
    </row>
    <row r="1263" spans="1:20" x14ac:dyDescent="0.35">
      <c r="A1263" s="1">
        <v>276900</v>
      </c>
      <c r="B1263" s="7">
        <v>1166334.2</v>
      </c>
      <c r="C1263" s="2">
        <v>268.70400000000001</v>
      </c>
      <c r="D1263" s="2">
        <v>269.28199999999998</v>
      </c>
      <c r="E1263" s="2">
        <v>0.57799999999999996</v>
      </c>
      <c r="F1263" s="2">
        <v>268.03199999999998</v>
      </c>
      <c r="G1263" s="2">
        <v>268.56900000000002</v>
      </c>
      <c r="H1263" s="2">
        <v>0.53700000000000003</v>
      </c>
      <c r="I1263" s="2">
        <v>264.36399999999998</v>
      </c>
      <c r="J1263" s="2">
        <v>265.97899999999998</v>
      </c>
      <c r="K1263" s="15">
        <v>2.59</v>
      </c>
      <c r="L1263" s="2">
        <v>12.154999999999999</v>
      </c>
      <c r="N1263" s="7">
        <f t="shared" si="169"/>
        <v>400</v>
      </c>
      <c r="O1263" s="1">
        <f t="shared" si="170"/>
        <v>131</v>
      </c>
      <c r="P1263" s="1" t="str">
        <f t="shared" si="172"/>
        <v>400,131</v>
      </c>
      <c r="Q1263" s="6" t="s">
        <v>10</v>
      </c>
      <c r="R1263" s="1">
        <v>90</v>
      </c>
      <c r="S1263" s="1">
        <v>2.5</v>
      </c>
      <c r="T1263" s="1" t="str">
        <f t="shared" si="171"/>
        <v>-text 400,131 2.5 90 265.979</v>
      </c>
    </row>
    <row r="1264" spans="1:20" x14ac:dyDescent="0.35">
      <c r="A1264" s="1">
        <v>276920</v>
      </c>
      <c r="B1264" s="7">
        <v>1166354.2</v>
      </c>
      <c r="C1264" s="2">
        <v>268.68900000000002</v>
      </c>
      <c r="D1264" s="2">
        <v>269.298</v>
      </c>
      <c r="E1264" s="2">
        <v>0.60899999999999999</v>
      </c>
      <c r="F1264" s="2">
        <v>268.017</v>
      </c>
      <c r="G1264" s="2">
        <v>268.58499999999998</v>
      </c>
      <c r="H1264" s="2">
        <v>0.56799999999999995</v>
      </c>
      <c r="I1264" s="2">
        <v>264.30700000000002</v>
      </c>
      <c r="J1264" s="2">
        <v>266.226</v>
      </c>
      <c r="K1264" s="15">
        <v>2.36</v>
      </c>
      <c r="L1264" s="2">
        <v>12.103999999999999</v>
      </c>
      <c r="N1264" s="7">
        <f t="shared" si="169"/>
        <v>420</v>
      </c>
      <c r="O1264" s="1">
        <f t="shared" si="170"/>
        <v>131</v>
      </c>
      <c r="P1264" s="1" t="str">
        <f t="shared" si="172"/>
        <v>420,131</v>
      </c>
      <c r="Q1264" s="6" t="s">
        <v>10</v>
      </c>
      <c r="R1264" s="1">
        <v>90</v>
      </c>
      <c r="S1264" s="1">
        <v>2.5</v>
      </c>
      <c r="T1264" s="1" t="str">
        <f t="shared" si="171"/>
        <v>-text 420,131 2.5 90 266.226</v>
      </c>
    </row>
    <row r="1265" spans="1:20" x14ac:dyDescent="0.35">
      <c r="A1265" s="1">
        <v>276940</v>
      </c>
      <c r="B1265" s="7">
        <v>1166374.2</v>
      </c>
      <c r="C1265" s="2">
        <v>268.68200000000002</v>
      </c>
      <c r="D1265" s="2">
        <v>269.31400000000002</v>
      </c>
      <c r="E1265" s="2">
        <v>0.63200000000000001</v>
      </c>
      <c r="F1265" s="2">
        <v>268.01</v>
      </c>
      <c r="G1265" s="2">
        <v>268.601</v>
      </c>
      <c r="H1265" s="2">
        <v>0.59099999999999997</v>
      </c>
      <c r="I1265" s="2">
        <v>264.27100000000002</v>
      </c>
      <c r="J1265" s="2">
        <v>265.78500000000003</v>
      </c>
      <c r="K1265" s="15">
        <v>2.8159999999999998</v>
      </c>
      <c r="L1265" s="2">
        <v>12.061</v>
      </c>
      <c r="N1265" s="7">
        <f t="shared" si="169"/>
        <v>440</v>
      </c>
      <c r="O1265" s="1">
        <f t="shared" si="170"/>
        <v>131</v>
      </c>
      <c r="P1265" s="1" t="str">
        <f t="shared" si="172"/>
        <v>440,131</v>
      </c>
      <c r="Q1265" s="6" t="s">
        <v>10</v>
      </c>
      <c r="R1265" s="1">
        <v>90</v>
      </c>
      <c r="S1265" s="1">
        <v>2.5</v>
      </c>
      <c r="T1265" s="1" t="str">
        <f t="shared" si="171"/>
        <v>-text 440,131 2.5 90 265.785</v>
      </c>
    </row>
    <row r="1266" spans="1:20" x14ac:dyDescent="0.35">
      <c r="A1266" s="1">
        <v>276960</v>
      </c>
      <c r="B1266" s="7">
        <v>1166394.2</v>
      </c>
      <c r="C1266" s="2">
        <v>268.678</v>
      </c>
      <c r="D1266" s="2">
        <v>269.33</v>
      </c>
      <c r="E1266" s="2">
        <v>0.65200000000000002</v>
      </c>
      <c r="F1266" s="2">
        <v>268.00599999999997</v>
      </c>
      <c r="G1266" s="2">
        <v>268.61700000000002</v>
      </c>
      <c r="H1266" s="2">
        <v>0.61099999999999999</v>
      </c>
      <c r="I1266" s="2">
        <v>264.25099999999998</v>
      </c>
      <c r="J1266" s="2">
        <v>265.416</v>
      </c>
      <c r="K1266" s="15">
        <v>3.2010000000000001</v>
      </c>
      <c r="L1266" s="2">
        <v>12.026999999999999</v>
      </c>
      <c r="N1266" s="7">
        <f t="shared" si="169"/>
        <v>460</v>
      </c>
      <c r="O1266" s="1">
        <f t="shared" si="170"/>
        <v>131</v>
      </c>
      <c r="P1266" s="1" t="str">
        <f t="shared" si="172"/>
        <v>460,131</v>
      </c>
      <c r="Q1266" s="6" t="s">
        <v>10</v>
      </c>
      <c r="R1266" s="1">
        <v>90</v>
      </c>
      <c r="S1266" s="1">
        <v>2.5</v>
      </c>
      <c r="T1266" s="1" t="str">
        <f t="shared" si="171"/>
        <v>-text 460,131 2.5 90 265.416</v>
      </c>
    </row>
    <row r="1267" spans="1:20" x14ac:dyDescent="0.35">
      <c r="A1267" s="1">
        <v>276961.5906238</v>
      </c>
      <c r="B1267" s="7">
        <v>1166395.8</v>
      </c>
      <c r="C1267" s="2">
        <v>268.67899999999997</v>
      </c>
      <c r="D1267" s="2">
        <v>269.33100000000002</v>
      </c>
      <c r="E1267" s="2">
        <v>0.65300000000000002</v>
      </c>
      <c r="F1267" s="2">
        <v>268.00700000000001</v>
      </c>
      <c r="G1267" s="2">
        <v>268.61799999999999</v>
      </c>
      <c r="H1267" s="2">
        <v>0.61199999999999999</v>
      </c>
      <c r="I1267" s="2">
        <v>264.25</v>
      </c>
      <c r="J1267" s="2">
        <v>265.41300000000001</v>
      </c>
      <c r="K1267" s="15">
        <v>3.2050000000000001</v>
      </c>
      <c r="L1267" s="2">
        <v>12.026999999999999</v>
      </c>
      <c r="N1267" s="7">
        <f t="shared" si="169"/>
        <v>461.60000000009313</v>
      </c>
      <c r="O1267" s="1">
        <f t="shared" si="170"/>
        <v>131</v>
      </c>
      <c r="P1267" s="1" t="str">
        <f t="shared" si="172"/>
        <v>461.600000000093,131</v>
      </c>
      <c r="Q1267" s="6" t="s">
        <v>10</v>
      </c>
      <c r="R1267" s="1">
        <v>90</v>
      </c>
      <c r="S1267" s="1">
        <v>2.5</v>
      </c>
      <c r="T1267" s="1" t="str">
        <f t="shared" si="171"/>
        <v>-text 461.600000000093,131 2.5 90 265.413</v>
      </c>
    </row>
    <row r="1268" spans="1:20" s="10" customFormat="1" x14ac:dyDescent="0.35">
      <c r="B1268" s="11"/>
      <c r="C1268" s="9"/>
      <c r="D1268" s="9"/>
      <c r="E1268" s="9"/>
      <c r="F1268" s="9"/>
      <c r="G1268" s="9"/>
      <c r="H1268" s="9"/>
      <c r="I1268" s="9"/>
      <c r="J1268" s="9"/>
      <c r="K1268" s="16"/>
      <c r="L1268" s="9"/>
      <c r="M1268" s="9"/>
      <c r="N1268" s="11"/>
      <c r="Q1268" s="12"/>
    </row>
    <row r="1269" spans="1:20" x14ac:dyDescent="0.35">
      <c r="A1269" s="1">
        <v>277000</v>
      </c>
      <c r="B1269" s="7">
        <v>1166395.8</v>
      </c>
      <c r="C1269" s="2">
        <v>268.67899999999997</v>
      </c>
      <c r="D1269" s="2">
        <v>269.33100000000002</v>
      </c>
      <c r="E1269" s="2">
        <v>0.65300000000000002</v>
      </c>
      <c r="F1269" s="2">
        <v>268.00700000000001</v>
      </c>
      <c r="G1269" s="2">
        <v>268.61799999999999</v>
      </c>
      <c r="H1269" s="2">
        <v>0.61199999999999999</v>
      </c>
      <c r="I1269" s="2">
        <v>264.25</v>
      </c>
      <c r="J1269" s="2">
        <v>265.41300000000001</v>
      </c>
      <c r="K1269" s="15">
        <v>3.2050000000000001</v>
      </c>
      <c r="L1269" s="2">
        <v>12.026999999999999</v>
      </c>
      <c r="N1269" s="7">
        <v>0</v>
      </c>
      <c r="O1269" s="1">
        <f t="shared" si="170"/>
        <v>131</v>
      </c>
      <c r="P1269" s="1" t="str">
        <f t="shared" si="172"/>
        <v>0,131</v>
      </c>
      <c r="Q1269" s="6" t="s">
        <v>10</v>
      </c>
      <c r="R1269" s="1">
        <v>90</v>
      </c>
      <c r="S1269" s="1">
        <v>2.5</v>
      </c>
      <c r="T1269" s="1" t="str">
        <f t="shared" si="171"/>
        <v>-text 0,131 2.5 90 265.413</v>
      </c>
    </row>
    <row r="1270" spans="1:20" x14ac:dyDescent="0.35">
      <c r="A1270" s="1">
        <v>277020</v>
      </c>
      <c r="B1270" s="7">
        <v>1166415.8</v>
      </c>
      <c r="C1270" s="2">
        <v>268.685</v>
      </c>
      <c r="D1270" s="2">
        <v>269.34699999999998</v>
      </c>
      <c r="E1270" s="2">
        <v>0.66200000000000003</v>
      </c>
      <c r="F1270" s="2">
        <v>268.01299999999998</v>
      </c>
      <c r="G1270" s="2">
        <v>268.63400000000001</v>
      </c>
      <c r="H1270" s="2">
        <v>0.621</v>
      </c>
      <c r="I1270" s="2">
        <v>264.286</v>
      </c>
      <c r="J1270" s="2">
        <v>265.33199999999999</v>
      </c>
      <c r="K1270" s="15">
        <v>3.3010000000000002</v>
      </c>
      <c r="L1270" s="2">
        <v>12.019</v>
      </c>
      <c r="N1270" s="7">
        <f t="shared" ref="N1270:N1293" si="173">N1269+(B1270-B1269)</f>
        <v>20</v>
      </c>
      <c r="O1270" s="1">
        <f t="shared" si="170"/>
        <v>131</v>
      </c>
      <c r="P1270" s="1" t="str">
        <f t="shared" si="172"/>
        <v>20,131</v>
      </c>
      <c r="Q1270" s="6" t="s">
        <v>10</v>
      </c>
      <c r="R1270" s="1">
        <v>90</v>
      </c>
      <c r="S1270" s="1">
        <v>2.5</v>
      </c>
      <c r="T1270" s="1" t="str">
        <f t="shared" si="171"/>
        <v>-text 20,131 2.5 90 265.332</v>
      </c>
    </row>
    <row r="1271" spans="1:20" x14ac:dyDescent="0.35">
      <c r="A1271" s="1">
        <v>277040</v>
      </c>
      <c r="B1271" s="7">
        <v>1166435.8</v>
      </c>
      <c r="C1271" s="2">
        <v>268.69</v>
      </c>
      <c r="D1271" s="2">
        <v>269.363</v>
      </c>
      <c r="E1271" s="2">
        <v>0.67300000000000004</v>
      </c>
      <c r="F1271" s="2">
        <v>268.01799999999997</v>
      </c>
      <c r="G1271" s="2">
        <v>268.64999999999998</v>
      </c>
      <c r="H1271" s="2">
        <v>0.63200000000000001</v>
      </c>
      <c r="I1271" s="2">
        <v>264.29899999999998</v>
      </c>
      <c r="J1271" s="2">
        <v>265.38499999999999</v>
      </c>
      <c r="K1271" s="15">
        <v>3.2650000000000001</v>
      </c>
      <c r="L1271" s="2">
        <v>11.986000000000001</v>
      </c>
      <c r="N1271" s="7">
        <f t="shared" si="173"/>
        <v>40</v>
      </c>
      <c r="O1271" s="1">
        <f t="shared" si="170"/>
        <v>131</v>
      </c>
      <c r="P1271" s="1" t="str">
        <f t="shared" si="172"/>
        <v>40,131</v>
      </c>
      <c r="Q1271" s="6" t="s">
        <v>10</v>
      </c>
      <c r="R1271" s="1">
        <v>90</v>
      </c>
      <c r="S1271" s="1">
        <v>2.5</v>
      </c>
      <c r="T1271" s="1" t="str">
        <f t="shared" si="171"/>
        <v>-text 40,131 2.5 90 265.385</v>
      </c>
    </row>
    <row r="1272" spans="1:20" x14ac:dyDescent="0.35">
      <c r="A1272" s="1">
        <v>277060</v>
      </c>
      <c r="B1272" s="7">
        <v>1166455.8</v>
      </c>
      <c r="C1272" s="2">
        <v>268.69600000000003</v>
      </c>
      <c r="D1272" s="2">
        <v>269.37900000000002</v>
      </c>
      <c r="E1272" s="2">
        <v>0.68300000000000005</v>
      </c>
      <c r="F1272" s="2">
        <v>268.024</v>
      </c>
      <c r="G1272" s="2">
        <v>268.666</v>
      </c>
      <c r="H1272" s="2">
        <v>0.64200000000000002</v>
      </c>
      <c r="I1272" s="2">
        <v>264.29500000000002</v>
      </c>
      <c r="J1272" s="2">
        <v>265.21199999999999</v>
      </c>
      <c r="K1272" s="15">
        <v>3.4540000000000002</v>
      </c>
      <c r="L1272" s="2">
        <v>11.935</v>
      </c>
      <c r="N1272" s="7">
        <f t="shared" si="173"/>
        <v>60</v>
      </c>
      <c r="O1272" s="1">
        <f t="shared" si="170"/>
        <v>131</v>
      </c>
      <c r="P1272" s="1" t="str">
        <f t="shared" si="172"/>
        <v>60,131</v>
      </c>
      <c r="Q1272" s="6" t="s">
        <v>10</v>
      </c>
      <c r="R1272" s="1">
        <v>90</v>
      </c>
      <c r="S1272" s="1">
        <v>2.5</v>
      </c>
      <c r="T1272" s="1" t="str">
        <f t="shared" si="171"/>
        <v>-text 60,131 2.5 90 265.212</v>
      </c>
    </row>
    <row r="1273" spans="1:20" x14ac:dyDescent="0.35">
      <c r="A1273" s="1">
        <v>277080</v>
      </c>
      <c r="B1273" s="7">
        <v>1166475.8</v>
      </c>
      <c r="C1273" s="2">
        <v>268.71899999999999</v>
      </c>
      <c r="D1273" s="2">
        <v>269.39400000000001</v>
      </c>
      <c r="E1273" s="2">
        <v>0.67500000000000004</v>
      </c>
      <c r="F1273" s="2">
        <v>268.04700000000003</v>
      </c>
      <c r="G1273" s="2">
        <v>268.68099999999998</v>
      </c>
      <c r="H1273" s="2">
        <v>0.63400000000000001</v>
      </c>
      <c r="I1273" s="2">
        <v>264.31700000000001</v>
      </c>
      <c r="J1273" s="2">
        <v>265.03800000000001</v>
      </c>
      <c r="K1273" s="15">
        <v>3.6429999999999998</v>
      </c>
      <c r="L1273" s="2">
        <v>11.901999999999999</v>
      </c>
      <c r="N1273" s="7">
        <f t="shared" si="173"/>
        <v>80</v>
      </c>
      <c r="O1273" s="1">
        <f t="shared" si="170"/>
        <v>131</v>
      </c>
      <c r="P1273" s="1" t="str">
        <f t="shared" si="172"/>
        <v>80,131</v>
      </c>
      <c r="Q1273" s="6" t="s">
        <v>10</v>
      </c>
      <c r="R1273" s="1">
        <v>90</v>
      </c>
      <c r="S1273" s="1">
        <v>2.5</v>
      </c>
      <c r="T1273" s="1" t="str">
        <f t="shared" si="171"/>
        <v>-text 80,131 2.5 90 265.038</v>
      </c>
    </row>
    <row r="1274" spans="1:20" x14ac:dyDescent="0.35">
      <c r="A1274" s="1">
        <v>277100</v>
      </c>
      <c r="B1274" s="7">
        <v>1166495.8</v>
      </c>
      <c r="C1274" s="2">
        <v>268.75</v>
      </c>
      <c r="D1274" s="2">
        <v>269.41000000000003</v>
      </c>
      <c r="E1274" s="2">
        <v>0.66</v>
      </c>
      <c r="F1274" s="2">
        <v>268.07799999999997</v>
      </c>
      <c r="G1274" s="2">
        <v>268.697</v>
      </c>
      <c r="H1274" s="2">
        <v>0.61899999999999999</v>
      </c>
      <c r="I1274" s="2">
        <v>264.35199999999998</v>
      </c>
      <c r="J1274" s="2">
        <v>265.04300000000001</v>
      </c>
      <c r="K1274" s="15">
        <v>3.6539999999999999</v>
      </c>
      <c r="L1274" s="2">
        <v>11.877000000000001</v>
      </c>
      <c r="N1274" s="7">
        <f t="shared" si="173"/>
        <v>100</v>
      </c>
      <c r="O1274" s="1">
        <f t="shared" si="170"/>
        <v>131</v>
      </c>
      <c r="P1274" s="1" t="str">
        <f t="shared" si="172"/>
        <v>100,131</v>
      </c>
      <c r="Q1274" s="6" t="s">
        <v>10</v>
      </c>
      <c r="R1274" s="1">
        <v>90</v>
      </c>
      <c r="S1274" s="1">
        <v>2.5</v>
      </c>
      <c r="T1274" s="1" t="str">
        <f t="shared" si="171"/>
        <v>-text 100,131 2.5 90 265.043</v>
      </c>
    </row>
    <row r="1275" spans="1:20" x14ac:dyDescent="0.35">
      <c r="A1275" s="1">
        <v>277120</v>
      </c>
      <c r="B1275" s="7">
        <v>1166515.8</v>
      </c>
      <c r="C1275" s="2">
        <v>268.738</v>
      </c>
      <c r="D1275" s="2">
        <v>269.42599999999999</v>
      </c>
      <c r="E1275" s="2">
        <v>0.68799999999999994</v>
      </c>
      <c r="F1275" s="2">
        <v>268.06599999999997</v>
      </c>
      <c r="G1275" s="2">
        <v>268.71300000000002</v>
      </c>
      <c r="H1275" s="2">
        <v>0.64700000000000002</v>
      </c>
      <c r="I1275" s="2">
        <v>264.375</v>
      </c>
      <c r="J1275" s="2">
        <v>265.07</v>
      </c>
      <c r="K1275" s="15">
        <v>3.6429999999999998</v>
      </c>
      <c r="L1275" s="2">
        <v>11.832000000000001</v>
      </c>
      <c r="N1275" s="7">
        <f t="shared" si="173"/>
        <v>120</v>
      </c>
      <c r="O1275" s="1">
        <f t="shared" si="170"/>
        <v>131</v>
      </c>
      <c r="P1275" s="1" t="str">
        <f t="shared" si="172"/>
        <v>120,131</v>
      </c>
      <c r="Q1275" s="6" t="s">
        <v>10</v>
      </c>
      <c r="R1275" s="1">
        <v>90</v>
      </c>
      <c r="S1275" s="1">
        <v>2.5</v>
      </c>
      <c r="T1275" s="1" t="str">
        <f t="shared" si="171"/>
        <v>-text 120,131 2.5 90 265.07</v>
      </c>
    </row>
    <row r="1276" spans="1:20" x14ac:dyDescent="0.35">
      <c r="A1276" s="1">
        <v>277140</v>
      </c>
      <c r="B1276" s="7">
        <v>1166535.8</v>
      </c>
      <c r="C1276" s="2">
        <v>268.72300000000001</v>
      </c>
      <c r="D1276" s="2">
        <v>269.44200000000001</v>
      </c>
      <c r="E1276" s="2">
        <v>0.71899999999999997</v>
      </c>
      <c r="F1276" s="2">
        <v>268.05099999999999</v>
      </c>
      <c r="G1276" s="2">
        <v>268.72899999999998</v>
      </c>
      <c r="H1276" s="2">
        <v>0.67800000000000005</v>
      </c>
      <c r="I1276" s="2">
        <v>264.387</v>
      </c>
      <c r="J1276" s="2">
        <v>265.13799999999998</v>
      </c>
      <c r="K1276" s="15">
        <v>3.5910000000000002</v>
      </c>
      <c r="L1276" s="2">
        <v>11.787000000000001</v>
      </c>
      <c r="N1276" s="7">
        <f t="shared" si="173"/>
        <v>140</v>
      </c>
      <c r="O1276" s="1">
        <f t="shared" si="170"/>
        <v>131</v>
      </c>
      <c r="P1276" s="1" t="str">
        <f t="shared" si="172"/>
        <v>140,131</v>
      </c>
      <c r="Q1276" s="6" t="s">
        <v>10</v>
      </c>
      <c r="R1276" s="1">
        <v>90</v>
      </c>
      <c r="S1276" s="1">
        <v>2.5</v>
      </c>
      <c r="T1276" s="1" t="str">
        <f t="shared" si="171"/>
        <v>-text 140,131 2.5 90 265.138</v>
      </c>
    </row>
    <row r="1277" spans="1:20" x14ac:dyDescent="0.35">
      <c r="A1277" s="1">
        <v>277160</v>
      </c>
      <c r="B1277" s="7">
        <v>1166555.8</v>
      </c>
      <c r="C1277" s="2">
        <v>268.73700000000002</v>
      </c>
      <c r="D1277" s="2">
        <v>269.45699999999999</v>
      </c>
      <c r="E1277" s="2">
        <v>0.72</v>
      </c>
      <c r="F1277" s="2">
        <v>268.065</v>
      </c>
      <c r="G1277" s="2">
        <v>268.74400000000003</v>
      </c>
      <c r="H1277" s="2">
        <v>0.67900000000000005</v>
      </c>
      <c r="I1277" s="2">
        <v>264.40499999999997</v>
      </c>
      <c r="J1277" s="2">
        <v>265.10500000000002</v>
      </c>
      <c r="K1277" s="15">
        <v>3.64</v>
      </c>
      <c r="L1277" s="2">
        <v>11.757999999999999</v>
      </c>
      <c r="N1277" s="7">
        <f t="shared" si="173"/>
        <v>160</v>
      </c>
      <c r="O1277" s="1">
        <f t="shared" si="170"/>
        <v>131</v>
      </c>
      <c r="P1277" s="1" t="str">
        <f t="shared" si="172"/>
        <v>160,131</v>
      </c>
      <c r="Q1277" s="6" t="s">
        <v>10</v>
      </c>
      <c r="R1277" s="1">
        <v>90</v>
      </c>
      <c r="S1277" s="1">
        <v>2.5</v>
      </c>
      <c r="T1277" s="1" t="str">
        <f t="shared" si="171"/>
        <v>-text 160,131 2.5 90 265.105</v>
      </c>
    </row>
    <row r="1278" spans="1:20" x14ac:dyDescent="0.35">
      <c r="A1278" s="1">
        <v>277180</v>
      </c>
      <c r="B1278" s="7">
        <v>1166575.8</v>
      </c>
      <c r="C1278" s="2">
        <v>268.75700000000001</v>
      </c>
      <c r="D1278" s="2">
        <v>269.47300000000001</v>
      </c>
      <c r="E1278" s="2">
        <v>0.71599999999999997</v>
      </c>
      <c r="F1278" s="2">
        <v>268.08499999999998</v>
      </c>
      <c r="G1278" s="2">
        <v>268.76</v>
      </c>
      <c r="H1278" s="2">
        <v>0.67500000000000004</v>
      </c>
      <c r="I1278" s="2">
        <v>264.43299999999999</v>
      </c>
      <c r="J1278" s="2">
        <v>265.08300000000003</v>
      </c>
      <c r="K1278" s="15">
        <v>3.677</v>
      </c>
      <c r="L1278" s="2">
        <v>11.728999999999999</v>
      </c>
      <c r="N1278" s="7">
        <f t="shared" si="173"/>
        <v>180</v>
      </c>
      <c r="O1278" s="1">
        <f t="shared" si="170"/>
        <v>131</v>
      </c>
      <c r="P1278" s="1" t="str">
        <f t="shared" si="172"/>
        <v>180,131</v>
      </c>
      <c r="Q1278" s="6" t="s">
        <v>10</v>
      </c>
      <c r="R1278" s="1">
        <v>90</v>
      </c>
      <c r="S1278" s="1">
        <v>2.5</v>
      </c>
      <c r="T1278" s="1" t="str">
        <f t="shared" si="171"/>
        <v>-text 180,131 2.5 90 265.083</v>
      </c>
    </row>
    <row r="1279" spans="1:20" x14ac:dyDescent="0.35">
      <c r="A1279" s="1">
        <v>277200</v>
      </c>
      <c r="B1279" s="7">
        <v>1166595.8</v>
      </c>
      <c r="C1279" s="2">
        <v>268.803</v>
      </c>
      <c r="D1279" s="2">
        <v>269.48899999999998</v>
      </c>
      <c r="E1279" s="2">
        <v>0.68600000000000005</v>
      </c>
      <c r="F1279" s="2">
        <v>268.13099999999997</v>
      </c>
      <c r="G1279" s="2">
        <v>268.77600000000001</v>
      </c>
      <c r="H1279" s="2">
        <v>0.64500000000000002</v>
      </c>
      <c r="I1279" s="2">
        <v>264.50599999999997</v>
      </c>
      <c r="J1279" s="2">
        <v>265.76100000000002</v>
      </c>
      <c r="K1279" s="15">
        <v>3.0150000000000001</v>
      </c>
      <c r="L1279" s="2">
        <v>11.702</v>
      </c>
      <c r="N1279" s="7">
        <f t="shared" si="173"/>
        <v>200</v>
      </c>
      <c r="O1279" s="1">
        <f t="shared" si="170"/>
        <v>131</v>
      </c>
      <c r="P1279" s="1" t="str">
        <f t="shared" si="172"/>
        <v>200,131</v>
      </c>
      <c r="Q1279" s="6" t="s">
        <v>10</v>
      </c>
      <c r="R1279" s="1">
        <v>90</v>
      </c>
      <c r="S1279" s="1">
        <v>2.5</v>
      </c>
      <c r="T1279" s="1" t="str">
        <f t="shared" si="171"/>
        <v>-text 200,131 2.5 90 265.761</v>
      </c>
    </row>
    <row r="1280" spans="1:20" x14ac:dyDescent="0.35">
      <c r="A1280" s="1">
        <v>277220</v>
      </c>
      <c r="B1280" s="7">
        <v>1166615.7</v>
      </c>
      <c r="C1280" s="2">
        <v>268.81900000000002</v>
      </c>
      <c r="D1280" s="2">
        <v>269.505</v>
      </c>
      <c r="E1280" s="2">
        <v>0.68500000000000005</v>
      </c>
      <c r="F1280" s="2">
        <v>268.14699999999999</v>
      </c>
      <c r="G1280" s="2">
        <v>268.79199999999997</v>
      </c>
      <c r="H1280" s="2">
        <v>0.64400000000000002</v>
      </c>
      <c r="I1280" s="2">
        <v>264.65300000000002</v>
      </c>
      <c r="J1280" s="2">
        <v>266.72699999999998</v>
      </c>
      <c r="K1280" s="15">
        <v>2.0649999999999999</v>
      </c>
      <c r="L1280" s="2">
        <v>11.622999999999999</v>
      </c>
      <c r="N1280" s="7">
        <f t="shared" si="173"/>
        <v>219.89999999990687</v>
      </c>
      <c r="O1280" s="1">
        <f t="shared" si="170"/>
        <v>131</v>
      </c>
      <c r="P1280" s="1" t="str">
        <f t="shared" si="172"/>
        <v>219.899999999907,131</v>
      </c>
      <c r="Q1280" s="6" t="s">
        <v>10</v>
      </c>
      <c r="R1280" s="1">
        <v>90</v>
      </c>
      <c r="S1280" s="1">
        <v>2.5</v>
      </c>
      <c r="T1280" s="1" t="str">
        <f t="shared" si="171"/>
        <v>-text 219.899999999907,131 2.5 90 266.727</v>
      </c>
    </row>
    <row r="1281" spans="1:20" x14ac:dyDescent="0.35">
      <c r="A1281" s="1">
        <v>277240</v>
      </c>
      <c r="B1281" s="7">
        <v>1166635.7</v>
      </c>
      <c r="C1281" s="2">
        <v>268.81599999999997</v>
      </c>
      <c r="D1281" s="2">
        <v>269.52100000000002</v>
      </c>
      <c r="E1281" s="2">
        <v>0.70499999999999996</v>
      </c>
      <c r="F1281" s="2">
        <v>268.14400000000001</v>
      </c>
      <c r="G1281" s="2">
        <v>268.80799999999999</v>
      </c>
      <c r="H1281" s="2">
        <v>0.66400000000000003</v>
      </c>
      <c r="I1281" s="2">
        <v>264.72899999999998</v>
      </c>
      <c r="J1281" s="2">
        <v>267.13299999999998</v>
      </c>
      <c r="K1281" s="15">
        <v>1.675</v>
      </c>
      <c r="L1281" s="2">
        <v>11.507999999999999</v>
      </c>
      <c r="N1281" s="7">
        <f t="shared" si="173"/>
        <v>239.89999999990687</v>
      </c>
      <c r="O1281" s="1">
        <f t="shared" si="170"/>
        <v>131</v>
      </c>
      <c r="P1281" s="1" t="str">
        <f t="shared" si="172"/>
        <v>239.899999999907,131</v>
      </c>
      <c r="Q1281" s="6" t="s">
        <v>10</v>
      </c>
      <c r="R1281" s="1">
        <v>90</v>
      </c>
      <c r="S1281" s="1">
        <v>2.5</v>
      </c>
      <c r="T1281" s="1" t="str">
        <f t="shared" si="171"/>
        <v>-text 239.899999999907,131 2.5 90 267.133</v>
      </c>
    </row>
    <row r="1282" spans="1:20" x14ac:dyDescent="0.35">
      <c r="A1282" s="1">
        <v>277260</v>
      </c>
      <c r="B1282" s="7">
        <v>1166655.7</v>
      </c>
      <c r="C1282" s="2">
        <v>268.81299999999999</v>
      </c>
      <c r="D1282" s="2">
        <v>269.536</v>
      </c>
      <c r="E1282" s="2">
        <v>0.72399999999999998</v>
      </c>
      <c r="F1282" s="2">
        <v>268.14100000000002</v>
      </c>
      <c r="G1282" s="2">
        <v>268.82299999999998</v>
      </c>
      <c r="H1282" s="2">
        <v>0.68300000000000005</v>
      </c>
      <c r="I1282" s="2">
        <v>264.79199999999997</v>
      </c>
      <c r="J1282" s="2">
        <v>264.238</v>
      </c>
      <c r="K1282" s="15">
        <v>4.585</v>
      </c>
      <c r="L1282" s="2">
        <v>11.394</v>
      </c>
      <c r="N1282" s="7">
        <f t="shared" si="173"/>
        <v>259.89999999990687</v>
      </c>
      <c r="O1282" s="1">
        <f t="shared" si="170"/>
        <v>131</v>
      </c>
      <c r="P1282" s="1" t="str">
        <f t="shared" si="172"/>
        <v>259.899999999907,131</v>
      </c>
      <c r="Q1282" s="6" t="s">
        <v>10</v>
      </c>
      <c r="R1282" s="1">
        <v>90</v>
      </c>
      <c r="S1282" s="1">
        <v>2.5</v>
      </c>
      <c r="T1282" s="1" t="str">
        <f t="shared" si="171"/>
        <v>-text 259.899999999907,131 2.5 90 264.238</v>
      </c>
    </row>
    <row r="1283" spans="1:20" x14ac:dyDescent="0.35">
      <c r="A1283" s="1">
        <v>277280</v>
      </c>
      <c r="B1283" s="7">
        <v>1166675.8</v>
      </c>
      <c r="C1283" s="2">
        <v>268.80900000000003</v>
      </c>
      <c r="D1283" s="2">
        <v>269.55200000000002</v>
      </c>
      <c r="E1283" s="2">
        <v>0.74299999999999999</v>
      </c>
      <c r="F1283" s="2">
        <v>268.137</v>
      </c>
      <c r="G1283" s="2">
        <v>268.839</v>
      </c>
      <c r="H1283" s="2">
        <v>0.70199999999999996</v>
      </c>
      <c r="I1283" s="2">
        <v>264.87400000000002</v>
      </c>
      <c r="J1283" s="2">
        <v>264.76600000000002</v>
      </c>
      <c r="K1283" s="15">
        <v>4.0730000000000004</v>
      </c>
      <c r="L1283" s="2">
        <v>11.279</v>
      </c>
      <c r="N1283" s="7">
        <f t="shared" si="173"/>
        <v>280</v>
      </c>
      <c r="O1283" s="1">
        <f t="shared" si="170"/>
        <v>131</v>
      </c>
      <c r="P1283" s="1" t="str">
        <f t="shared" si="172"/>
        <v>280,131</v>
      </c>
      <c r="Q1283" s="6" t="s">
        <v>10</v>
      </c>
      <c r="R1283" s="1">
        <v>90</v>
      </c>
      <c r="S1283" s="1">
        <v>2.5</v>
      </c>
      <c r="T1283" s="1" t="str">
        <f t="shared" si="171"/>
        <v>-text 280,131 2.5 90 264.766</v>
      </c>
    </row>
    <row r="1284" spans="1:20" x14ac:dyDescent="0.35">
      <c r="A1284" s="1">
        <v>277300</v>
      </c>
      <c r="B1284" s="7">
        <v>1166695.8</v>
      </c>
      <c r="C1284" s="2">
        <v>268.80599999999998</v>
      </c>
      <c r="D1284" s="2">
        <v>269.56799999999998</v>
      </c>
      <c r="E1284" s="2">
        <v>0.76200000000000001</v>
      </c>
      <c r="F1284" s="2">
        <v>268.13400000000001</v>
      </c>
      <c r="G1284" s="2">
        <v>268.85500000000002</v>
      </c>
      <c r="H1284" s="2">
        <v>0.72099999999999997</v>
      </c>
      <c r="I1284" s="2">
        <v>264.85300000000001</v>
      </c>
      <c r="J1284" s="2">
        <v>266.12200000000001</v>
      </c>
      <c r="K1284" s="15">
        <v>2.7330000000000001</v>
      </c>
      <c r="L1284" s="2">
        <v>11.164999999999999</v>
      </c>
      <c r="N1284" s="7">
        <f t="shared" si="173"/>
        <v>300</v>
      </c>
      <c r="O1284" s="1">
        <f t="shared" si="170"/>
        <v>131</v>
      </c>
      <c r="P1284" s="1" t="str">
        <f t="shared" si="172"/>
        <v>300,131</v>
      </c>
      <c r="Q1284" s="6" t="s">
        <v>10</v>
      </c>
      <c r="R1284" s="1">
        <v>90</v>
      </c>
      <c r="S1284" s="1">
        <v>2.5</v>
      </c>
      <c r="T1284" s="1" t="str">
        <f t="shared" si="171"/>
        <v>-text 300,131 2.5 90 266.122</v>
      </c>
    </row>
    <row r="1285" spans="1:20" x14ac:dyDescent="0.35">
      <c r="A1285" s="1">
        <v>277320</v>
      </c>
      <c r="B1285" s="7">
        <v>1166715.8</v>
      </c>
      <c r="C1285" s="2">
        <v>268.80900000000003</v>
      </c>
      <c r="D1285" s="2">
        <v>269.584</v>
      </c>
      <c r="E1285" s="2">
        <v>0.77500000000000002</v>
      </c>
      <c r="F1285" s="2">
        <v>268.137</v>
      </c>
      <c r="G1285" s="2">
        <v>268.87099999999998</v>
      </c>
      <c r="H1285" s="2">
        <v>0.73399999999999999</v>
      </c>
      <c r="I1285" s="2">
        <v>264.74599999999998</v>
      </c>
      <c r="J1285" s="2">
        <v>265.995</v>
      </c>
      <c r="K1285" s="15">
        <v>2.875</v>
      </c>
      <c r="L1285" s="2">
        <v>11.074999999999999</v>
      </c>
      <c r="N1285" s="7">
        <f t="shared" si="173"/>
        <v>320</v>
      </c>
      <c r="O1285" s="1">
        <f t="shared" si="170"/>
        <v>131</v>
      </c>
      <c r="P1285" s="1" t="str">
        <f t="shared" si="172"/>
        <v>320,131</v>
      </c>
      <c r="Q1285" s="6" t="s">
        <v>10</v>
      </c>
      <c r="R1285" s="1">
        <v>90</v>
      </c>
      <c r="S1285" s="1">
        <v>2.5</v>
      </c>
      <c r="T1285" s="1" t="str">
        <f t="shared" si="171"/>
        <v>-text 320,131 2.5 90 265.995</v>
      </c>
    </row>
    <row r="1286" spans="1:20" x14ac:dyDescent="0.35">
      <c r="A1286" s="1">
        <v>277340</v>
      </c>
      <c r="B1286" s="7">
        <v>1166735.8</v>
      </c>
      <c r="C1286" s="2">
        <v>268.81700000000001</v>
      </c>
      <c r="D1286" s="2">
        <v>269.60000000000002</v>
      </c>
      <c r="E1286" s="2">
        <v>0.78300000000000003</v>
      </c>
      <c r="F1286" s="2">
        <v>268.14499999999998</v>
      </c>
      <c r="G1286" s="2">
        <v>268.887</v>
      </c>
      <c r="H1286" s="2">
        <v>0.74199999999999999</v>
      </c>
      <c r="I1286" s="2">
        <v>264.67200000000003</v>
      </c>
      <c r="J1286" s="2">
        <v>265.73599999999999</v>
      </c>
      <c r="K1286" s="15">
        <v>3.1509999999999998</v>
      </c>
      <c r="L1286" s="2">
        <v>11.004</v>
      </c>
      <c r="N1286" s="7">
        <f t="shared" si="173"/>
        <v>340</v>
      </c>
      <c r="O1286" s="1">
        <f t="shared" si="170"/>
        <v>131</v>
      </c>
      <c r="P1286" s="1" t="str">
        <f t="shared" si="172"/>
        <v>340,131</v>
      </c>
      <c r="Q1286" s="6" t="s">
        <v>10</v>
      </c>
      <c r="R1286" s="1">
        <v>90</v>
      </c>
      <c r="S1286" s="1">
        <v>2.5</v>
      </c>
      <c r="T1286" s="1" t="str">
        <f t="shared" si="171"/>
        <v>-text 340,131 2.5 90 265.736</v>
      </c>
    </row>
    <row r="1287" spans="1:20" x14ac:dyDescent="0.35">
      <c r="A1287" s="1">
        <v>277360</v>
      </c>
      <c r="B1287" s="7">
        <v>1166755.8</v>
      </c>
      <c r="C1287" s="2">
        <v>268.84100000000001</v>
      </c>
      <c r="D1287" s="2">
        <v>269.61500000000001</v>
      </c>
      <c r="E1287" s="2">
        <v>0.77400000000000002</v>
      </c>
      <c r="F1287" s="2">
        <v>268.16899999999998</v>
      </c>
      <c r="G1287" s="2">
        <v>268.90199999999999</v>
      </c>
      <c r="H1287" s="2">
        <v>0.73299999999999998</v>
      </c>
      <c r="I1287" s="2">
        <v>264.577</v>
      </c>
      <c r="J1287" s="2">
        <v>265.52300000000002</v>
      </c>
      <c r="K1287" s="15">
        <v>3.38</v>
      </c>
      <c r="L1287" s="2">
        <v>10.968</v>
      </c>
      <c r="N1287" s="7">
        <f t="shared" si="173"/>
        <v>360</v>
      </c>
      <c r="O1287" s="1">
        <f t="shared" si="170"/>
        <v>131</v>
      </c>
      <c r="P1287" s="1" t="str">
        <f t="shared" si="172"/>
        <v>360,131</v>
      </c>
      <c r="Q1287" s="6" t="s">
        <v>10</v>
      </c>
      <c r="R1287" s="1">
        <v>90</v>
      </c>
      <c r="S1287" s="1">
        <v>2.5</v>
      </c>
      <c r="T1287" s="1" t="str">
        <f t="shared" si="171"/>
        <v>-text 360,131 2.5 90 265.523</v>
      </c>
    </row>
    <row r="1288" spans="1:20" x14ac:dyDescent="0.35">
      <c r="A1288" s="1">
        <v>277380</v>
      </c>
      <c r="B1288" s="7">
        <v>1166775.8</v>
      </c>
      <c r="C1288" s="2">
        <v>268.87299999999999</v>
      </c>
      <c r="D1288" s="2">
        <v>269.63099999999997</v>
      </c>
      <c r="E1288" s="2">
        <v>0.75800000000000001</v>
      </c>
      <c r="F1288" s="2">
        <v>268.20100000000002</v>
      </c>
      <c r="G1288" s="2">
        <v>268.91800000000001</v>
      </c>
      <c r="H1288" s="2">
        <v>0.71699999999999997</v>
      </c>
      <c r="I1288" s="2">
        <v>264.471</v>
      </c>
      <c r="J1288" s="2">
        <v>265.55</v>
      </c>
      <c r="K1288" s="15">
        <v>3.3690000000000002</v>
      </c>
      <c r="L1288" s="2">
        <v>10.946999999999999</v>
      </c>
      <c r="N1288" s="7">
        <f t="shared" si="173"/>
        <v>380</v>
      </c>
      <c r="O1288" s="1">
        <f t="shared" si="170"/>
        <v>131</v>
      </c>
      <c r="P1288" s="1" t="str">
        <f t="shared" si="172"/>
        <v>380,131</v>
      </c>
      <c r="Q1288" s="6" t="s">
        <v>10</v>
      </c>
      <c r="R1288" s="1">
        <v>90</v>
      </c>
      <c r="S1288" s="1">
        <v>2.5</v>
      </c>
      <c r="T1288" s="1" t="str">
        <f t="shared" si="171"/>
        <v>-text 380,131 2.5 90 265.55</v>
      </c>
    </row>
    <row r="1289" spans="1:20" x14ac:dyDescent="0.35">
      <c r="A1289" s="1">
        <v>277400</v>
      </c>
      <c r="B1289" s="7">
        <v>1166795.8</v>
      </c>
      <c r="C1289" s="2">
        <v>268.875</v>
      </c>
      <c r="D1289" s="2">
        <v>269.64699999999999</v>
      </c>
      <c r="E1289" s="2">
        <v>0.77200000000000002</v>
      </c>
      <c r="F1289" s="2">
        <v>268.20299999999997</v>
      </c>
      <c r="G1289" s="2">
        <v>268.93400000000003</v>
      </c>
      <c r="H1289" s="2">
        <v>0.73099999999999998</v>
      </c>
      <c r="I1289" s="2">
        <v>264.44</v>
      </c>
      <c r="J1289" s="2">
        <v>265.577</v>
      </c>
      <c r="K1289" s="15">
        <v>3.3570000000000002</v>
      </c>
      <c r="L1289" s="2">
        <v>10.914</v>
      </c>
      <c r="N1289" s="7">
        <f t="shared" si="173"/>
        <v>400</v>
      </c>
      <c r="O1289" s="1">
        <f t="shared" si="170"/>
        <v>131</v>
      </c>
      <c r="P1289" s="1" t="str">
        <f t="shared" si="172"/>
        <v>400,131</v>
      </c>
      <c r="Q1289" s="6" t="s">
        <v>10</v>
      </c>
      <c r="R1289" s="1">
        <v>90</v>
      </c>
      <c r="S1289" s="1">
        <v>2.5</v>
      </c>
      <c r="T1289" s="1" t="str">
        <f t="shared" si="171"/>
        <v>-text 400,131 2.5 90 265.577</v>
      </c>
    </row>
    <row r="1290" spans="1:20" x14ac:dyDescent="0.35">
      <c r="A1290" s="1">
        <v>277420</v>
      </c>
      <c r="B1290" s="7">
        <v>1166815.8</v>
      </c>
      <c r="C1290" s="2">
        <v>268.87799999999999</v>
      </c>
      <c r="D1290" s="2">
        <v>269.66300000000001</v>
      </c>
      <c r="E1290" s="2">
        <v>0.78500000000000003</v>
      </c>
      <c r="F1290" s="2">
        <v>268.20600000000002</v>
      </c>
      <c r="G1290" s="2">
        <v>268.95</v>
      </c>
      <c r="H1290" s="2">
        <v>0.74399999999999999</v>
      </c>
      <c r="I1290" s="2">
        <v>264.40899999999999</v>
      </c>
      <c r="J1290" s="2">
        <v>265.61099999999999</v>
      </c>
      <c r="K1290" s="15">
        <v>3.339</v>
      </c>
      <c r="L1290" s="2">
        <v>10.882999999999999</v>
      </c>
      <c r="N1290" s="7">
        <f t="shared" si="173"/>
        <v>420</v>
      </c>
      <c r="O1290" s="1">
        <f t="shared" si="170"/>
        <v>131</v>
      </c>
      <c r="P1290" s="1" t="str">
        <f t="shared" si="172"/>
        <v>420,131</v>
      </c>
      <c r="Q1290" s="6" t="s">
        <v>10</v>
      </c>
      <c r="R1290" s="1">
        <v>90</v>
      </c>
      <c r="S1290" s="1">
        <v>2.5</v>
      </c>
      <c r="T1290" s="1" t="str">
        <f t="shared" si="171"/>
        <v>-text 420,131 2.5 90 265.611</v>
      </c>
    </row>
    <row r="1291" spans="1:20" x14ac:dyDescent="0.35">
      <c r="A1291" s="1">
        <v>277440</v>
      </c>
      <c r="B1291" s="7">
        <v>1166835.8</v>
      </c>
      <c r="C1291" s="2">
        <v>268.85700000000003</v>
      </c>
      <c r="D1291" s="2">
        <v>269.67700000000002</v>
      </c>
      <c r="E1291" s="2">
        <v>0.82</v>
      </c>
      <c r="F1291" s="2">
        <v>268.185</v>
      </c>
      <c r="G1291" s="2">
        <v>268.964</v>
      </c>
      <c r="H1291" s="2">
        <v>0.77900000000000003</v>
      </c>
      <c r="I1291" s="2">
        <v>264.42500000000001</v>
      </c>
      <c r="J1291" s="2">
        <v>265.64400000000001</v>
      </c>
      <c r="K1291" s="15">
        <v>3.32</v>
      </c>
      <c r="L1291" s="2">
        <v>10.865</v>
      </c>
      <c r="N1291" s="7">
        <f t="shared" si="173"/>
        <v>440</v>
      </c>
      <c r="O1291" s="1">
        <f t="shared" si="170"/>
        <v>131</v>
      </c>
      <c r="P1291" s="1" t="str">
        <f t="shared" si="172"/>
        <v>440,131</v>
      </c>
      <c r="Q1291" s="6" t="s">
        <v>10</v>
      </c>
      <c r="R1291" s="1">
        <v>90</v>
      </c>
      <c r="S1291" s="1">
        <v>2.5</v>
      </c>
      <c r="T1291" s="1" t="str">
        <f t="shared" si="171"/>
        <v>-text 440,131 2.5 90 265.644</v>
      </c>
    </row>
    <row r="1292" spans="1:20" x14ac:dyDescent="0.35">
      <c r="A1292" s="1">
        <v>277460</v>
      </c>
      <c r="B1292" s="7">
        <v>1166855.8</v>
      </c>
      <c r="C1292" s="2">
        <v>268.84500000000003</v>
      </c>
      <c r="D1292" s="2">
        <v>269.68599999999998</v>
      </c>
      <c r="E1292" s="2">
        <v>0.84</v>
      </c>
      <c r="F1292" s="2">
        <v>268.173</v>
      </c>
      <c r="G1292" s="2">
        <v>268.97300000000001</v>
      </c>
      <c r="H1292" s="2">
        <v>0.79900000000000004</v>
      </c>
      <c r="I1292" s="2">
        <v>264.447</v>
      </c>
      <c r="J1292" s="2">
        <v>265.67099999999999</v>
      </c>
      <c r="K1292" s="15">
        <v>3.3010000000000002</v>
      </c>
      <c r="L1292" s="2">
        <v>10.827</v>
      </c>
      <c r="N1292" s="7">
        <f t="shared" si="173"/>
        <v>460</v>
      </c>
      <c r="O1292" s="1">
        <f t="shared" si="170"/>
        <v>131</v>
      </c>
      <c r="P1292" s="1" t="str">
        <f t="shared" si="172"/>
        <v>460,131</v>
      </c>
      <c r="Q1292" s="6" t="s">
        <v>10</v>
      </c>
      <c r="R1292" s="1">
        <v>90</v>
      </c>
      <c r="S1292" s="1">
        <v>2.5</v>
      </c>
      <c r="T1292" s="1" t="str">
        <f t="shared" si="171"/>
        <v>-text 460,131 2.5 90 265.671</v>
      </c>
    </row>
    <row r="1293" spans="1:20" x14ac:dyDescent="0.35">
      <c r="A1293" s="1">
        <v>277480</v>
      </c>
      <c r="B1293" s="7">
        <v>1166875.8</v>
      </c>
      <c r="C1293" s="2">
        <v>268.85199999999998</v>
      </c>
      <c r="D1293" s="2">
        <v>269.69499999999999</v>
      </c>
      <c r="E1293" s="2">
        <v>0.84299999999999997</v>
      </c>
      <c r="F1293" s="2">
        <v>268.18</v>
      </c>
      <c r="G1293" s="2">
        <v>268.98200000000003</v>
      </c>
      <c r="H1293" s="2">
        <v>0.80200000000000005</v>
      </c>
      <c r="I1293" s="2">
        <v>264.45400000000001</v>
      </c>
      <c r="J1293" s="2">
        <v>265.69900000000001</v>
      </c>
      <c r="K1293" s="15">
        <v>3.2829999999999999</v>
      </c>
      <c r="L1293" s="2">
        <v>10.765000000000001</v>
      </c>
      <c r="N1293" s="7">
        <f t="shared" si="173"/>
        <v>480</v>
      </c>
      <c r="O1293" s="1">
        <f t="shared" si="170"/>
        <v>131</v>
      </c>
      <c r="P1293" s="1" t="str">
        <f t="shared" si="172"/>
        <v>480,131</v>
      </c>
      <c r="Q1293" s="6" t="s">
        <v>10</v>
      </c>
      <c r="R1293" s="1">
        <v>90</v>
      </c>
      <c r="S1293" s="1">
        <v>2.5</v>
      </c>
      <c r="T1293" s="1" t="str">
        <f t="shared" si="171"/>
        <v>-text 480,131 2.5 90 265.699</v>
      </c>
    </row>
    <row r="1294" spans="1:20" x14ac:dyDescent="0.35">
      <c r="A1294" s="1">
        <v>277500</v>
      </c>
      <c r="B1294" s="7">
        <v>1166895.8</v>
      </c>
      <c r="C1294" s="2">
        <v>268.88099999999997</v>
      </c>
      <c r="D1294" s="2">
        <v>269.70400000000001</v>
      </c>
      <c r="E1294" s="2">
        <v>0.82299999999999995</v>
      </c>
      <c r="F1294" s="2">
        <v>268.209</v>
      </c>
      <c r="G1294" s="2">
        <v>268.99099999999999</v>
      </c>
      <c r="H1294" s="2">
        <v>0.78200000000000003</v>
      </c>
      <c r="I1294" s="2">
        <v>264.42099999999999</v>
      </c>
      <c r="J1294" s="2">
        <v>265.72699999999998</v>
      </c>
      <c r="K1294" s="15">
        <v>3.2639999999999998</v>
      </c>
      <c r="L1294" s="2">
        <v>10.728999999999999</v>
      </c>
      <c r="N1294" s="7">
        <f>N1291+(B1294-B1291)</f>
        <v>500</v>
      </c>
      <c r="O1294" s="1">
        <f t="shared" si="170"/>
        <v>131</v>
      </c>
      <c r="P1294" s="1" t="str">
        <f t="shared" ref="P1294" si="174">CONCATENATE(N1294,",",O1294)</f>
        <v>500,131</v>
      </c>
      <c r="Q1294" s="6" t="s">
        <v>10</v>
      </c>
      <c r="R1294" s="1">
        <v>90</v>
      </c>
      <c r="S1294" s="1">
        <v>2.5</v>
      </c>
      <c r="T1294" s="1" t="str">
        <f t="shared" si="171"/>
        <v>-text 500,131 2.5 90 265.727</v>
      </c>
    </row>
    <row r="1295" spans="1:20" s="10" customFormat="1" x14ac:dyDescent="0.35">
      <c r="B1295" s="11"/>
      <c r="C1295" s="9"/>
      <c r="D1295" s="9"/>
      <c r="E1295" s="9"/>
      <c r="F1295" s="9"/>
      <c r="G1295" s="9"/>
      <c r="H1295" s="9"/>
      <c r="I1295" s="9"/>
      <c r="J1295" s="9"/>
      <c r="K1295" s="16"/>
      <c r="L1295" s="9"/>
      <c r="M1295" s="9"/>
      <c r="N1295" s="11"/>
      <c r="Q1295" s="12"/>
    </row>
    <row r="1296" spans="1:20" x14ac:dyDescent="0.35">
      <c r="A1296" s="1">
        <v>277500</v>
      </c>
      <c r="B1296" s="7">
        <v>1166895.8</v>
      </c>
      <c r="C1296" s="2">
        <v>268.88099999999997</v>
      </c>
      <c r="D1296" s="2">
        <v>269.70400000000001</v>
      </c>
      <c r="E1296" s="2">
        <v>0.82299999999999995</v>
      </c>
      <c r="F1296" s="2">
        <v>268.209</v>
      </c>
      <c r="G1296" s="2">
        <v>268.99099999999999</v>
      </c>
      <c r="H1296" s="2">
        <v>0.78200000000000003</v>
      </c>
      <c r="I1296" s="2">
        <v>264.42099999999999</v>
      </c>
      <c r="J1296" s="2">
        <v>265.72699999999998</v>
      </c>
      <c r="K1296" s="15">
        <v>3.2639999999999998</v>
      </c>
      <c r="L1296" s="2">
        <v>10.728999999999999</v>
      </c>
      <c r="N1296" s="7">
        <v>0</v>
      </c>
      <c r="O1296" s="1">
        <f t="shared" si="170"/>
        <v>131</v>
      </c>
      <c r="P1296" s="1" t="str">
        <f t="shared" si="172"/>
        <v>0,131</v>
      </c>
      <c r="Q1296" s="6" t="s">
        <v>10</v>
      </c>
      <c r="R1296" s="1">
        <v>90</v>
      </c>
      <c r="S1296" s="1">
        <v>2.5</v>
      </c>
      <c r="T1296" s="1" t="str">
        <f t="shared" si="171"/>
        <v>-text 0,131 2.5 90 265.727</v>
      </c>
    </row>
    <row r="1297" spans="1:20" x14ac:dyDescent="0.35">
      <c r="A1297" s="1">
        <v>277520</v>
      </c>
      <c r="B1297" s="7">
        <v>1166915.8</v>
      </c>
      <c r="C1297" s="2">
        <v>268.92099999999999</v>
      </c>
      <c r="D1297" s="2">
        <v>269.71300000000002</v>
      </c>
      <c r="E1297" s="2">
        <v>0.79200000000000004</v>
      </c>
      <c r="F1297" s="2">
        <v>268.24900000000002</v>
      </c>
      <c r="G1297" s="2">
        <v>269</v>
      </c>
      <c r="H1297" s="2">
        <v>0.751</v>
      </c>
      <c r="I1297" s="2">
        <v>264.46199999999999</v>
      </c>
      <c r="J1297" s="2">
        <v>265.78899999999999</v>
      </c>
      <c r="K1297" s="15">
        <v>3.2109999999999999</v>
      </c>
      <c r="L1297" s="2">
        <v>10.705</v>
      </c>
      <c r="N1297" s="7">
        <f t="shared" ref="N1297:N1323" si="175">N1296+(B1297-B1296)</f>
        <v>20</v>
      </c>
      <c r="O1297" s="1">
        <f t="shared" si="170"/>
        <v>131</v>
      </c>
      <c r="P1297" s="1" t="str">
        <f t="shared" si="172"/>
        <v>20,131</v>
      </c>
      <c r="Q1297" s="6" t="s">
        <v>10</v>
      </c>
      <c r="R1297" s="1">
        <v>90</v>
      </c>
      <c r="S1297" s="1">
        <v>2.5</v>
      </c>
      <c r="T1297" s="1" t="str">
        <f t="shared" si="171"/>
        <v>-text 20,131 2.5 90 265.789</v>
      </c>
    </row>
    <row r="1298" spans="1:20" x14ac:dyDescent="0.35">
      <c r="A1298" s="1">
        <v>277540</v>
      </c>
      <c r="B1298" s="7">
        <v>1166935.8</v>
      </c>
      <c r="C1298" s="2">
        <v>268.96300000000002</v>
      </c>
      <c r="D1298" s="2">
        <v>269.72199999999998</v>
      </c>
      <c r="E1298" s="2">
        <v>0.76</v>
      </c>
      <c r="F1298" s="2">
        <v>268.291</v>
      </c>
      <c r="G1298" s="2">
        <v>269.00900000000001</v>
      </c>
      <c r="H1298" s="2">
        <v>0.71899999999999997</v>
      </c>
      <c r="I1298" s="2">
        <v>264.61399999999998</v>
      </c>
      <c r="J1298" s="2">
        <v>266.02199999999999</v>
      </c>
      <c r="K1298" s="15">
        <v>2.9870000000000001</v>
      </c>
      <c r="L1298" s="2">
        <v>10.673</v>
      </c>
      <c r="N1298" s="7">
        <f t="shared" si="175"/>
        <v>40</v>
      </c>
      <c r="O1298" s="1">
        <f t="shared" si="170"/>
        <v>131</v>
      </c>
      <c r="P1298" s="1" t="str">
        <f t="shared" si="172"/>
        <v>40,131</v>
      </c>
      <c r="Q1298" s="6" t="s">
        <v>10</v>
      </c>
      <c r="R1298" s="1">
        <v>90</v>
      </c>
      <c r="S1298" s="1">
        <v>2.5</v>
      </c>
      <c r="T1298" s="1" t="str">
        <f t="shared" si="171"/>
        <v>-text 40,131 2.5 90 266.022</v>
      </c>
    </row>
    <row r="1299" spans="1:20" x14ac:dyDescent="0.35">
      <c r="A1299" s="1">
        <v>277560</v>
      </c>
      <c r="B1299" s="7">
        <v>1166955.8</v>
      </c>
      <c r="C1299" s="2">
        <v>269.005</v>
      </c>
      <c r="D1299" s="2">
        <v>269.73099999999999</v>
      </c>
      <c r="E1299" s="2">
        <v>0.72599999999999998</v>
      </c>
      <c r="F1299" s="2">
        <v>268.33300000000003</v>
      </c>
      <c r="G1299" s="2">
        <v>269.01799999999997</v>
      </c>
      <c r="H1299" s="2">
        <v>0.68500000000000005</v>
      </c>
      <c r="I1299" s="2">
        <v>264.76799999999997</v>
      </c>
      <c r="J1299" s="2">
        <v>266.05799999999999</v>
      </c>
      <c r="K1299" s="15">
        <v>2.96</v>
      </c>
      <c r="L1299" s="2">
        <v>10.632999999999999</v>
      </c>
      <c r="N1299" s="7">
        <f t="shared" si="175"/>
        <v>60</v>
      </c>
      <c r="O1299" s="1">
        <f t="shared" si="170"/>
        <v>131</v>
      </c>
      <c r="P1299" s="1" t="str">
        <f t="shared" si="172"/>
        <v>60,131</v>
      </c>
      <c r="Q1299" s="6" t="s">
        <v>10</v>
      </c>
      <c r="R1299" s="1">
        <v>90</v>
      </c>
      <c r="S1299" s="1">
        <v>2.5</v>
      </c>
      <c r="T1299" s="1" t="str">
        <f t="shared" si="171"/>
        <v>-text 60,131 2.5 90 266.058</v>
      </c>
    </row>
    <row r="1300" spans="1:20" x14ac:dyDescent="0.35">
      <c r="A1300" s="1">
        <v>277580</v>
      </c>
      <c r="B1300" s="7">
        <v>1166975.8</v>
      </c>
      <c r="C1300" s="2">
        <v>269.02999999999997</v>
      </c>
      <c r="D1300" s="2">
        <v>269.74</v>
      </c>
      <c r="E1300" s="2">
        <v>0.71</v>
      </c>
      <c r="F1300" s="2">
        <v>268.358</v>
      </c>
      <c r="G1300" s="2">
        <v>269.02699999999999</v>
      </c>
      <c r="H1300" s="2">
        <v>0.66900000000000004</v>
      </c>
      <c r="I1300" s="2">
        <v>264.93</v>
      </c>
      <c r="J1300" s="2">
        <v>265.90699999999998</v>
      </c>
      <c r="K1300" s="15">
        <v>3.12</v>
      </c>
      <c r="L1300" s="2">
        <v>10.606999999999999</v>
      </c>
      <c r="N1300" s="7">
        <f t="shared" si="175"/>
        <v>80</v>
      </c>
      <c r="O1300" s="1">
        <f t="shared" si="170"/>
        <v>131</v>
      </c>
      <c r="P1300" s="1" t="str">
        <f t="shared" si="172"/>
        <v>80,131</v>
      </c>
      <c r="Q1300" s="6" t="s">
        <v>10</v>
      </c>
      <c r="R1300" s="1">
        <v>90</v>
      </c>
      <c r="S1300" s="1">
        <v>2.5</v>
      </c>
      <c r="T1300" s="1" t="str">
        <f t="shared" si="171"/>
        <v>-text 80,131 2.5 90 265.907</v>
      </c>
    </row>
    <row r="1301" spans="1:20" x14ac:dyDescent="0.35">
      <c r="A1301" s="1">
        <v>277600</v>
      </c>
      <c r="B1301" s="7">
        <v>1166995.8</v>
      </c>
      <c r="C1301" s="2">
        <v>269.048</v>
      </c>
      <c r="D1301" s="2">
        <v>269.74900000000002</v>
      </c>
      <c r="E1301" s="2">
        <v>0.70099999999999996</v>
      </c>
      <c r="F1301" s="2">
        <v>268.37599999999998</v>
      </c>
      <c r="G1301" s="2">
        <v>269.036</v>
      </c>
      <c r="H1301" s="2">
        <v>0.66</v>
      </c>
      <c r="I1301" s="2">
        <v>264.899</v>
      </c>
      <c r="J1301" s="2">
        <v>266.69799999999998</v>
      </c>
      <c r="K1301" s="15">
        <v>2.3380000000000001</v>
      </c>
      <c r="L1301" s="2">
        <v>10.586</v>
      </c>
      <c r="N1301" s="7">
        <f t="shared" si="175"/>
        <v>100</v>
      </c>
      <c r="O1301" s="1">
        <f t="shared" si="170"/>
        <v>131</v>
      </c>
      <c r="P1301" s="1" t="str">
        <f t="shared" si="172"/>
        <v>100,131</v>
      </c>
      <c r="Q1301" s="6" t="s">
        <v>10</v>
      </c>
      <c r="R1301" s="1">
        <v>90</v>
      </c>
      <c r="S1301" s="1">
        <v>2.5</v>
      </c>
      <c r="T1301" s="1" t="str">
        <f t="shared" si="171"/>
        <v>-text 100,131 2.5 90 266.698</v>
      </c>
    </row>
    <row r="1302" spans="1:20" x14ac:dyDescent="0.35">
      <c r="A1302" s="1">
        <v>277620</v>
      </c>
      <c r="B1302" s="7">
        <v>1167015.8</v>
      </c>
      <c r="C1302" s="2">
        <v>269.041</v>
      </c>
      <c r="D1302" s="2">
        <v>269.75799999999998</v>
      </c>
      <c r="E1302" s="2">
        <v>0.71699999999999997</v>
      </c>
      <c r="F1302" s="2">
        <v>268.36900000000003</v>
      </c>
      <c r="G1302" s="2">
        <v>269.04500000000002</v>
      </c>
      <c r="H1302" s="2">
        <v>0.67600000000000005</v>
      </c>
      <c r="I1302" s="2">
        <v>264.92500000000001</v>
      </c>
      <c r="J1302" s="2">
        <v>266.745</v>
      </c>
      <c r="K1302" s="15">
        <v>2.2999999999999998</v>
      </c>
      <c r="L1302" s="2">
        <v>10.557</v>
      </c>
      <c r="N1302" s="7">
        <f t="shared" si="175"/>
        <v>120</v>
      </c>
      <c r="O1302" s="1">
        <f t="shared" si="170"/>
        <v>131</v>
      </c>
      <c r="P1302" s="1" t="str">
        <f t="shared" si="172"/>
        <v>120,131</v>
      </c>
      <c r="Q1302" s="6" t="s">
        <v>10</v>
      </c>
      <c r="R1302" s="1">
        <v>90</v>
      </c>
      <c r="S1302" s="1">
        <v>2.5</v>
      </c>
      <c r="T1302" s="1" t="str">
        <f t="shared" si="171"/>
        <v>-text 120,131 2.5 90 266.745</v>
      </c>
    </row>
    <row r="1303" spans="1:20" x14ac:dyDescent="0.35">
      <c r="A1303" s="1">
        <v>277640</v>
      </c>
      <c r="B1303" s="7">
        <v>1167035.8</v>
      </c>
      <c r="C1303" s="2">
        <v>269.029</v>
      </c>
      <c r="D1303" s="2">
        <v>269.767</v>
      </c>
      <c r="E1303" s="2">
        <v>0.73899999999999999</v>
      </c>
      <c r="F1303" s="2">
        <v>268.35700000000003</v>
      </c>
      <c r="G1303" s="2">
        <v>269.05399999999997</v>
      </c>
      <c r="H1303" s="2">
        <v>0.69799999999999995</v>
      </c>
      <c r="I1303" s="2">
        <v>265.12299999999999</v>
      </c>
      <c r="J1303" s="2">
        <v>266.57499999999999</v>
      </c>
      <c r="K1303" s="15">
        <v>2.4790000000000001</v>
      </c>
      <c r="L1303" s="2">
        <v>10.526</v>
      </c>
      <c r="N1303" s="7">
        <f t="shared" si="175"/>
        <v>140</v>
      </c>
      <c r="O1303" s="1">
        <f t="shared" si="170"/>
        <v>131</v>
      </c>
      <c r="P1303" s="1" t="str">
        <f t="shared" si="172"/>
        <v>140,131</v>
      </c>
      <c r="Q1303" s="6" t="s">
        <v>10</v>
      </c>
      <c r="R1303" s="1">
        <v>90</v>
      </c>
      <c r="S1303" s="1">
        <v>2.5</v>
      </c>
      <c r="T1303" s="1" t="str">
        <f t="shared" si="171"/>
        <v>-text 140,131 2.5 90 266.575</v>
      </c>
    </row>
    <row r="1304" spans="1:20" x14ac:dyDescent="0.35">
      <c r="A1304" s="1">
        <v>277660</v>
      </c>
      <c r="B1304" s="7">
        <v>1167055.8</v>
      </c>
      <c r="C1304" s="2">
        <v>269.02100000000002</v>
      </c>
      <c r="D1304" s="2">
        <v>269.77600000000001</v>
      </c>
      <c r="E1304" s="2">
        <v>0.755</v>
      </c>
      <c r="F1304" s="2">
        <v>268.34899999999999</v>
      </c>
      <c r="G1304" s="2">
        <v>269.06299999999999</v>
      </c>
      <c r="H1304" s="2">
        <v>0.71399999999999997</v>
      </c>
      <c r="I1304" s="2">
        <v>265.29199999999997</v>
      </c>
      <c r="J1304" s="2">
        <v>266.28399999999999</v>
      </c>
      <c r="K1304" s="15">
        <v>2.78</v>
      </c>
      <c r="L1304" s="2">
        <v>10.49</v>
      </c>
      <c r="N1304" s="7">
        <f t="shared" si="175"/>
        <v>160</v>
      </c>
      <c r="O1304" s="1">
        <f t="shared" si="170"/>
        <v>131</v>
      </c>
      <c r="P1304" s="1" t="str">
        <f t="shared" si="172"/>
        <v>160,131</v>
      </c>
      <c r="Q1304" s="6" t="s">
        <v>10</v>
      </c>
      <c r="R1304" s="1">
        <v>90</v>
      </c>
      <c r="S1304" s="1">
        <v>2.5</v>
      </c>
      <c r="T1304" s="1" t="str">
        <f t="shared" si="171"/>
        <v>-text 160,131 2.5 90 266.284</v>
      </c>
    </row>
    <row r="1305" spans="1:20" x14ac:dyDescent="0.35">
      <c r="A1305" s="1">
        <v>277680</v>
      </c>
      <c r="B1305" s="7">
        <v>1167075.8</v>
      </c>
      <c r="C1305" s="2">
        <v>269.01499999999999</v>
      </c>
      <c r="D1305" s="2">
        <v>269.78500000000003</v>
      </c>
      <c r="E1305" s="2">
        <v>0.77100000000000002</v>
      </c>
      <c r="F1305" s="2">
        <v>268.34300000000002</v>
      </c>
      <c r="G1305" s="2">
        <v>269.072</v>
      </c>
      <c r="H1305" s="2">
        <v>0.73</v>
      </c>
      <c r="I1305" s="2">
        <v>265.38799999999998</v>
      </c>
      <c r="J1305" s="2">
        <v>266.30399999999997</v>
      </c>
      <c r="K1305" s="15">
        <v>2.7690000000000001</v>
      </c>
      <c r="L1305" s="2">
        <v>10.452999999999999</v>
      </c>
      <c r="N1305" s="7">
        <f t="shared" si="175"/>
        <v>180</v>
      </c>
      <c r="O1305" s="1">
        <f t="shared" si="170"/>
        <v>131</v>
      </c>
      <c r="P1305" s="1" t="str">
        <f t="shared" si="172"/>
        <v>180,131</v>
      </c>
      <c r="Q1305" s="6" t="s">
        <v>10</v>
      </c>
      <c r="R1305" s="1">
        <v>90</v>
      </c>
      <c r="S1305" s="1">
        <v>2.5</v>
      </c>
      <c r="T1305" s="1" t="str">
        <f t="shared" si="171"/>
        <v>-text 180,131 2.5 90 266.304</v>
      </c>
    </row>
    <row r="1306" spans="1:20" x14ac:dyDescent="0.35">
      <c r="A1306" s="1">
        <v>277700</v>
      </c>
      <c r="B1306" s="7">
        <v>1167095.8</v>
      </c>
      <c r="C1306" s="2">
        <v>269.02199999999999</v>
      </c>
      <c r="D1306" s="2">
        <v>269.79399999999998</v>
      </c>
      <c r="E1306" s="2">
        <v>0.77200000000000002</v>
      </c>
      <c r="F1306" s="2">
        <v>268.35000000000002</v>
      </c>
      <c r="G1306" s="2">
        <v>269.08100000000002</v>
      </c>
      <c r="H1306" s="2">
        <v>0.73099999999999998</v>
      </c>
      <c r="I1306" s="2">
        <v>265.38400000000001</v>
      </c>
      <c r="J1306" s="2">
        <v>266.17200000000003</v>
      </c>
      <c r="K1306" s="15">
        <v>2.9089999999999998</v>
      </c>
      <c r="L1306" s="2">
        <v>10.382</v>
      </c>
      <c r="N1306" s="7">
        <f t="shared" si="175"/>
        <v>200</v>
      </c>
      <c r="O1306" s="1">
        <f t="shared" si="170"/>
        <v>131</v>
      </c>
      <c r="P1306" s="1" t="str">
        <f t="shared" si="172"/>
        <v>200,131</v>
      </c>
      <c r="Q1306" s="6" t="s">
        <v>10</v>
      </c>
      <c r="R1306" s="1">
        <v>90</v>
      </c>
      <c r="S1306" s="1">
        <v>2.5</v>
      </c>
      <c r="T1306" s="1" t="str">
        <f t="shared" si="171"/>
        <v>-text 200,131 2.5 90 266.172</v>
      </c>
    </row>
    <row r="1307" spans="1:20" x14ac:dyDescent="0.35">
      <c r="A1307" s="1">
        <v>277720</v>
      </c>
      <c r="B1307" s="7">
        <v>1167115.8</v>
      </c>
      <c r="C1307" s="2">
        <v>269.02999999999997</v>
      </c>
      <c r="D1307" s="2">
        <v>269.803</v>
      </c>
      <c r="E1307" s="2">
        <v>0.77400000000000002</v>
      </c>
      <c r="F1307" s="2">
        <v>268.358</v>
      </c>
      <c r="G1307" s="2">
        <v>269.08999999999997</v>
      </c>
      <c r="H1307" s="2">
        <v>0.73299999999999998</v>
      </c>
      <c r="I1307" s="2">
        <v>265.56099999999998</v>
      </c>
      <c r="J1307" s="2">
        <v>266.161</v>
      </c>
      <c r="K1307" s="15">
        <v>2.93</v>
      </c>
      <c r="L1307" s="2">
        <v>10.311999999999999</v>
      </c>
      <c r="N1307" s="7">
        <f t="shared" si="175"/>
        <v>220</v>
      </c>
      <c r="O1307" s="1">
        <f t="shared" si="170"/>
        <v>131</v>
      </c>
      <c r="P1307" s="1" t="str">
        <f t="shared" si="172"/>
        <v>220,131</v>
      </c>
      <c r="Q1307" s="6" t="s">
        <v>10</v>
      </c>
      <c r="R1307" s="1">
        <v>90</v>
      </c>
      <c r="S1307" s="1">
        <v>2.5</v>
      </c>
      <c r="T1307" s="1" t="str">
        <f t="shared" si="171"/>
        <v>-text 220,131 2.5 90 266.161</v>
      </c>
    </row>
    <row r="1308" spans="1:20" x14ac:dyDescent="0.35">
      <c r="A1308" s="1">
        <v>277740</v>
      </c>
      <c r="B1308" s="7">
        <v>1167135.8</v>
      </c>
      <c r="C1308" s="2">
        <v>269.03500000000003</v>
      </c>
      <c r="D1308" s="2">
        <v>269.81299999999999</v>
      </c>
      <c r="E1308" s="2">
        <v>0.77800000000000002</v>
      </c>
      <c r="F1308" s="2">
        <v>268.363</v>
      </c>
      <c r="G1308" s="2">
        <v>269.10000000000002</v>
      </c>
      <c r="H1308" s="2">
        <v>0.73699999999999999</v>
      </c>
      <c r="I1308" s="2">
        <v>265.55500000000001</v>
      </c>
      <c r="J1308" s="2">
        <v>266.14499999999998</v>
      </c>
      <c r="K1308" s="15">
        <v>2.9550000000000001</v>
      </c>
      <c r="L1308" s="2">
        <v>10.282999999999999</v>
      </c>
      <c r="N1308" s="7">
        <f t="shared" si="175"/>
        <v>240</v>
      </c>
      <c r="O1308" s="1">
        <f t="shared" si="170"/>
        <v>131</v>
      </c>
      <c r="P1308" s="1" t="str">
        <f t="shared" si="172"/>
        <v>240,131</v>
      </c>
      <c r="Q1308" s="6" t="s">
        <v>10</v>
      </c>
      <c r="R1308" s="1">
        <v>90</v>
      </c>
      <c r="S1308" s="1">
        <v>2.5</v>
      </c>
      <c r="T1308" s="1" t="str">
        <f t="shared" si="171"/>
        <v>-text 240,131 2.5 90 266.145</v>
      </c>
    </row>
    <row r="1309" spans="1:20" x14ac:dyDescent="0.35">
      <c r="A1309" s="1">
        <v>277760</v>
      </c>
      <c r="B1309" s="7">
        <v>1167155.8</v>
      </c>
      <c r="C1309" s="2">
        <v>269.04000000000002</v>
      </c>
      <c r="D1309" s="2">
        <v>269.822</v>
      </c>
      <c r="E1309" s="2">
        <v>0.78200000000000003</v>
      </c>
      <c r="F1309" s="2">
        <v>268.36799999999999</v>
      </c>
      <c r="G1309" s="2">
        <v>269.10899999999998</v>
      </c>
      <c r="H1309" s="2">
        <v>0.74099999999999999</v>
      </c>
      <c r="I1309" s="2">
        <v>265.57799999999997</v>
      </c>
      <c r="J1309" s="2">
        <v>266.173</v>
      </c>
      <c r="K1309" s="15">
        <v>2.9359999999999999</v>
      </c>
      <c r="L1309" s="2">
        <v>10.256</v>
      </c>
      <c r="N1309" s="7">
        <f t="shared" si="175"/>
        <v>260</v>
      </c>
      <c r="O1309" s="1">
        <f t="shared" si="170"/>
        <v>131</v>
      </c>
      <c r="P1309" s="1" t="str">
        <f t="shared" si="172"/>
        <v>260,131</v>
      </c>
      <c r="Q1309" s="6" t="s">
        <v>10</v>
      </c>
      <c r="R1309" s="1">
        <v>90</v>
      </c>
      <c r="S1309" s="1">
        <v>2.5</v>
      </c>
      <c r="T1309" s="1" t="str">
        <f t="shared" si="171"/>
        <v>-text 260,131 2.5 90 266.173</v>
      </c>
    </row>
    <row r="1310" spans="1:20" x14ac:dyDescent="0.35">
      <c r="A1310" s="1">
        <v>277780</v>
      </c>
      <c r="B1310" s="7">
        <v>1167175.8</v>
      </c>
      <c r="C1310" s="2">
        <v>269.04599999999999</v>
      </c>
      <c r="D1310" s="2">
        <v>269.83100000000002</v>
      </c>
      <c r="E1310" s="2">
        <v>0.78400000000000003</v>
      </c>
      <c r="F1310" s="2">
        <v>268.37400000000002</v>
      </c>
      <c r="G1310" s="2">
        <v>269.11799999999999</v>
      </c>
      <c r="H1310" s="2">
        <v>0.74299999999999999</v>
      </c>
      <c r="I1310" s="2">
        <v>265.58999999999997</v>
      </c>
      <c r="J1310" s="2">
        <v>266.21499999999997</v>
      </c>
      <c r="K1310" s="15">
        <v>2.903</v>
      </c>
      <c r="L1310" s="2">
        <v>10.244999999999999</v>
      </c>
      <c r="N1310" s="7">
        <f t="shared" si="175"/>
        <v>280</v>
      </c>
      <c r="O1310" s="1">
        <f t="shared" si="170"/>
        <v>131</v>
      </c>
      <c r="P1310" s="1" t="str">
        <f t="shared" si="172"/>
        <v>280,131</v>
      </c>
      <c r="Q1310" s="6" t="s">
        <v>10</v>
      </c>
      <c r="R1310" s="1">
        <v>90</v>
      </c>
      <c r="S1310" s="1">
        <v>2.5</v>
      </c>
      <c r="T1310" s="1" t="str">
        <f t="shared" si="171"/>
        <v>-text 280,131 2.5 90 266.215</v>
      </c>
    </row>
    <row r="1311" spans="1:20" x14ac:dyDescent="0.35">
      <c r="A1311" s="1">
        <v>277800</v>
      </c>
      <c r="B1311" s="7">
        <v>1167195.8</v>
      </c>
      <c r="C1311" s="2">
        <v>269.04599999999999</v>
      </c>
      <c r="D1311" s="2">
        <v>269.83999999999997</v>
      </c>
      <c r="E1311" s="2">
        <v>0.79400000000000004</v>
      </c>
      <c r="F1311" s="2">
        <v>268.37400000000002</v>
      </c>
      <c r="G1311" s="2">
        <v>269.12700000000001</v>
      </c>
      <c r="H1311" s="2">
        <v>0.753</v>
      </c>
      <c r="I1311" s="2">
        <v>265.53699999999998</v>
      </c>
      <c r="J1311" s="2">
        <v>266.14800000000002</v>
      </c>
      <c r="K1311" s="15">
        <v>2.9790000000000001</v>
      </c>
      <c r="L1311" s="2">
        <v>10.228</v>
      </c>
      <c r="N1311" s="7">
        <f t="shared" si="175"/>
        <v>300</v>
      </c>
      <c r="O1311" s="1">
        <f t="shared" si="170"/>
        <v>131</v>
      </c>
      <c r="P1311" s="1" t="str">
        <f t="shared" si="172"/>
        <v>300,131</v>
      </c>
      <c r="Q1311" s="6" t="s">
        <v>10</v>
      </c>
      <c r="R1311" s="1">
        <v>90</v>
      </c>
      <c r="S1311" s="1">
        <v>2.5</v>
      </c>
      <c r="T1311" s="1" t="str">
        <f t="shared" si="171"/>
        <v>-text 300,131 2.5 90 266.148</v>
      </c>
    </row>
    <row r="1312" spans="1:20" x14ac:dyDescent="0.35">
      <c r="A1312" s="1">
        <v>277820</v>
      </c>
      <c r="B1312" s="7">
        <v>1167215.8</v>
      </c>
      <c r="C1312" s="2">
        <v>269.03199999999998</v>
      </c>
      <c r="D1312" s="2">
        <v>269.84899999999999</v>
      </c>
      <c r="E1312" s="2">
        <v>0.81699999999999995</v>
      </c>
      <c r="F1312" s="2">
        <v>268.36</v>
      </c>
      <c r="G1312" s="2">
        <v>269.13600000000002</v>
      </c>
      <c r="H1312" s="2">
        <v>0.77600000000000002</v>
      </c>
      <c r="I1312" s="2">
        <v>265.322</v>
      </c>
      <c r="J1312" s="2">
        <v>266.053</v>
      </c>
      <c r="K1312" s="15">
        <v>3.0830000000000002</v>
      </c>
      <c r="L1312" s="2">
        <v>10.198</v>
      </c>
      <c r="N1312" s="7">
        <f t="shared" si="175"/>
        <v>320</v>
      </c>
      <c r="O1312" s="1">
        <f t="shared" si="170"/>
        <v>131</v>
      </c>
      <c r="P1312" s="1" t="str">
        <f t="shared" si="172"/>
        <v>320,131</v>
      </c>
      <c r="Q1312" s="6" t="s">
        <v>10</v>
      </c>
      <c r="R1312" s="1">
        <v>90</v>
      </c>
      <c r="S1312" s="1">
        <v>2.5</v>
      </c>
      <c r="T1312" s="1" t="str">
        <f t="shared" si="171"/>
        <v>-text 320,131 2.5 90 266.053</v>
      </c>
    </row>
    <row r="1313" spans="1:20" x14ac:dyDescent="0.35">
      <c r="A1313" s="1">
        <v>277840</v>
      </c>
      <c r="B1313" s="7">
        <v>1167235.8</v>
      </c>
      <c r="C1313" s="2">
        <v>269.072</v>
      </c>
      <c r="D1313" s="2">
        <v>269.858</v>
      </c>
      <c r="E1313" s="2">
        <v>0.78600000000000003</v>
      </c>
      <c r="F1313" s="2">
        <v>268.39999999999998</v>
      </c>
      <c r="G1313" s="2">
        <v>269.14499999999998</v>
      </c>
      <c r="H1313" s="2">
        <v>0.745</v>
      </c>
      <c r="I1313" s="2">
        <v>265.27100000000002</v>
      </c>
      <c r="J1313" s="2">
        <v>266.16800000000001</v>
      </c>
      <c r="K1313" s="15">
        <v>2.976</v>
      </c>
      <c r="L1313" s="2">
        <v>10.177</v>
      </c>
      <c r="N1313" s="7">
        <f t="shared" si="175"/>
        <v>340</v>
      </c>
      <c r="O1313" s="1">
        <f t="shared" ref="O1313:O1381" si="176">19+16+16+16+16+16+16+16</f>
        <v>131</v>
      </c>
      <c r="P1313" s="1" t="str">
        <f t="shared" si="172"/>
        <v>340,131</v>
      </c>
      <c r="Q1313" s="6" t="s">
        <v>10</v>
      </c>
      <c r="R1313" s="1">
        <v>90</v>
      </c>
      <c r="S1313" s="1">
        <v>2.5</v>
      </c>
      <c r="T1313" s="1" t="str">
        <f t="shared" ref="T1313:T1381" si="177">$Q1313&amp;" "&amp;$P1313&amp;" "&amp;$S1313&amp;" "&amp;$R1313&amp;" "&amp;$J1313</f>
        <v>-text 340,131 2.5 90 266.168</v>
      </c>
    </row>
    <row r="1314" spans="1:20" x14ac:dyDescent="0.35">
      <c r="A1314" s="1">
        <v>277860</v>
      </c>
      <c r="B1314" s="7">
        <v>1167255.8</v>
      </c>
      <c r="C1314" s="2">
        <v>269.15800000000002</v>
      </c>
      <c r="D1314" s="2">
        <v>269.86700000000002</v>
      </c>
      <c r="E1314" s="2">
        <v>0.70899999999999996</v>
      </c>
      <c r="F1314" s="2">
        <v>268.48599999999999</v>
      </c>
      <c r="G1314" s="2">
        <v>269.154</v>
      </c>
      <c r="H1314" s="2">
        <v>0.66800000000000004</v>
      </c>
      <c r="I1314" s="2">
        <v>265.41500000000002</v>
      </c>
      <c r="J1314" s="2">
        <v>266.26600000000002</v>
      </c>
      <c r="K1314" s="15">
        <v>2.8879999999999999</v>
      </c>
      <c r="L1314" s="2">
        <v>10.164999999999999</v>
      </c>
      <c r="N1314" s="7">
        <f t="shared" si="175"/>
        <v>360</v>
      </c>
      <c r="O1314" s="1">
        <f t="shared" si="176"/>
        <v>131</v>
      </c>
      <c r="P1314" s="1" t="str">
        <f t="shared" si="172"/>
        <v>360,131</v>
      </c>
      <c r="Q1314" s="6" t="s">
        <v>10</v>
      </c>
      <c r="R1314" s="1">
        <v>90</v>
      </c>
      <c r="S1314" s="1">
        <v>2.5</v>
      </c>
      <c r="T1314" s="1" t="str">
        <f t="shared" si="177"/>
        <v>-text 360,131 2.5 90 266.266</v>
      </c>
    </row>
    <row r="1315" spans="1:20" x14ac:dyDescent="0.35">
      <c r="A1315" s="1">
        <v>277880</v>
      </c>
      <c r="B1315" s="7">
        <v>1167275.8</v>
      </c>
      <c r="C1315" s="2">
        <v>269.21300000000002</v>
      </c>
      <c r="D1315" s="2">
        <v>269.87599999999998</v>
      </c>
      <c r="E1315" s="2">
        <v>0.66300000000000003</v>
      </c>
      <c r="F1315" s="2">
        <v>268.541</v>
      </c>
      <c r="G1315" s="2">
        <v>269.16300000000001</v>
      </c>
      <c r="H1315" s="2">
        <v>0.622</v>
      </c>
      <c r="I1315" s="2">
        <v>265.601</v>
      </c>
      <c r="J1315" s="2">
        <v>266.28100000000001</v>
      </c>
      <c r="K1315" s="15">
        <v>2.8820000000000001</v>
      </c>
      <c r="L1315" s="2">
        <v>10.112</v>
      </c>
      <c r="N1315" s="7">
        <f t="shared" si="175"/>
        <v>380</v>
      </c>
      <c r="O1315" s="1">
        <f t="shared" si="176"/>
        <v>131</v>
      </c>
      <c r="P1315" s="1" t="str">
        <f t="shared" ref="P1315:P1383" si="178">CONCATENATE(N1315,",",O1315)</f>
        <v>380,131</v>
      </c>
      <c r="Q1315" s="6" t="s">
        <v>10</v>
      </c>
      <c r="R1315" s="1">
        <v>90</v>
      </c>
      <c r="S1315" s="1">
        <v>2.5</v>
      </c>
      <c r="T1315" s="1" t="str">
        <f t="shared" si="177"/>
        <v>-text 380,131 2.5 90 266.281</v>
      </c>
    </row>
    <row r="1316" spans="1:20" x14ac:dyDescent="0.35">
      <c r="A1316" s="1">
        <v>277900</v>
      </c>
      <c r="B1316" s="7">
        <v>1167295.8</v>
      </c>
      <c r="C1316" s="2">
        <v>269.25599999999997</v>
      </c>
      <c r="D1316" s="2">
        <v>269.88499999999999</v>
      </c>
      <c r="E1316" s="2">
        <v>0.629</v>
      </c>
      <c r="F1316" s="2">
        <v>268.584</v>
      </c>
      <c r="G1316" s="2">
        <v>269.17200000000003</v>
      </c>
      <c r="H1316" s="2">
        <v>0.58799999999999997</v>
      </c>
      <c r="I1316" s="2">
        <v>265.726</v>
      </c>
      <c r="J1316" s="2">
        <v>266.36599999999999</v>
      </c>
      <c r="K1316" s="15">
        <v>2.806</v>
      </c>
      <c r="L1316" s="2">
        <v>10.026</v>
      </c>
      <c r="N1316" s="7">
        <f t="shared" si="175"/>
        <v>400</v>
      </c>
      <c r="O1316" s="1">
        <f t="shared" si="176"/>
        <v>131</v>
      </c>
      <c r="P1316" s="1" t="str">
        <f t="shared" si="178"/>
        <v>400,131</v>
      </c>
      <c r="Q1316" s="6" t="s">
        <v>10</v>
      </c>
      <c r="R1316" s="1">
        <v>90</v>
      </c>
      <c r="S1316" s="1">
        <v>2.5</v>
      </c>
      <c r="T1316" s="1" t="str">
        <f t="shared" si="177"/>
        <v>-text 400,131 2.5 90 266.366</v>
      </c>
    </row>
    <row r="1317" spans="1:20" x14ac:dyDescent="0.35">
      <c r="A1317" s="1">
        <v>277920</v>
      </c>
      <c r="B1317" s="7">
        <v>1167315.8</v>
      </c>
      <c r="C1317" s="2">
        <v>269.315</v>
      </c>
      <c r="D1317" s="2">
        <v>269.89400000000001</v>
      </c>
      <c r="E1317" s="2">
        <v>0.57899999999999996</v>
      </c>
      <c r="F1317" s="2">
        <v>268.64299999999997</v>
      </c>
      <c r="G1317" s="2">
        <v>269.18099999999998</v>
      </c>
      <c r="H1317" s="2">
        <v>0.53800000000000003</v>
      </c>
      <c r="I1317" s="2">
        <v>265.74</v>
      </c>
      <c r="J1317" s="2">
        <v>266.46699999999998</v>
      </c>
      <c r="K1317" s="15">
        <v>2.714</v>
      </c>
      <c r="L1317" s="2">
        <v>9.9930000000000003</v>
      </c>
      <c r="N1317" s="7">
        <f t="shared" si="175"/>
        <v>420</v>
      </c>
      <c r="O1317" s="1">
        <f t="shared" si="176"/>
        <v>131</v>
      </c>
      <c r="P1317" s="1" t="str">
        <f t="shared" si="178"/>
        <v>420,131</v>
      </c>
      <c r="Q1317" s="6" t="s">
        <v>10</v>
      </c>
      <c r="R1317" s="1">
        <v>90</v>
      </c>
      <c r="S1317" s="1">
        <v>2.5</v>
      </c>
      <c r="T1317" s="1" t="str">
        <f t="shared" si="177"/>
        <v>-text 420,131 2.5 90 266.467</v>
      </c>
    </row>
    <row r="1318" spans="1:20" x14ac:dyDescent="0.35">
      <c r="A1318" s="1">
        <v>277940</v>
      </c>
      <c r="B1318" s="7">
        <v>1167335.8</v>
      </c>
      <c r="C1318" s="2">
        <v>269.375</v>
      </c>
      <c r="D1318" s="2">
        <v>269.90300000000002</v>
      </c>
      <c r="E1318" s="2">
        <v>0.52800000000000002</v>
      </c>
      <c r="F1318" s="2">
        <v>268.70299999999997</v>
      </c>
      <c r="G1318" s="2">
        <v>269.19</v>
      </c>
      <c r="H1318" s="2">
        <v>0.48699999999999999</v>
      </c>
      <c r="I1318" s="2">
        <v>265.76400000000001</v>
      </c>
      <c r="J1318" s="2">
        <v>266.63600000000002</v>
      </c>
      <c r="K1318" s="15">
        <v>2.5539999999999998</v>
      </c>
      <c r="L1318" s="2">
        <v>9.968</v>
      </c>
      <c r="N1318" s="7">
        <f t="shared" si="175"/>
        <v>440</v>
      </c>
      <c r="O1318" s="1">
        <f t="shared" si="176"/>
        <v>131</v>
      </c>
      <c r="P1318" s="1" t="str">
        <f t="shared" si="178"/>
        <v>440,131</v>
      </c>
      <c r="Q1318" s="6" t="s">
        <v>10</v>
      </c>
      <c r="R1318" s="1">
        <v>90</v>
      </c>
      <c r="S1318" s="1">
        <v>2.5</v>
      </c>
      <c r="T1318" s="1" t="str">
        <f t="shared" si="177"/>
        <v>-text 440,131 2.5 90 266.636</v>
      </c>
    </row>
    <row r="1319" spans="1:20" x14ac:dyDescent="0.35">
      <c r="A1319" s="1">
        <v>277960</v>
      </c>
      <c r="B1319" s="7">
        <v>1167355.8</v>
      </c>
      <c r="C1319" s="2">
        <v>269.41899999999998</v>
      </c>
      <c r="D1319" s="2">
        <v>269.91199999999998</v>
      </c>
      <c r="E1319" s="2">
        <v>0.49299999999999999</v>
      </c>
      <c r="F1319" s="2">
        <v>268.74700000000001</v>
      </c>
      <c r="G1319" s="2">
        <v>269.19900000000001</v>
      </c>
      <c r="H1319" s="2">
        <v>0.45200000000000001</v>
      </c>
      <c r="I1319" s="2">
        <v>265.637</v>
      </c>
      <c r="J1319" s="2">
        <v>266.68900000000002</v>
      </c>
      <c r="K1319" s="15">
        <v>2.5099999999999998</v>
      </c>
      <c r="L1319" s="2">
        <v>9.9329999999999998</v>
      </c>
      <c r="N1319" s="7">
        <f t="shared" si="175"/>
        <v>460</v>
      </c>
      <c r="O1319" s="1">
        <f t="shared" si="176"/>
        <v>131</v>
      </c>
      <c r="P1319" s="1" t="str">
        <f t="shared" si="178"/>
        <v>460,131</v>
      </c>
      <c r="Q1319" s="6" t="s">
        <v>10</v>
      </c>
      <c r="R1319" s="1">
        <v>90</v>
      </c>
      <c r="S1319" s="1">
        <v>2.5</v>
      </c>
      <c r="T1319" s="1" t="str">
        <f t="shared" si="177"/>
        <v>-text 460,131 2.5 90 266.689</v>
      </c>
    </row>
    <row r="1320" spans="1:20" x14ac:dyDescent="0.35">
      <c r="A1320" s="1">
        <v>277980</v>
      </c>
      <c r="B1320" s="7">
        <v>1167375.8</v>
      </c>
      <c r="C1320" s="2">
        <v>269.45999999999998</v>
      </c>
      <c r="D1320" s="2">
        <v>269.92</v>
      </c>
      <c r="E1320" s="2">
        <v>0.46100000000000002</v>
      </c>
      <c r="F1320" s="2">
        <v>268.78800000000001</v>
      </c>
      <c r="G1320" s="2">
        <v>269.20699999999999</v>
      </c>
      <c r="H1320" s="2">
        <v>0.42</v>
      </c>
      <c r="I1320" s="2">
        <v>265.61</v>
      </c>
      <c r="J1320" s="2">
        <v>266.62299999999999</v>
      </c>
      <c r="K1320" s="15">
        <v>2.5840000000000001</v>
      </c>
      <c r="L1320" s="2">
        <v>9.9030000000000005</v>
      </c>
      <c r="N1320" s="7">
        <f t="shared" si="175"/>
        <v>480</v>
      </c>
      <c r="O1320" s="1">
        <f t="shared" si="176"/>
        <v>131</v>
      </c>
      <c r="P1320" s="1" t="str">
        <f t="shared" si="178"/>
        <v>480,131</v>
      </c>
      <c r="Q1320" s="6" t="s">
        <v>10</v>
      </c>
      <c r="R1320" s="1">
        <v>90</v>
      </c>
      <c r="S1320" s="1">
        <v>2.5</v>
      </c>
      <c r="T1320" s="1" t="str">
        <f t="shared" si="177"/>
        <v>-text 480,131 2.5 90 266.623</v>
      </c>
    </row>
    <row r="1321" spans="1:20" x14ac:dyDescent="0.35">
      <c r="A1321" s="1">
        <v>278000</v>
      </c>
      <c r="B1321" s="7">
        <v>1167395.8</v>
      </c>
      <c r="C1321" s="2">
        <v>269.48500000000001</v>
      </c>
      <c r="D1321" s="2">
        <v>269.92200000000003</v>
      </c>
      <c r="E1321" s="2">
        <v>0.438</v>
      </c>
      <c r="F1321" s="2">
        <v>268.81299999999999</v>
      </c>
      <c r="G1321" s="2">
        <v>269.209</v>
      </c>
      <c r="H1321" s="2">
        <v>0.39700000000000002</v>
      </c>
      <c r="I1321" s="2">
        <v>265.53199999999998</v>
      </c>
      <c r="J1321" s="2">
        <v>266.49099999999999</v>
      </c>
      <c r="K1321" s="15">
        <v>2.718</v>
      </c>
      <c r="L1321" s="2">
        <v>9.8829999999999991</v>
      </c>
      <c r="N1321" s="7">
        <f t="shared" si="175"/>
        <v>500</v>
      </c>
      <c r="O1321" s="1">
        <f t="shared" si="176"/>
        <v>131</v>
      </c>
      <c r="P1321" s="1" t="str">
        <f t="shared" si="178"/>
        <v>500,131</v>
      </c>
      <c r="Q1321" s="6" t="s">
        <v>10</v>
      </c>
      <c r="R1321" s="1">
        <v>90</v>
      </c>
      <c r="S1321" s="1">
        <v>2.5</v>
      </c>
      <c r="T1321" s="1" t="str">
        <f t="shared" si="177"/>
        <v>-text 500,131 2.5 90 266.491</v>
      </c>
    </row>
    <row r="1322" spans="1:20" x14ac:dyDescent="0.35">
      <c r="A1322" s="1">
        <v>278020</v>
      </c>
      <c r="B1322" s="7">
        <v>1167415.8</v>
      </c>
      <c r="C1322" s="2">
        <v>269.50299999999999</v>
      </c>
      <c r="D1322" s="2">
        <v>269.92399999999998</v>
      </c>
      <c r="E1322" s="2">
        <v>0.42099999999999999</v>
      </c>
      <c r="F1322" s="2">
        <v>268.83100000000002</v>
      </c>
      <c r="G1322" s="2">
        <v>269.21100000000001</v>
      </c>
      <c r="H1322" s="2">
        <v>0.38</v>
      </c>
      <c r="I1322" s="2">
        <v>265.26400000000001</v>
      </c>
      <c r="J1322" s="2">
        <v>266.505</v>
      </c>
      <c r="K1322" s="15">
        <v>2.706</v>
      </c>
      <c r="L1322" s="2">
        <v>9.8569999999999993</v>
      </c>
      <c r="N1322" s="7">
        <f t="shared" si="175"/>
        <v>520</v>
      </c>
      <c r="O1322" s="1">
        <f t="shared" si="176"/>
        <v>131</v>
      </c>
      <c r="P1322" s="1" t="str">
        <f t="shared" si="178"/>
        <v>520,131</v>
      </c>
      <c r="Q1322" s="6" t="s">
        <v>10</v>
      </c>
      <c r="R1322" s="1">
        <v>90</v>
      </c>
      <c r="S1322" s="1">
        <v>2.5</v>
      </c>
      <c r="T1322" s="1" t="str">
        <f t="shared" si="177"/>
        <v>-text 520,131 2.5 90 266.505</v>
      </c>
    </row>
    <row r="1323" spans="1:20" x14ac:dyDescent="0.35">
      <c r="A1323" s="1">
        <v>278035.18304650002</v>
      </c>
      <c r="B1323" s="7">
        <v>1167431</v>
      </c>
      <c r="C1323" s="2">
        <v>269.51100000000002</v>
      </c>
      <c r="D1323" s="2">
        <v>269.92500000000001</v>
      </c>
      <c r="E1323" s="2">
        <v>0.41399999999999998</v>
      </c>
      <c r="F1323" s="2">
        <v>268.839</v>
      </c>
      <c r="G1323" s="2">
        <v>269.21199999999999</v>
      </c>
      <c r="H1323" s="2">
        <v>0.373</v>
      </c>
      <c r="I1323" s="2">
        <v>265.12299999999999</v>
      </c>
      <c r="J1323" s="2">
        <v>266.387</v>
      </c>
      <c r="K1323" s="15">
        <v>2.8250000000000002</v>
      </c>
      <c r="L1323" s="2">
        <v>9.8309999999999995</v>
      </c>
      <c r="N1323" s="7">
        <f t="shared" si="175"/>
        <v>535.19999999995343</v>
      </c>
      <c r="O1323" s="1">
        <f t="shared" si="176"/>
        <v>131</v>
      </c>
      <c r="P1323" s="1" t="str">
        <f t="shared" si="178"/>
        <v>535.199999999953,131</v>
      </c>
      <c r="Q1323" s="6" t="s">
        <v>10</v>
      </c>
      <c r="R1323" s="1">
        <v>90</v>
      </c>
      <c r="S1323" s="1">
        <v>2.5</v>
      </c>
      <c r="T1323" s="1" t="str">
        <f t="shared" si="177"/>
        <v>-text 535.199999999953,131 2.5 90 266.387</v>
      </c>
    </row>
    <row r="1324" spans="1:20" s="10" customFormat="1" x14ac:dyDescent="0.35">
      <c r="B1324" s="11"/>
      <c r="C1324" s="9"/>
      <c r="D1324" s="9"/>
      <c r="E1324" s="9"/>
      <c r="F1324" s="9"/>
      <c r="G1324" s="9"/>
      <c r="H1324" s="9"/>
      <c r="I1324" s="9"/>
      <c r="J1324" s="9"/>
      <c r="K1324" s="16"/>
      <c r="L1324" s="9"/>
      <c r="M1324" s="9"/>
      <c r="N1324" s="11"/>
      <c r="Q1324" s="12"/>
    </row>
    <row r="1325" spans="1:20" x14ac:dyDescent="0.35">
      <c r="A1325" s="1" t="s">
        <v>13</v>
      </c>
      <c r="B1325" s="7">
        <v>1167431</v>
      </c>
      <c r="C1325" s="2">
        <v>269.51100000000002</v>
      </c>
      <c r="D1325" s="2">
        <v>269.92500000000001</v>
      </c>
      <c r="E1325" s="2">
        <v>0.41399999999999998</v>
      </c>
      <c r="F1325" s="2">
        <v>268.839</v>
      </c>
      <c r="G1325" s="2">
        <v>269.21199999999999</v>
      </c>
      <c r="H1325" s="2">
        <v>0.373</v>
      </c>
      <c r="I1325" s="2">
        <v>265.12299999999999</v>
      </c>
      <c r="J1325" s="2">
        <v>266.387</v>
      </c>
      <c r="K1325" s="15">
        <v>2.8250000000000002</v>
      </c>
      <c r="L1325" s="2">
        <v>9.8309999999999995</v>
      </c>
      <c r="N1325" s="7">
        <v>0</v>
      </c>
      <c r="O1325" s="1">
        <f>19+16+16+16+16+17</f>
        <v>100</v>
      </c>
      <c r="P1325" s="1" t="str">
        <f t="shared" si="178"/>
        <v>0,100</v>
      </c>
      <c r="Q1325" s="6" t="s">
        <v>10</v>
      </c>
      <c r="R1325" s="1">
        <v>90</v>
      </c>
      <c r="S1325" s="1">
        <v>2.5</v>
      </c>
      <c r="T1325" s="1" t="str">
        <f t="shared" si="177"/>
        <v>-text 0,100 2.5 90 266.387</v>
      </c>
    </row>
    <row r="1326" spans="1:20" x14ac:dyDescent="0.35">
      <c r="A1326" s="1" t="s">
        <v>14</v>
      </c>
      <c r="B1326" s="7">
        <v>1167451</v>
      </c>
      <c r="C1326" s="2">
        <v>269.52199999999999</v>
      </c>
      <c r="D1326" s="2">
        <v>269.92700000000002</v>
      </c>
      <c r="E1326" s="2">
        <v>0.40500000000000003</v>
      </c>
      <c r="F1326" s="2">
        <v>268.85000000000002</v>
      </c>
      <c r="G1326" s="2">
        <v>269.214</v>
      </c>
      <c r="H1326" s="2">
        <v>0.36399999999999999</v>
      </c>
      <c r="I1326" s="2">
        <v>265.18200000000002</v>
      </c>
      <c r="J1326" s="2">
        <v>266.27499999999998</v>
      </c>
      <c r="K1326" s="15">
        <v>2.94</v>
      </c>
      <c r="L1326" s="2">
        <v>9.7959999999999994</v>
      </c>
      <c r="N1326" s="7">
        <f t="shared" ref="N1326:N1349" si="179">N1325+(B1326-B1325)</f>
        <v>20</v>
      </c>
      <c r="O1326" s="1">
        <f t="shared" ref="O1326:O1350" si="180">19+16+16+16+16+17</f>
        <v>100</v>
      </c>
      <c r="P1326" s="1" t="str">
        <f t="shared" si="178"/>
        <v>20,100</v>
      </c>
      <c r="Q1326" s="6" t="s">
        <v>10</v>
      </c>
      <c r="R1326" s="1">
        <v>90</v>
      </c>
      <c r="S1326" s="1">
        <v>2.5</v>
      </c>
      <c r="T1326" s="1" t="str">
        <f t="shared" si="177"/>
        <v>-text 20,100 2.5 90 266.275</v>
      </c>
    </row>
    <row r="1327" spans="1:20" x14ac:dyDescent="0.35">
      <c r="A1327" s="1">
        <v>278040</v>
      </c>
      <c r="B1327" s="7">
        <v>1167471</v>
      </c>
      <c r="C1327" s="2">
        <v>269.55399999999997</v>
      </c>
      <c r="D1327" s="2">
        <v>269.92899999999997</v>
      </c>
      <c r="E1327" s="2">
        <v>0.375</v>
      </c>
      <c r="F1327" s="2">
        <v>268.88200000000001</v>
      </c>
      <c r="G1327" s="2">
        <v>269.21600000000001</v>
      </c>
      <c r="H1327" s="2">
        <v>0.33400000000000002</v>
      </c>
      <c r="I1327" s="2">
        <v>265.41300000000001</v>
      </c>
      <c r="J1327" s="2">
        <v>266.50099999999998</v>
      </c>
      <c r="K1327" s="15">
        <v>2.7149999999999999</v>
      </c>
      <c r="L1327" s="2">
        <v>9.7319999999999993</v>
      </c>
      <c r="N1327" s="7">
        <f t="shared" si="179"/>
        <v>40</v>
      </c>
      <c r="O1327" s="1">
        <f t="shared" si="180"/>
        <v>100</v>
      </c>
      <c r="P1327" s="1" t="str">
        <f t="shared" si="178"/>
        <v>40,100</v>
      </c>
      <c r="Q1327" s="6" t="s">
        <v>10</v>
      </c>
      <c r="R1327" s="1">
        <v>90</v>
      </c>
      <c r="S1327" s="1">
        <v>2.5</v>
      </c>
      <c r="T1327" s="1" t="str">
        <f t="shared" si="177"/>
        <v>-text 40,100 2.5 90 266.501</v>
      </c>
    </row>
    <row r="1328" spans="1:20" x14ac:dyDescent="0.35">
      <c r="A1328" s="1">
        <v>278060</v>
      </c>
      <c r="B1328" s="7">
        <v>1167491</v>
      </c>
      <c r="C1328" s="2">
        <v>269.58499999999998</v>
      </c>
      <c r="D1328" s="2">
        <v>269.93099999999998</v>
      </c>
      <c r="E1328" s="2">
        <v>0.34599999999999997</v>
      </c>
      <c r="F1328" s="2">
        <v>268.91300000000001</v>
      </c>
      <c r="G1328" s="2">
        <v>269.21800000000002</v>
      </c>
      <c r="H1328" s="2">
        <v>0.30499999999999999</v>
      </c>
      <c r="I1328" s="2">
        <v>265.351</v>
      </c>
      <c r="J1328" s="2">
        <v>266.72500000000002</v>
      </c>
      <c r="K1328" s="15">
        <v>2.4929999999999999</v>
      </c>
      <c r="L1328" s="2">
        <v>9.6679999999999993</v>
      </c>
      <c r="N1328" s="7">
        <f t="shared" si="179"/>
        <v>60</v>
      </c>
      <c r="O1328" s="1">
        <f t="shared" si="180"/>
        <v>100</v>
      </c>
      <c r="P1328" s="1" t="str">
        <f t="shared" si="178"/>
        <v>60,100</v>
      </c>
      <c r="Q1328" s="6" t="s">
        <v>10</v>
      </c>
      <c r="R1328" s="1">
        <v>90</v>
      </c>
      <c r="S1328" s="1">
        <v>2.5</v>
      </c>
      <c r="T1328" s="1" t="str">
        <f t="shared" si="177"/>
        <v>-text 60,100 2.5 90 266.725</v>
      </c>
    </row>
    <row r="1329" spans="1:20" x14ac:dyDescent="0.35">
      <c r="A1329" s="1">
        <v>278080</v>
      </c>
      <c r="B1329" s="7">
        <v>1167511</v>
      </c>
      <c r="C1329" s="2">
        <v>269.58499999999998</v>
      </c>
      <c r="D1329" s="2">
        <v>269.93299999999999</v>
      </c>
      <c r="E1329" s="2">
        <v>0.34799999999999998</v>
      </c>
      <c r="F1329" s="2">
        <v>268.91300000000001</v>
      </c>
      <c r="G1329" s="2">
        <v>269.22000000000003</v>
      </c>
      <c r="H1329" s="2">
        <v>0.307</v>
      </c>
      <c r="I1329" s="2">
        <v>265.39600000000002</v>
      </c>
      <c r="J1329" s="2">
        <v>266.70999999999998</v>
      </c>
      <c r="K1329" s="15">
        <v>2.5099999999999998</v>
      </c>
      <c r="L1329" s="2">
        <v>9.6440000000000001</v>
      </c>
      <c r="N1329" s="7">
        <f t="shared" si="179"/>
        <v>80</v>
      </c>
      <c r="O1329" s="1">
        <f t="shared" si="180"/>
        <v>100</v>
      </c>
      <c r="P1329" s="1" t="str">
        <f t="shared" si="178"/>
        <v>80,100</v>
      </c>
      <c r="Q1329" s="6" t="s">
        <v>10</v>
      </c>
      <c r="R1329" s="1">
        <v>90</v>
      </c>
      <c r="S1329" s="1">
        <v>2.5</v>
      </c>
      <c r="T1329" s="1" t="str">
        <f t="shared" si="177"/>
        <v>-text 80,100 2.5 90 266.71</v>
      </c>
    </row>
    <row r="1330" spans="1:20" x14ac:dyDescent="0.35">
      <c r="A1330" s="1">
        <v>278100</v>
      </c>
      <c r="B1330" s="7">
        <v>1167531</v>
      </c>
      <c r="C1330" s="2">
        <v>269.57600000000002</v>
      </c>
      <c r="D1330" s="2">
        <v>269.935</v>
      </c>
      <c r="E1330" s="2">
        <v>0.35899999999999999</v>
      </c>
      <c r="F1330" s="2">
        <v>268.904</v>
      </c>
      <c r="G1330" s="2">
        <v>269.22199999999998</v>
      </c>
      <c r="H1330" s="2">
        <v>0.318</v>
      </c>
      <c r="I1330" s="2">
        <v>265.29599999999999</v>
      </c>
      <c r="J1330" s="2">
        <v>265.73200000000003</v>
      </c>
      <c r="K1330" s="15">
        <v>3.49</v>
      </c>
      <c r="L1330" s="2">
        <v>9.6150000000000002</v>
      </c>
      <c r="N1330" s="7">
        <f t="shared" si="179"/>
        <v>100</v>
      </c>
      <c r="O1330" s="1">
        <f t="shared" si="180"/>
        <v>100</v>
      </c>
      <c r="P1330" s="1" t="str">
        <f t="shared" si="178"/>
        <v>100,100</v>
      </c>
      <c r="Q1330" s="6" t="s">
        <v>10</v>
      </c>
      <c r="R1330" s="1">
        <v>90</v>
      </c>
      <c r="S1330" s="1">
        <v>2.5</v>
      </c>
      <c r="T1330" s="1" t="str">
        <f t="shared" si="177"/>
        <v>-text 100,100 2.5 90 265.732</v>
      </c>
    </row>
    <row r="1331" spans="1:20" x14ac:dyDescent="0.35">
      <c r="A1331" s="1">
        <v>278120</v>
      </c>
      <c r="B1331" s="7">
        <v>1167551</v>
      </c>
      <c r="C1331" s="2">
        <v>269.55700000000002</v>
      </c>
      <c r="D1331" s="2">
        <v>269.93700000000001</v>
      </c>
      <c r="E1331" s="2">
        <v>0.38</v>
      </c>
      <c r="F1331" s="2">
        <v>268.88499999999999</v>
      </c>
      <c r="G1331" s="2">
        <v>269.22399999999999</v>
      </c>
      <c r="H1331" s="2">
        <v>0.33900000000000002</v>
      </c>
      <c r="I1331" s="2">
        <v>265.17500000000001</v>
      </c>
      <c r="J1331" s="2">
        <v>265.39100000000002</v>
      </c>
      <c r="K1331" s="15">
        <v>3.8330000000000002</v>
      </c>
      <c r="L1331" s="2">
        <v>9.5779999999999994</v>
      </c>
      <c r="N1331" s="7">
        <f t="shared" si="179"/>
        <v>120</v>
      </c>
      <c r="O1331" s="1">
        <f t="shared" si="180"/>
        <v>100</v>
      </c>
      <c r="P1331" s="1" t="str">
        <f t="shared" si="178"/>
        <v>120,100</v>
      </c>
      <c r="Q1331" s="6" t="s">
        <v>10</v>
      </c>
      <c r="R1331" s="1">
        <v>90</v>
      </c>
      <c r="S1331" s="1">
        <v>2.5</v>
      </c>
      <c r="T1331" s="1" t="str">
        <f t="shared" si="177"/>
        <v>-text 120,100 2.5 90 265.391</v>
      </c>
    </row>
    <row r="1332" spans="1:20" x14ac:dyDescent="0.35">
      <c r="A1332" s="1">
        <v>278140</v>
      </c>
      <c r="B1332" s="7">
        <v>1167571</v>
      </c>
      <c r="C1332" s="2">
        <v>269.536</v>
      </c>
      <c r="D1332" s="2">
        <v>269.93900000000002</v>
      </c>
      <c r="E1332" s="2">
        <v>0.40300000000000002</v>
      </c>
      <c r="F1332" s="2">
        <v>268.86399999999998</v>
      </c>
      <c r="G1332" s="2">
        <v>269.226</v>
      </c>
      <c r="H1332" s="2">
        <v>0.36199999999999999</v>
      </c>
      <c r="I1332" s="2">
        <v>265.18</v>
      </c>
      <c r="J1332" s="2">
        <v>266.28899999999999</v>
      </c>
      <c r="K1332" s="15">
        <v>2.9369999999999998</v>
      </c>
      <c r="L1332" s="2">
        <v>9.5280000000000005</v>
      </c>
      <c r="N1332" s="7">
        <f t="shared" si="179"/>
        <v>140</v>
      </c>
      <c r="O1332" s="1">
        <f t="shared" si="180"/>
        <v>100</v>
      </c>
      <c r="P1332" s="1" t="str">
        <f t="shared" si="178"/>
        <v>140,100</v>
      </c>
      <c r="Q1332" s="6" t="s">
        <v>10</v>
      </c>
      <c r="R1332" s="1">
        <v>90</v>
      </c>
      <c r="S1332" s="1">
        <v>2.5</v>
      </c>
      <c r="T1332" s="1" t="str">
        <f t="shared" si="177"/>
        <v>-text 140,100 2.5 90 266.289</v>
      </c>
    </row>
    <row r="1333" spans="1:20" x14ac:dyDescent="0.35">
      <c r="A1333" s="1">
        <v>278160</v>
      </c>
      <c r="B1333" s="7">
        <v>1167591</v>
      </c>
      <c r="C1333" s="2">
        <v>269.512</v>
      </c>
      <c r="D1333" s="2">
        <v>269.94099999999997</v>
      </c>
      <c r="E1333" s="2">
        <v>0.42899999999999999</v>
      </c>
      <c r="F1333" s="2">
        <v>268.83999999999997</v>
      </c>
      <c r="G1333" s="2">
        <v>269.22800000000001</v>
      </c>
      <c r="H1333" s="2">
        <v>0.38800000000000001</v>
      </c>
      <c r="I1333" s="2">
        <v>265.16199999999998</v>
      </c>
      <c r="J1333" s="2">
        <v>266.19799999999998</v>
      </c>
      <c r="K1333" s="15">
        <v>3.0289999999999999</v>
      </c>
      <c r="L1333" s="2">
        <v>9.4610000000000003</v>
      </c>
      <c r="N1333" s="7">
        <f t="shared" si="179"/>
        <v>160</v>
      </c>
      <c r="O1333" s="1">
        <f t="shared" si="180"/>
        <v>100</v>
      </c>
      <c r="P1333" s="1" t="str">
        <f t="shared" si="178"/>
        <v>160,100</v>
      </c>
      <c r="Q1333" s="6" t="s">
        <v>10</v>
      </c>
      <c r="R1333" s="1">
        <v>90</v>
      </c>
      <c r="S1333" s="1">
        <v>2.5</v>
      </c>
      <c r="T1333" s="1" t="str">
        <f t="shared" si="177"/>
        <v>-text 160,100 2.5 90 266.198</v>
      </c>
    </row>
    <row r="1334" spans="1:20" x14ac:dyDescent="0.35">
      <c r="A1334" s="1">
        <v>278180</v>
      </c>
      <c r="B1334" s="7">
        <v>1167611</v>
      </c>
      <c r="C1334" s="2">
        <v>269.48500000000001</v>
      </c>
      <c r="D1334" s="2">
        <v>269.94299999999998</v>
      </c>
      <c r="E1334" s="2">
        <v>0.45800000000000002</v>
      </c>
      <c r="F1334" s="2">
        <v>268.81299999999999</v>
      </c>
      <c r="G1334" s="2">
        <v>269.23</v>
      </c>
      <c r="H1334" s="2">
        <v>0.41699999999999998</v>
      </c>
      <c r="I1334" s="2">
        <v>265.096</v>
      </c>
      <c r="J1334" s="2">
        <v>266.709</v>
      </c>
      <c r="K1334" s="15">
        <v>2.52</v>
      </c>
      <c r="L1334" s="2">
        <v>9.4060000000000006</v>
      </c>
      <c r="N1334" s="7">
        <f t="shared" si="179"/>
        <v>180</v>
      </c>
      <c r="O1334" s="1">
        <f t="shared" si="180"/>
        <v>100</v>
      </c>
      <c r="P1334" s="1" t="str">
        <f t="shared" si="178"/>
        <v>180,100</v>
      </c>
      <c r="Q1334" s="6" t="s">
        <v>10</v>
      </c>
      <c r="R1334" s="1">
        <v>90</v>
      </c>
      <c r="S1334" s="1">
        <v>2.5</v>
      </c>
      <c r="T1334" s="1" t="str">
        <f t="shared" si="177"/>
        <v>-text 180,100 2.5 90 266.709</v>
      </c>
    </row>
    <row r="1335" spans="1:20" x14ac:dyDescent="0.35">
      <c r="A1335" s="1">
        <v>278200</v>
      </c>
      <c r="B1335" s="7">
        <v>1167631</v>
      </c>
      <c r="C1335" s="2">
        <v>269.45100000000002</v>
      </c>
      <c r="D1335" s="2">
        <v>269.94499999999999</v>
      </c>
      <c r="E1335" s="2">
        <v>0.49399999999999999</v>
      </c>
      <c r="F1335" s="2">
        <v>268.779</v>
      </c>
      <c r="G1335" s="2">
        <v>269.23200000000003</v>
      </c>
      <c r="H1335" s="2">
        <v>0.45300000000000001</v>
      </c>
      <c r="I1335" s="2">
        <v>265.86</v>
      </c>
      <c r="J1335" s="2">
        <v>266.47300000000001</v>
      </c>
      <c r="K1335" s="15">
        <v>2.7589999999999999</v>
      </c>
      <c r="L1335" s="2">
        <v>9.3689999999999998</v>
      </c>
      <c r="N1335" s="7">
        <f t="shared" si="179"/>
        <v>200</v>
      </c>
      <c r="O1335" s="1">
        <f t="shared" si="180"/>
        <v>100</v>
      </c>
      <c r="P1335" s="1" t="str">
        <f t="shared" si="178"/>
        <v>200,100</v>
      </c>
      <c r="Q1335" s="6" t="s">
        <v>10</v>
      </c>
      <c r="R1335" s="1">
        <v>90</v>
      </c>
      <c r="S1335" s="1">
        <v>2.5</v>
      </c>
      <c r="T1335" s="1" t="str">
        <f t="shared" si="177"/>
        <v>-text 200,100 2.5 90 266.473</v>
      </c>
    </row>
    <row r="1336" spans="1:20" x14ac:dyDescent="0.35">
      <c r="A1336" s="1">
        <v>278220</v>
      </c>
      <c r="B1336" s="7">
        <v>1167651</v>
      </c>
      <c r="C1336" s="2">
        <v>269.42700000000002</v>
      </c>
      <c r="D1336" s="2">
        <v>269.94600000000003</v>
      </c>
      <c r="E1336" s="2">
        <v>0.51900000000000002</v>
      </c>
      <c r="F1336" s="2">
        <v>268.755</v>
      </c>
      <c r="G1336" s="2">
        <v>269.233</v>
      </c>
      <c r="H1336" s="2">
        <v>0.47799999999999998</v>
      </c>
      <c r="I1336" s="2">
        <v>267.06599999999997</v>
      </c>
      <c r="J1336" s="2">
        <v>266.24200000000002</v>
      </c>
      <c r="K1336" s="15">
        <v>2.9910000000000001</v>
      </c>
      <c r="L1336" s="2">
        <v>9.3390000000000004</v>
      </c>
      <c r="N1336" s="7">
        <f t="shared" si="179"/>
        <v>220</v>
      </c>
      <c r="O1336" s="1">
        <f t="shared" si="180"/>
        <v>100</v>
      </c>
      <c r="P1336" s="1" t="str">
        <f t="shared" si="178"/>
        <v>220,100</v>
      </c>
      <c r="Q1336" s="6" t="s">
        <v>10</v>
      </c>
      <c r="R1336" s="1">
        <v>90</v>
      </c>
      <c r="S1336" s="1">
        <v>2.5</v>
      </c>
      <c r="T1336" s="1" t="str">
        <f t="shared" si="177"/>
        <v>-text 220,100 2.5 90 266.242</v>
      </c>
    </row>
    <row r="1337" spans="1:20" x14ac:dyDescent="0.35">
      <c r="A1337" s="1">
        <v>278240</v>
      </c>
      <c r="B1337" s="7">
        <v>1167671</v>
      </c>
      <c r="C1337" s="2">
        <v>269.42500000000001</v>
      </c>
      <c r="D1337" s="2">
        <v>269.94799999999998</v>
      </c>
      <c r="E1337" s="2">
        <v>0.52300000000000002</v>
      </c>
      <c r="F1337" s="2">
        <v>268.75299999999999</v>
      </c>
      <c r="G1337" s="2">
        <v>269.23500000000001</v>
      </c>
      <c r="H1337" s="2">
        <v>0.48199999999999998</v>
      </c>
      <c r="I1337" s="2">
        <v>267.35199999999998</v>
      </c>
      <c r="J1337" s="2">
        <v>266.03500000000003</v>
      </c>
      <c r="K1337" s="15">
        <v>3.2</v>
      </c>
      <c r="L1337" s="2">
        <v>9.3670000000000009</v>
      </c>
      <c r="N1337" s="7">
        <f t="shared" si="179"/>
        <v>240</v>
      </c>
      <c r="O1337" s="1">
        <f t="shared" si="180"/>
        <v>100</v>
      </c>
      <c r="P1337" s="1" t="str">
        <f t="shared" si="178"/>
        <v>240,100</v>
      </c>
      <c r="Q1337" s="6" t="s">
        <v>10</v>
      </c>
      <c r="R1337" s="1">
        <v>90</v>
      </c>
      <c r="S1337" s="1">
        <v>2.5</v>
      </c>
      <c r="T1337" s="1" t="str">
        <f t="shared" si="177"/>
        <v>-text 240,100 2.5 90 266.035</v>
      </c>
    </row>
    <row r="1338" spans="1:20" x14ac:dyDescent="0.35">
      <c r="A1338" s="1">
        <v>278260</v>
      </c>
      <c r="B1338" s="7">
        <v>1167691</v>
      </c>
      <c r="C1338" s="2">
        <v>269.42200000000003</v>
      </c>
      <c r="D1338" s="2">
        <v>269.95</v>
      </c>
      <c r="E1338" s="2">
        <v>0.52800000000000002</v>
      </c>
      <c r="F1338" s="2">
        <v>268.75</v>
      </c>
      <c r="G1338" s="2">
        <v>269.23700000000002</v>
      </c>
      <c r="H1338" s="2">
        <v>0.48699999999999999</v>
      </c>
      <c r="I1338" s="2">
        <v>267.31400000000002</v>
      </c>
      <c r="J1338" s="2">
        <v>265.87200000000001</v>
      </c>
      <c r="K1338" s="15">
        <v>3.3650000000000002</v>
      </c>
      <c r="L1338" s="2">
        <v>9.5380000000000003</v>
      </c>
      <c r="N1338" s="7">
        <f t="shared" si="179"/>
        <v>260</v>
      </c>
      <c r="O1338" s="1">
        <f t="shared" si="180"/>
        <v>100</v>
      </c>
      <c r="P1338" s="1" t="str">
        <f t="shared" si="178"/>
        <v>260,100</v>
      </c>
      <c r="Q1338" s="6" t="s">
        <v>10</v>
      </c>
      <c r="R1338" s="1">
        <v>90</v>
      </c>
      <c r="S1338" s="1">
        <v>2.5</v>
      </c>
      <c r="T1338" s="1" t="str">
        <f t="shared" si="177"/>
        <v>-text 260,100 2.5 90 265.872</v>
      </c>
    </row>
    <row r="1339" spans="1:20" x14ac:dyDescent="0.35">
      <c r="A1339" s="1">
        <v>278280</v>
      </c>
      <c r="B1339" s="7">
        <v>1167711</v>
      </c>
      <c r="C1339" s="2">
        <v>269.41199999999998</v>
      </c>
      <c r="D1339" s="2">
        <v>269.952</v>
      </c>
      <c r="E1339" s="2">
        <v>0.54</v>
      </c>
      <c r="F1339" s="2">
        <v>268.74</v>
      </c>
      <c r="G1339" s="2">
        <v>269.23899999999998</v>
      </c>
      <c r="H1339" s="2">
        <v>0.499</v>
      </c>
      <c r="I1339" s="2">
        <v>265.62400000000002</v>
      </c>
      <c r="J1339" s="2">
        <v>265.77499999999998</v>
      </c>
      <c r="K1339" s="15">
        <v>3.464</v>
      </c>
      <c r="L1339" s="2">
        <v>9.9169999999999998</v>
      </c>
      <c r="N1339" s="7">
        <f t="shared" si="179"/>
        <v>280</v>
      </c>
      <c r="O1339" s="1">
        <f t="shared" si="180"/>
        <v>100</v>
      </c>
      <c r="P1339" s="1" t="str">
        <f t="shared" si="178"/>
        <v>280,100</v>
      </c>
      <c r="Q1339" s="6" t="s">
        <v>10</v>
      </c>
      <c r="R1339" s="1">
        <v>90</v>
      </c>
      <c r="S1339" s="1">
        <v>2.5</v>
      </c>
      <c r="T1339" s="1" t="str">
        <f t="shared" si="177"/>
        <v>-text 280,100 2.5 90 265.775</v>
      </c>
    </row>
    <row r="1340" spans="1:20" x14ac:dyDescent="0.35">
      <c r="A1340" s="1">
        <v>278300</v>
      </c>
      <c r="B1340" s="7">
        <v>1167731</v>
      </c>
      <c r="C1340" s="2">
        <v>269.42099999999999</v>
      </c>
      <c r="D1340" s="2">
        <v>269.95400000000001</v>
      </c>
      <c r="E1340" s="2">
        <v>0.53300000000000003</v>
      </c>
      <c r="F1340" s="2">
        <v>268.74900000000002</v>
      </c>
      <c r="G1340" s="2">
        <v>269.24099999999999</v>
      </c>
      <c r="H1340" s="2">
        <v>0.49199999999999999</v>
      </c>
      <c r="I1340" s="2">
        <v>265.15600000000001</v>
      </c>
      <c r="J1340" s="2">
        <v>265.55399999999997</v>
      </c>
      <c r="K1340" s="15">
        <v>3.6869999999999998</v>
      </c>
      <c r="L1340" s="2">
        <v>10.513</v>
      </c>
      <c r="N1340" s="7">
        <f t="shared" si="179"/>
        <v>300</v>
      </c>
      <c r="O1340" s="1">
        <f t="shared" si="180"/>
        <v>100</v>
      </c>
      <c r="P1340" s="1" t="str">
        <f t="shared" si="178"/>
        <v>300,100</v>
      </c>
      <c r="Q1340" s="6" t="s">
        <v>10</v>
      </c>
      <c r="R1340" s="1">
        <v>90</v>
      </c>
      <c r="S1340" s="1">
        <v>2.5</v>
      </c>
      <c r="T1340" s="1" t="str">
        <f t="shared" si="177"/>
        <v>-text 300,100 2.5 90 265.554</v>
      </c>
    </row>
    <row r="1341" spans="1:20" x14ac:dyDescent="0.35">
      <c r="A1341" s="1">
        <v>278320</v>
      </c>
      <c r="B1341" s="7">
        <v>1167751</v>
      </c>
      <c r="C1341" s="2">
        <v>269.43599999999998</v>
      </c>
      <c r="D1341" s="2">
        <v>269.95600000000002</v>
      </c>
      <c r="E1341" s="2">
        <v>0.52</v>
      </c>
      <c r="F1341" s="2">
        <v>268.76400000000001</v>
      </c>
      <c r="G1341" s="2">
        <v>269.24299999999999</v>
      </c>
      <c r="H1341" s="2">
        <v>0.47899999999999998</v>
      </c>
      <c r="I1341" s="2">
        <v>264.62900000000002</v>
      </c>
      <c r="J1341" s="2">
        <v>265.51799999999997</v>
      </c>
      <c r="K1341" s="15">
        <v>3.7250000000000001</v>
      </c>
      <c r="L1341" s="2">
        <v>11.298</v>
      </c>
      <c r="N1341" s="7">
        <f t="shared" si="179"/>
        <v>320</v>
      </c>
      <c r="O1341" s="1">
        <f t="shared" si="180"/>
        <v>100</v>
      </c>
      <c r="P1341" s="1" t="str">
        <f t="shared" si="178"/>
        <v>320,100</v>
      </c>
      <c r="Q1341" s="6" t="s">
        <v>10</v>
      </c>
      <c r="R1341" s="1">
        <v>90</v>
      </c>
      <c r="S1341" s="1">
        <v>2.5</v>
      </c>
      <c r="T1341" s="1" t="str">
        <f t="shared" si="177"/>
        <v>-text 320,100 2.5 90 265.518</v>
      </c>
    </row>
    <row r="1342" spans="1:20" x14ac:dyDescent="0.35">
      <c r="A1342" s="1">
        <v>278340</v>
      </c>
      <c r="B1342" s="7">
        <v>1167771</v>
      </c>
      <c r="C1342" s="2">
        <v>269.452</v>
      </c>
      <c r="D1342" s="2">
        <v>269.95800000000003</v>
      </c>
      <c r="E1342" s="2">
        <v>0.50600000000000001</v>
      </c>
      <c r="F1342" s="2">
        <v>268.77999999999997</v>
      </c>
      <c r="G1342" s="2">
        <v>269.245</v>
      </c>
      <c r="H1342" s="2">
        <v>0.46500000000000002</v>
      </c>
      <c r="I1342" s="2">
        <v>264.39800000000002</v>
      </c>
      <c r="J1342" s="2">
        <v>265.32400000000001</v>
      </c>
      <c r="K1342" s="15">
        <v>3.92</v>
      </c>
      <c r="L1342" s="2">
        <v>12.21</v>
      </c>
      <c r="N1342" s="7">
        <f t="shared" si="179"/>
        <v>340</v>
      </c>
      <c r="O1342" s="1">
        <f t="shared" si="180"/>
        <v>100</v>
      </c>
      <c r="P1342" s="1" t="str">
        <f t="shared" si="178"/>
        <v>340,100</v>
      </c>
      <c r="Q1342" s="6" t="s">
        <v>10</v>
      </c>
      <c r="R1342" s="1">
        <v>90</v>
      </c>
      <c r="S1342" s="1">
        <v>2.5</v>
      </c>
      <c r="T1342" s="1" t="str">
        <f t="shared" si="177"/>
        <v>-text 340,100 2.5 90 265.324</v>
      </c>
    </row>
    <row r="1343" spans="1:20" x14ac:dyDescent="0.35">
      <c r="A1343" s="1">
        <v>278360</v>
      </c>
      <c r="B1343" s="7">
        <v>1167791</v>
      </c>
      <c r="C1343" s="2">
        <v>269.488</v>
      </c>
      <c r="D1343" s="2">
        <v>269.95999999999998</v>
      </c>
      <c r="E1343" s="2">
        <v>0.47199999999999998</v>
      </c>
      <c r="F1343" s="2">
        <v>268.81599999999997</v>
      </c>
      <c r="G1343" s="2">
        <v>269.24700000000001</v>
      </c>
      <c r="H1343" s="2">
        <v>0.43099999999999999</v>
      </c>
      <c r="I1343" s="2">
        <v>264.238</v>
      </c>
      <c r="J1343" s="2">
        <v>264.95499999999998</v>
      </c>
      <c r="K1343" s="15">
        <v>4.2919999999999998</v>
      </c>
      <c r="L1343" s="2">
        <v>13.18</v>
      </c>
      <c r="N1343" s="7">
        <f t="shared" si="179"/>
        <v>360</v>
      </c>
      <c r="O1343" s="1">
        <f t="shared" si="180"/>
        <v>100</v>
      </c>
      <c r="P1343" s="1" t="str">
        <f t="shared" si="178"/>
        <v>360,100</v>
      </c>
      <c r="Q1343" s="6" t="s">
        <v>10</v>
      </c>
      <c r="R1343" s="1">
        <v>90</v>
      </c>
      <c r="S1343" s="1">
        <v>2.5</v>
      </c>
      <c r="T1343" s="1" t="str">
        <f t="shared" si="177"/>
        <v>-text 360,100 2.5 90 264.955</v>
      </c>
    </row>
    <row r="1344" spans="1:20" x14ac:dyDescent="0.35">
      <c r="A1344" s="1">
        <v>278380</v>
      </c>
      <c r="B1344" s="7">
        <v>1167811</v>
      </c>
      <c r="C1344" s="2">
        <v>269.56400000000002</v>
      </c>
      <c r="D1344" s="2">
        <v>269.96199999999999</v>
      </c>
      <c r="E1344" s="2">
        <v>0.39700000000000002</v>
      </c>
      <c r="F1344" s="2">
        <v>268.892</v>
      </c>
      <c r="G1344" s="2">
        <v>269.24900000000002</v>
      </c>
      <c r="H1344" s="2">
        <v>0.35599999999999998</v>
      </c>
      <c r="I1344" s="2">
        <v>264.56200000000001</v>
      </c>
      <c r="J1344" s="2">
        <v>265.12799999999999</v>
      </c>
      <c r="K1344" s="15">
        <v>4.1210000000000004</v>
      </c>
      <c r="L1344" s="2">
        <v>14.125999999999999</v>
      </c>
      <c r="N1344" s="7">
        <f t="shared" si="179"/>
        <v>380</v>
      </c>
      <c r="O1344" s="1">
        <f t="shared" si="180"/>
        <v>100</v>
      </c>
      <c r="P1344" s="1" t="str">
        <f t="shared" si="178"/>
        <v>380,100</v>
      </c>
      <c r="Q1344" s="6" t="s">
        <v>10</v>
      </c>
      <c r="R1344" s="1">
        <v>90</v>
      </c>
      <c r="S1344" s="1">
        <v>2.5</v>
      </c>
      <c r="T1344" s="1" t="str">
        <f t="shared" si="177"/>
        <v>-text 380,100 2.5 90 265.128</v>
      </c>
    </row>
    <row r="1345" spans="1:20" x14ac:dyDescent="0.35">
      <c r="A1345" s="1">
        <v>278400</v>
      </c>
      <c r="B1345" s="7">
        <v>1167831.1000000001</v>
      </c>
      <c r="C1345" s="2">
        <v>269.62299999999999</v>
      </c>
      <c r="D1345" s="2">
        <v>269.964</v>
      </c>
      <c r="E1345" s="2">
        <v>0.34100000000000003</v>
      </c>
      <c r="F1345" s="2">
        <v>268.95100000000002</v>
      </c>
      <c r="G1345" s="2">
        <v>269.25099999999998</v>
      </c>
      <c r="H1345" s="2">
        <v>0.3</v>
      </c>
      <c r="I1345" s="2">
        <v>264.61700000000002</v>
      </c>
      <c r="J1345" s="2">
        <v>264.92700000000002</v>
      </c>
      <c r="K1345" s="15">
        <v>4.3239999999999998</v>
      </c>
      <c r="L1345" s="2">
        <v>15.087</v>
      </c>
      <c r="N1345" s="7">
        <f t="shared" si="179"/>
        <v>400.10000000009313</v>
      </c>
      <c r="O1345" s="1">
        <f t="shared" si="180"/>
        <v>100</v>
      </c>
      <c r="P1345" s="1" t="str">
        <f t="shared" si="178"/>
        <v>400.100000000093,100</v>
      </c>
      <c r="Q1345" s="6" t="s">
        <v>10</v>
      </c>
      <c r="R1345" s="1">
        <v>90</v>
      </c>
      <c r="S1345" s="1">
        <v>2.5</v>
      </c>
      <c r="T1345" s="1" t="str">
        <f t="shared" si="177"/>
        <v>-text 400.100000000093,100 2.5 90 264.927</v>
      </c>
    </row>
    <row r="1346" spans="1:20" x14ac:dyDescent="0.35">
      <c r="A1346" s="1">
        <v>278420</v>
      </c>
      <c r="B1346" s="7">
        <v>1167851.1000000001</v>
      </c>
      <c r="C1346" s="2">
        <v>269.58199999999999</v>
      </c>
      <c r="D1346" s="2">
        <v>269.96600000000001</v>
      </c>
      <c r="E1346" s="2">
        <v>0.38400000000000001</v>
      </c>
      <c r="F1346" s="2">
        <v>268.91000000000003</v>
      </c>
      <c r="G1346" s="2">
        <v>269.25299999999999</v>
      </c>
      <c r="H1346" s="2">
        <v>0.34300000000000003</v>
      </c>
      <c r="I1346" s="2">
        <v>264.86099999999999</v>
      </c>
      <c r="J1346" s="2">
        <v>265.22800000000001</v>
      </c>
      <c r="K1346" s="15">
        <v>4.024</v>
      </c>
      <c r="L1346" s="2">
        <v>16.111999999999998</v>
      </c>
      <c r="N1346" s="7">
        <f t="shared" si="179"/>
        <v>420.10000000009313</v>
      </c>
      <c r="O1346" s="1">
        <f t="shared" si="180"/>
        <v>100</v>
      </c>
      <c r="P1346" s="1" t="str">
        <f t="shared" si="178"/>
        <v>420.100000000093,100</v>
      </c>
      <c r="Q1346" s="6" t="s">
        <v>10</v>
      </c>
      <c r="R1346" s="1">
        <v>90</v>
      </c>
      <c r="S1346" s="1">
        <v>2.5</v>
      </c>
      <c r="T1346" s="1" t="str">
        <f t="shared" si="177"/>
        <v>-text 420.100000000093,100 2.5 90 265.228</v>
      </c>
    </row>
    <row r="1347" spans="1:20" x14ac:dyDescent="0.35">
      <c r="A1347" s="1">
        <v>278440</v>
      </c>
      <c r="B1347" s="7">
        <v>1167871.1000000001</v>
      </c>
      <c r="C1347" s="2">
        <v>269.54300000000001</v>
      </c>
      <c r="D1347" s="2">
        <v>269.96699999999998</v>
      </c>
      <c r="E1347" s="2">
        <v>0.42399999999999999</v>
      </c>
      <c r="F1347" s="2">
        <v>268.87099999999998</v>
      </c>
      <c r="G1347" s="2">
        <v>269.25400000000002</v>
      </c>
      <c r="H1347" s="2">
        <v>0.38300000000000001</v>
      </c>
      <c r="I1347" s="2">
        <v>265.18400000000003</v>
      </c>
      <c r="J1347" s="2">
        <v>265.97199999999998</v>
      </c>
      <c r="K1347" s="15">
        <v>3.282</v>
      </c>
      <c r="L1347" s="2">
        <v>17.13</v>
      </c>
      <c r="N1347" s="7">
        <f t="shared" si="179"/>
        <v>440.10000000009313</v>
      </c>
      <c r="O1347" s="1">
        <f t="shared" si="180"/>
        <v>100</v>
      </c>
      <c r="P1347" s="1" t="str">
        <f t="shared" si="178"/>
        <v>440.100000000093,100</v>
      </c>
      <c r="Q1347" s="6" t="s">
        <v>10</v>
      </c>
      <c r="R1347" s="1">
        <v>90</v>
      </c>
      <c r="S1347" s="1">
        <v>2.5</v>
      </c>
      <c r="T1347" s="1" t="str">
        <f t="shared" si="177"/>
        <v>-text 440.100000000093,100 2.5 90 265.972</v>
      </c>
    </row>
    <row r="1348" spans="1:20" x14ac:dyDescent="0.35">
      <c r="A1348" s="1">
        <v>278460</v>
      </c>
      <c r="B1348" s="7">
        <v>1167891.2</v>
      </c>
      <c r="C1348" s="2">
        <v>269.512</v>
      </c>
      <c r="D1348" s="2">
        <v>269.96899999999999</v>
      </c>
      <c r="E1348" s="2">
        <v>0.45700000000000002</v>
      </c>
      <c r="F1348" s="2">
        <v>268.83999999999997</v>
      </c>
      <c r="G1348" s="2">
        <v>269.25599999999997</v>
      </c>
      <c r="H1348" s="2">
        <v>0.41599999999999998</v>
      </c>
      <c r="I1348" s="2">
        <v>265.65100000000001</v>
      </c>
      <c r="J1348" s="2">
        <v>265.76900000000001</v>
      </c>
      <c r="K1348" s="15">
        <v>3.4870000000000001</v>
      </c>
      <c r="L1348" s="2">
        <v>18.126999999999999</v>
      </c>
      <c r="N1348" s="7">
        <f t="shared" si="179"/>
        <v>460.19999999995343</v>
      </c>
      <c r="O1348" s="1">
        <f t="shared" si="180"/>
        <v>100</v>
      </c>
      <c r="P1348" s="1" t="str">
        <f t="shared" si="178"/>
        <v>460.199999999953,100</v>
      </c>
      <c r="Q1348" s="6" t="s">
        <v>10</v>
      </c>
      <c r="R1348" s="1">
        <v>90</v>
      </c>
      <c r="S1348" s="1">
        <v>2.5</v>
      </c>
      <c r="T1348" s="1" t="str">
        <f t="shared" si="177"/>
        <v>-text 460.199999999953,100 2.5 90 265.769</v>
      </c>
    </row>
    <row r="1349" spans="1:20" x14ac:dyDescent="0.35">
      <c r="A1349" s="1">
        <v>278480</v>
      </c>
      <c r="B1349" s="7">
        <v>1167911.1000000001</v>
      </c>
      <c r="C1349" s="2">
        <v>269.483</v>
      </c>
      <c r="D1349" s="2">
        <v>269.971</v>
      </c>
      <c r="E1349" s="2">
        <v>0.48799999999999999</v>
      </c>
      <c r="F1349" s="2">
        <v>268.81099999999998</v>
      </c>
      <c r="G1349" s="2">
        <v>269.25799999999998</v>
      </c>
      <c r="H1349" s="2">
        <v>0.44700000000000001</v>
      </c>
      <c r="I1349" s="2">
        <v>264.89600000000002</v>
      </c>
      <c r="J1349" s="2">
        <v>265.37200000000001</v>
      </c>
      <c r="K1349" s="15">
        <v>3.8860000000000001</v>
      </c>
      <c r="L1349" s="2">
        <v>19.103999999999999</v>
      </c>
      <c r="N1349" s="7">
        <f t="shared" si="179"/>
        <v>480.10000000009313</v>
      </c>
      <c r="O1349" s="1">
        <f t="shared" si="180"/>
        <v>100</v>
      </c>
      <c r="P1349" s="1" t="str">
        <f t="shared" si="178"/>
        <v>480.100000000093,100</v>
      </c>
      <c r="Q1349" s="6" t="s">
        <v>10</v>
      </c>
      <c r="R1349" s="1">
        <v>90</v>
      </c>
      <c r="S1349" s="1">
        <v>2.5</v>
      </c>
      <c r="T1349" s="1" t="str">
        <f t="shared" si="177"/>
        <v>-text 480.100000000093,100 2.5 90 265.372</v>
      </c>
    </row>
    <row r="1350" spans="1:20" x14ac:dyDescent="0.35">
      <c r="A1350" s="1">
        <v>278500</v>
      </c>
      <c r="B1350" s="7">
        <v>1167931.2</v>
      </c>
      <c r="C1350" s="2">
        <v>269.45800000000003</v>
      </c>
      <c r="D1350" s="2">
        <v>269.97300000000001</v>
      </c>
      <c r="E1350" s="2">
        <v>0.51500000000000001</v>
      </c>
      <c r="F1350" s="2">
        <v>268.786</v>
      </c>
      <c r="G1350" s="2">
        <v>269.26</v>
      </c>
      <c r="H1350" s="2">
        <v>0.47399999999999998</v>
      </c>
      <c r="I1350" s="2">
        <v>265.10700000000003</v>
      </c>
      <c r="J1350" s="2">
        <v>265.35300000000001</v>
      </c>
      <c r="K1350" s="15">
        <v>3.907</v>
      </c>
      <c r="L1350" s="2">
        <v>20.050999999999998</v>
      </c>
      <c r="N1350" s="7">
        <f>N1347+(B1350-B1347)</f>
        <v>500.19999999995343</v>
      </c>
      <c r="O1350" s="1">
        <f t="shared" si="180"/>
        <v>100</v>
      </c>
      <c r="P1350" s="1" t="str">
        <f t="shared" ref="P1350" si="181">CONCATENATE(N1350,",",O1350)</f>
        <v>500.199999999953,100</v>
      </c>
      <c r="Q1350" s="6" t="s">
        <v>10</v>
      </c>
      <c r="R1350" s="1">
        <v>90</v>
      </c>
      <c r="S1350" s="1">
        <v>2.5</v>
      </c>
      <c r="T1350" s="1" t="str">
        <f t="shared" si="177"/>
        <v>-text 500.199999999953,100 2.5 90 265.353</v>
      </c>
    </row>
    <row r="1351" spans="1:20" s="10" customFormat="1" x14ac:dyDescent="0.35">
      <c r="B1351" s="11"/>
      <c r="C1351" s="9"/>
      <c r="D1351" s="9"/>
      <c r="E1351" s="9"/>
      <c r="F1351" s="9"/>
      <c r="G1351" s="9"/>
      <c r="H1351" s="9"/>
      <c r="I1351" s="9"/>
      <c r="J1351" s="9"/>
      <c r="K1351" s="16"/>
      <c r="L1351" s="9"/>
      <c r="M1351" s="9"/>
      <c r="N1351" s="11"/>
      <c r="Q1351" s="12"/>
    </row>
    <row r="1352" spans="1:20" x14ac:dyDescent="0.35">
      <c r="A1352" s="1">
        <v>278500</v>
      </c>
      <c r="B1352" s="7">
        <v>1167931.2</v>
      </c>
      <c r="C1352" s="2">
        <v>269.45800000000003</v>
      </c>
      <c r="D1352" s="2">
        <v>269.97300000000001</v>
      </c>
      <c r="E1352" s="2">
        <v>0.51500000000000001</v>
      </c>
      <c r="F1352" s="2">
        <v>268.786</v>
      </c>
      <c r="G1352" s="2">
        <v>269.26</v>
      </c>
      <c r="H1352" s="2">
        <v>0.47399999999999998</v>
      </c>
      <c r="I1352" s="2">
        <v>265.10700000000003</v>
      </c>
      <c r="J1352" s="2">
        <v>265.35300000000001</v>
      </c>
      <c r="K1352" s="15">
        <v>3.907</v>
      </c>
      <c r="L1352" s="2">
        <v>20.050999999999998</v>
      </c>
      <c r="N1352" s="7">
        <v>0</v>
      </c>
      <c r="O1352" s="1">
        <f t="shared" si="176"/>
        <v>131</v>
      </c>
      <c r="P1352" s="1" t="str">
        <f t="shared" si="178"/>
        <v>0,131</v>
      </c>
      <c r="Q1352" s="6" t="s">
        <v>10</v>
      </c>
      <c r="R1352" s="1">
        <v>90</v>
      </c>
      <c r="S1352" s="1">
        <v>2.5</v>
      </c>
      <c r="T1352" s="1" t="str">
        <f t="shared" si="177"/>
        <v>-text 0,131 2.5 90 265.353</v>
      </c>
    </row>
    <row r="1353" spans="1:20" x14ac:dyDescent="0.35">
      <c r="A1353" s="1">
        <v>278520</v>
      </c>
      <c r="B1353" s="7">
        <v>1167951.1000000001</v>
      </c>
      <c r="C1353" s="2">
        <v>269.44</v>
      </c>
      <c r="D1353" s="2">
        <v>269.97500000000002</v>
      </c>
      <c r="E1353" s="2">
        <v>0.53500000000000003</v>
      </c>
      <c r="F1353" s="2">
        <v>268.76799999999997</v>
      </c>
      <c r="G1353" s="2">
        <v>269.262</v>
      </c>
      <c r="H1353" s="2">
        <v>0.49399999999999999</v>
      </c>
      <c r="I1353" s="2">
        <v>265.471</v>
      </c>
      <c r="J1353" s="2">
        <v>265.32</v>
      </c>
      <c r="K1353" s="15">
        <v>3.9420000000000002</v>
      </c>
      <c r="L1353" s="2">
        <v>20.952000000000002</v>
      </c>
      <c r="N1353" s="7">
        <f t="shared" ref="N1353:N1376" si="182">N1352+(B1353-B1352)</f>
        <v>19.900000000139698</v>
      </c>
      <c r="O1353" s="1">
        <f t="shared" si="176"/>
        <v>131</v>
      </c>
      <c r="P1353" s="1" t="str">
        <f t="shared" si="178"/>
        <v>19.9000000001397,131</v>
      </c>
      <c r="Q1353" s="6" t="s">
        <v>10</v>
      </c>
      <c r="R1353" s="1">
        <v>90</v>
      </c>
      <c r="S1353" s="1">
        <v>2.5</v>
      </c>
      <c r="T1353" s="1" t="str">
        <f t="shared" si="177"/>
        <v>-text 19.9000000001397,131 2.5 90 265.32</v>
      </c>
    </row>
    <row r="1354" spans="1:20" x14ac:dyDescent="0.35">
      <c r="A1354" s="1">
        <v>278540</v>
      </c>
      <c r="B1354" s="7">
        <v>1167971</v>
      </c>
      <c r="C1354" s="2">
        <v>269.42700000000002</v>
      </c>
      <c r="D1354" s="2">
        <v>269.97699999999998</v>
      </c>
      <c r="E1354" s="2">
        <v>0.55000000000000004</v>
      </c>
      <c r="F1354" s="2">
        <v>268.755</v>
      </c>
      <c r="G1354" s="2">
        <v>269.26400000000001</v>
      </c>
      <c r="H1354" s="2">
        <v>0.50900000000000001</v>
      </c>
      <c r="I1354" s="2">
        <v>265.38400000000001</v>
      </c>
      <c r="J1354" s="2">
        <v>265.12</v>
      </c>
      <c r="K1354" s="15">
        <v>4.1440000000000001</v>
      </c>
      <c r="L1354" s="2">
        <v>21.768000000000001</v>
      </c>
      <c r="N1354" s="7">
        <f t="shared" si="182"/>
        <v>39.800000000046566</v>
      </c>
      <c r="O1354" s="1">
        <f t="shared" si="176"/>
        <v>131</v>
      </c>
      <c r="P1354" s="1" t="str">
        <f t="shared" si="178"/>
        <v>39.8000000000466,131</v>
      </c>
      <c r="Q1354" s="6" t="s">
        <v>10</v>
      </c>
      <c r="R1354" s="1">
        <v>90</v>
      </c>
      <c r="S1354" s="1">
        <v>2.5</v>
      </c>
      <c r="T1354" s="1" t="str">
        <f t="shared" si="177"/>
        <v>-text 39.8000000000466,131 2.5 90 265.12</v>
      </c>
    </row>
    <row r="1355" spans="1:20" x14ac:dyDescent="0.35">
      <c r="A1355" s="1">
        <v>278560</v>
      </c>
      <c r="B1355" s="7">
        <v>1167991</v>
      </c>
      <c r="C1355" s="2">
        <v>269.41199999999998</v>
      </c>
      <c r="D1355" s="2">
        <v>269.97399999999999</v>
      </c>
      <c r="E1355" s="2">
        <v>0.56200000000000006</v>
      </c>
      <c r="F1355" s="2">
        <v>268.74</v>
      </c>
      <c r="G1355" s="2">
        <v>269.26100000000002</v>
      </c>
      <c r="H1355" s="2">
        <v>0.52100000000000002</v>
      </c>
      <c r="I1355" s="2">
        <v>265.41000000000003</v>
      </c>
      <c r="J1355" s="2">
        <v>264.88900000000001</v>
      </c>
      <c r="K1355" s="15">
        <v>4.3719999999999999</v>
      </c>
      <c r="L1355" s="2">
        <v>22.547999999999998</v>
      </c>
      <c r="N1355" s="7">
        <f t="shared" si="182"/>
        <v>59.800000000046566</v>
      </c>
      <c r="O1355" s="1">
        <f t="shared" si="176"/>
        <v>131</v>
      </c>
      <c r="P1355" s="1" t="str">
        <f t="shared" si="178"/>
        <v>59.8000000000466,131</v>
      </c>
      <c r="Q1355" s="6" t="s">
        <v>10</v>
      </c>
      <c r="R1355" s="1">
        <v>90</v>
      </c>
      <c r="S1355" s="1">
        <v>2.5</v>
      </c>
      <c r="T1355" s="1" t="str">
        <f t="shared" si="177"/>
        <v>-text 59.8000000000466,131 2.5 90 264.889</v>
      </c>
    </row>
    <row r="1356" spans="1:20" x14ac:dyDescent="0.35">
      <c r="A1356" s="1">
        <v>278580</v>
      </c>
      <c r="B1356" s="7">
        <v>1168011</v>
      </c>
      <c r="C1356" s="2">
        <v>269.42099999999999</v>
      </c>
      <c r="D1356" s="2">
        <v>269.971</v>
      </c>
      <c r="E1356" s="2">
        <v>0.55000000000000004</v>
      </c>
      <c r="F1356" s="2">
        <v>268.74900000000002</v>
      </c>
      <c r="G1356" s="2">
        <v>269.25799999999998</v>
      </c>
      <c r="H1356" s="2">
        <v>0.50900000000000001</v>
      </c>
      <c r="I1356" s="2">
        <v>265.39800000000002</v>
      </c>
      <c r="J1356" s="2">
        <v>265.726</v>
      </c>
      <c r="K1356" s="15">
        <v>3.532</v>
      </c>
      <c r="L1356" s="2">
        <v>23.302</v>
      </c>
      <c r="N1356" s="7">
        <f t="shared" si="182"/>
        <v>79.800000000046566</v>
      </c>
      <c r="O1356" s="1">
        <f t="shared" si="176"/>
        <v>131</v>
      </c>
      <c r="P1356" s="1" t="str">
        <f t="shared" si="178"/>
        <v>79.8000000000466,131</v>
      </c>
      <c r="Q1356" s="6" t="s">
        <v>10</v>
      </c>
      <c r="R1356" s="1">
        <v>90</v>
      </c>
      <c r="S1356" s="1">
        <v>2.5</v>
      </c>
      <c r="T1356" s="1" t="str">
        <f t="shared" si="177"/>
        <v>-text 79.8000000000466,131 2.5 90 265.726</v>
      </c>
    </row>
    <row r="1357" spans="1:20" x14ac:dyDescent="0.35">
      <c r="A1357" s="1">
        <v>278600</v>
      </c>
      <c r="B1357" s="7">
        <v>1168030.8999999999</v>
      </c>
      <c r="C1357" s="2">
        <v>269.43400000000003</v>
      </c>
      <c r="D1357" s="2">
        <v>269.96800000000002</v>
      </c>
      <c r="E1357" s="2">
        <v>0.53500000000000003</v>
      </c>
      <c r="F1357" s="2">
        <v>268.762</v>
      </c>
      <c r="G1357" s="2">
        <v>269.255</v>
      </c>
      <c r="H1357" s="2">
        <v>0.49399999999999999</v>
      </c>
      <c r="I1357" s="2">
        <v>265.517</v>
      </c>
      <c r="J1357" s="2">
        <v>265.77699999999999</v>
      </c>
      <c r="K1357" s="15">
        <v>3.4790000000000001</v>
      </c>
      <c r="L1357" s="2">
        <v>23.975000000000001</v>
      </c>
      <c r="N1357" s="7">
        <f t="shared" si="182"/>
        <v>99.699999999953434</v>
      </c>
      <c r="O1357" s="1">
        <f t="shared" si="176"/>
        <v>131</v>
      </c>
      <c r="P1357" s="1" t="str">
        <f t="shared" si="178"/>
        <v>99.6999999999534,131</v>
      </c>
      <c r="Q1357" s="6" t="s">
        <v>10</v>
      </c>
      <c r="R1357" s="1">
        <v>90</v>
      </c>
      <c r="S1357" s="1">
        <v>2.5</v>
      </c>
      <c r="T1357" s="1" t="str">
        <f t="shared" si="177"/>
        <v>-text 99.6999999999534,131 2.5 90 265.777</v>
      </c>
    </row>
    <row r="1358" spans="1:20" x14ac:dyDescent="0.35">
      <c r="A1358" s="1">
        <v>278620</v>
      </c>
      <c r="B1358" s="7">
        <v>1168051</v>
      </c>
      <c r="C1358" s="2">
        <v>269.47699999999998</v>
      </c>
      <c r="D1358" s="2">
        <v>269.96499999999997</v>
      </c>
      <c r="E1358" s="2">
        <v>0.48799999999999999</v>
      </c>
      <c r="F1358" s="2">
        <v>268.80500000000001</v>
      </c>
      <c r="G1358" s="2">
        <v>269.25200000000001</v>
      </c>
      <c r="H1358" s="2">
        <v>0.44700000000000001</v>
      </c>
      <c r="I1358" s="2">
        <v>266.23</v>
      </c>
      <c r="J1358" s="2">
        <v>266.10199999999998</v>
      </c>
      <c r="K1358" s="15">
        <v>3.15</v>
      </c>
      <c r="L1358" s="2">
        <v>24.690999999999999</v>
      </c>
      <c r="N1358" s="7">
        <f t="shared" si="182"/>
        <v>119.80000000004657</v>
      </c>
      <c r="O1358" s="1">
        <f t="shared" si="176"/>
        <v>131</v>
      </c>
      <c r="P1358" s="1" t="str">
        <f t="shared" si="178"/>
        <v>119.800000000047,131</v>
      </c>
      <c r="Q1358" s="6" t="s">
        <v>10</v>
      </c>
      <c r="R1358" s="1">
        <v>90</v>
      </c>
      <c r="S1358" s="1">
        <v>2.5</v>
      </c>
      <c r="T1358" s="1" t="str">
        <f t="shared" si="177"/>
        <v>-text 119.800000000047,131 2.5 90 266.102</v>
      </c>
    </row>
    <row r="1359" spans="1:20" x14ac:dyDescent="0.35">
      <c r="A1359" s="1">
        <v>278640</v>
      </c>
      <c r="B1359" s="7">
        <v>1168071</v>
      </c>
      <c r="C1359" s="2">
        <v>269.50700000000001</v>
      </c>
      <c r="D1359" s="2">
        <v>269.96300000000002</v>
      </c>
      <c r="E1359" s="2">
        <v>0.45500000000000002</v>
      </c>
      <c r="F1359" s="2">
        <v>268.83499999999998</v>
      </c>
      <c r="G1359" s="2">
        <v>269.25</v>
      </c>
      <c r="H1359" s="2">
        <v>0.41399999999999998</v>
      </c>
      <c r="I1359" s="2">
        <v>266.72800000000001</v>
      </c>
      <c r="J1359" s="2">
        <v>266.11</v>
      </c>
      <c r="K1359" s="15">
        <v>3.1389999999999998</v>
      </c>
      <c r="L1359" s="2">
        <v>25.35</v>
      </c>
      <c r="N1359" s="7">
        <f t="shared" si="182"/>
        <v>139.80000000004657</v>
      </c>
      <c r="O1359" s="1">
        <f t="shared" si="176"/>
        <v>131</v>
      </c>
      <c r="P1359" s="1" t="str">
        <f t="shared" si="178"/>
        <v>139.800000000047,131</v>
      </c>
      <c r="Q1359" s="6" t="s">
        <v>10</v>
      </c>
      <c r="R1359" s="1">
        <v>90</v>
      </c>
      <c r="S1359" s="1">
        <v>2.5</v>
      </c>
      <c r="T1359" s="1" t="str">
        <f t="shared" si="177"/>
        <v>-text 139.800000000047,131 2.5 90 266.11</v>
      </c>
    </row>
    <row r="1360" spans="1:20" x14ac:dyDescent="0.35">
      <c r="A1360" s="1">
        <v>278660</v>
      </c>
      <c r="B1360" s="7">
        <v>1168091</v>
      </c>
      <c r="C1360" s="2">
        <v>269.49799999999999</v>
      </c>
      <c r="D1360" s="2">
        <v>269.95999999999998</v>
      </c>
      <c r="E1360" s="2">
        <v>0.46200000000000002</v>
      </c>
      <c r="F1360" s="2">
        <v>268.82600000000002</v>
      </c>
      <c r="G1360" s="2">
        <v>269.24700000000001</v>
      </c>
      <c r="H1360" s="2">
        <v>0.42099999999999999</v>
      </c>
      <c r="I1360" s="2">
        <v>266.95</v>
      </c>
      <c r="J1360" s="2">
        <v>266.66399999999999</v>
      </c>
      <c r="K1360" s="15">
        <v>2.5830000000000002</v>
      </c>
      <c r="L1360" s="2">
        <v>26.024000000000001</v>
      </c>
      <c r="N1360" s="7">
        <f t="shared" si="182"/>
        <v>159.80000000004657</v>
      </c>
      <c r="O1360" s="1">
        <f t="shared" si="176"/>
        <v>131</v>
      </c>
      <c r="P1360" s="1" t="str">
        <f t="shared" si="178"/>
        <v>159.800000000047,131</v>
      </c>
      <c r="Q1360" s="6" t="s">
        <v>10</v>
      </c>
      <c r="R1360" s="1">
        <v>90</v>
      </c>
      <c r="S1360" s="1">
        <v>2.5</v>
      </c>
      <c r="T1360" s="1" t="str">
        <f t="shared" si="177"/>
        <v>-text 159.800000000047,131 2.5 90 266.664</v>
      </c>
    </row>
    <row r="1361" spans="1:20" x14ac:dyDescent="0.35">
      <c r="A1361" s="1">
        <v>278680</v>
      </c>
      <c r="B1361" s="7">
        <v>1168111</v>
      </c>
      <c r="C1361" s="2">
        <v>269.524</v>
      </c>
      <c r="D1361" s="2">
        <v>269.95699999999999</v>
      </c>
      <c r="E1361" s="2">
        <v>0.432</v>
      </c>
      <c r="F1361" s="2">
        <v>268.85199999999998</v>
      </c>
      <c r="G1361" s="2">
        <v>269.24400000000003</v>
      </c>
      <c r="H1361" s="2">
        <v>0.39100000000000001</v>
      </c>
      <c r="I1361" s="2">
        <v>267.036</v>
      </c>
      <c r="J1361" s="2">
        <v>266.58</v>
      </c>
      <c r="K1361" s="15">
        <v>2.6640000000000001</v>
      </c>
      <c r="L1361" s="2">
        <v>26.58</v>
      </c>
      <c r="N1361" s="7">
        <f t="shared" si="182"/>
        <v>179.80000000004657</v>
      </c>
      <c r="O1361" s="1">
        <f t="shared" si="176"/>
        <v>131</v>
      </c>
      <c r="P1361" s="1" t="str">
        <f t="shared" si="178"/>
        <v>179.800000000047,131</v>
      </c>
      <c r="Q1361" s="6" t="s">
        <v>10</v>
      </c>
      <c r="R1361" s="1">
        <v>90</v>
      </c>
      <c r="S1361" s="1">
        <v>2.5</v>
      </c>
      <c r="T1361" s="1" t="str">
        <f t="shared" si="177"/>
        <v>-text 179.800000000047,131 2.5 90 266.58</v>
      </c>
    </row>
    <row r="1362" spans="1:20" x14ac:dyDescent="0.35">
      <c r="A1362" s="1">
        <v>278700</v>
      </c>
      <c r="B1362" s="7">
        <v>1168131</v>
      </c>
      <c r="C1362" s="2">
        <v>269.58699999999999</v>
      </c>
      <c r="D1362" s="2">
        <v>269.95400000000001</v>
      </c>
      <c r="E1362" s="2">
        <v>0.36699999999999999</v>
      </c>
      <c r="F1362" s="2">
        <v>268.91500000000002</v>
      </c>
      <c r="G1362" s="2">
        <v>269.24099999999999</v>
      </c>
      <c r="H1362" s="2">
        <v>0.32600000000000001</v>
      </c>
      <c r="I1362" s="2">
        <v>267.01400000000001</v>
      </c>
      <c r="J1362" s="2">
        <v>266.53399999999999</v>
      </c>
      <c r="K1362" s="15">
        <v>2.7069999999999999</v>
      </c>
      <c r="L1362" s="2">
        <v>26.998999999999999</v>
      </c>
      <c r="N1362" s="7">
        <f t="shared" si="182"/>
        <v>199.80000000004657</v>
      </c>
      <c r="O1362" s="1">
        <f t="shared" si="176"/>
        <v>131</v>
      </c>
      <c r="P1362" s="1" t="str">
        <f t="shared" si="178"/>
        <v>199.800000000047,131</v>
      </c>
      <c r="Q1362" s="6" t="s">
        <v>10</v>
      </c>
      <c r="R1362" s="1">
        <v>90</v>
      </c>
      <c r="S1362" s="1">
        <v>2.5</v>
      </c>
      <c r="T1362" s="1" t="str">
        <f t="shared" si="177"/>
        <v>-text 199.800000000047,131 2.5 90 266.534</v>
      </c>
    </row>
    <row r="1363" spans="1:20" x14ac:dyDescent="0.35">
      <c r="A1363" s="1">
        <v>278720</v>
      </c>
      <c r="B1363" s="7">
        <v>1168151</v>
      </c>
      <c r="C1363" s="2">
        <v>269.64600000000002</v>
      </c>
      <c r="D1363" s="2">
        <v>269.95100000000002</v>
      </c>
      <c r="E1363" s="2">
        <v>0.30499999999999999</v>
      </c>
      <c r="F1363" s="2">
        <v>268.97399999999999</v>
      </c>
      <c r="G1363" s="2">
        <v>269.238</v>
      </c>
      <c r="H1363" s="2">
        <v>0.26400000000000001</v>
      </c>
      <c r="I1363" s="2">
        <v>266.97300000000001</v>
      </c>
      <c r="J1363" s="2">
        <v>266.43799999999999</v>
      </c>
      <c r="K1363" s="15">
        <v>2.7989999999999999</v>
      </c>
      <c r="L1363" s="2">
        <v>27.31</v>
      </c>
      <c r="N1363" s="7">
        <f t="shared" si="182"/>
        <v>219.80000000004657</v>
      </c>
      <c r="O1363" s="1">
        <f t="shared" si="176"/>
        <v>131</v>
      </c>
      <c r="P1363" s="1" t="str">
        <f t="shared" si="178"/>
        <v>219.800000000047,131</v>
      </c>
      <c r="Q1363" s="6" t="s">
        <v>10</v>
      </c>
      <c r="R1363" s="1">
        <v>90</v>
      </c>
      <c r="S1363" s="1">
        <v>2.5</v>
      </c>
      <c r="T1363" s="1" t="str">
        <f t="shared" si="177"/>
        <v>-text 219.800000000047,131 2.5 90 266.438</v>
      </c>
    </row>
    <row r="1364" spans="1:20" x14ac:dyDescent="0.35">
      <c r="A1364" s="1">
        <v>278740</v>
      </c>
      <c r="B1364" s="7">
        <v>1168171</v>
      </c>
      <c r="C1364" s="2">
        <v>269.69499999999999</v>
      </c>
      <c r="D1364" s="2">
        <v>269.94799999999998</v>
      </c>
      <c r="E1364" s="2">
        <v>0.253</v>
      </c>
      <c r="F1364" s="2">
        <v>269.02300000000002</v>
      </c>
      <c r="G1364" s="2">
        <v>269.23500000000001</v>
      </c>
      <c r="H1364" s="2">
        <v>0.21199999999999999</v>
      </c>
      <c r="I1364" s="2">
        <v>267.065</v>
      </c>
      <c r="J1364" s="2">
        <v>266.351</v>
      </c>
      <c r="K1364" s="15">
        <v>2.8839999999999999</v>
      </c>
      <c r="L1364" s="2">
        <v>27.521999999999998</v>
      </c>
      <c r="N1364" s="7">
        <f t="shared" si="182"/>
        <v>239.80000000004657</v>
      </c>
      <c r="O1364" s="1">
        <f t="shared" si="176"/>
        <v>131</v>
      </c>
      <c r="P1364" s="1" t="str">
        <f t="shared" si="178"/>
        <v>239.800000000047,131</v>
      </c>
      <c r="Q1364" s="6" t="s">
        <v>10</v>
      </c>
      <c r="R1364" s="1">
        <v>90</v>
      </c>
      <c r="S1364" s="1">
        <v>2.5</v>
      </c>
      <c r="T1364" s="1" t="str">
        <f t="shared" si="177"/>
        <v>-text 239.800000000047,131 2.5 90 266.351</v>
      </c>
    </row>
    <row r="1365" spans="1:20" x14ac:dyDescent="0.35">
      <c r="A1365" s="1">
        <v>278760</v>
      </c>
      <c r="B1365" s="7">
        <v>1168191.1000000001</v>
      </c>
      <c r="C1365" s="2">
        <v>269.74400000000003</v>
      </c>
      <c r="D1365" s="2">
        <v>269.94499999999999</v>
      </c>
      <c r="E1365" s="2">
        <v>0.20100000000000001</v>
      </c>
      <c r="F1365" s="2">
        <v>269.072</v>
      </c>
      <c r="G1365" s="2">
        <v>269.23200000000003</v>
      </c>
      <c r="H1365" s="2">
        <v>0.16</v>
      </c>
      <c r="I1365" s="2">
        <v>267.125</v>
      </c>
      <c r="J1365" s="2">
        <v>266.41199999999998</v>
      </c>
      <c r="K1365" s="15">
        <v>2.82</v>
      </c>
      <c r="L1365" s="2">
        <v>27.640999999999998</v>
      </c>
      <c r="N1365" s="7">
        <f t="shared" si="182"/>
        <v>259.9000000001397</v>
      </c>
      <c r="O1365" s="1">
        <f t="shared" si="176"/>
        <v>131</v>
      </c>
      <c r="P1365" s="1" t="str">
        <f t="shared" si="178"/>
        <v>259.90000000014,131</v>
      </c>
      <c r="Q1365" s="6" t="s">
        <v>10</v>
      </c>
      <c r="R1365" s="1">
        <v>90</v>
      </c>
      <c r="S1365" s="1">
        <v>2.5</v>
      </c>
      <c r="T1365" s="1" t="str">
        <f t="shared" si="177"/>
        <v>-text 259.90000000014,131 2.5 90 266.412</v>
      </c>
    </row>
    <row r="1366" spans="1:20" x14ac:dyDescent="0.35">
      <c r="A1366" s="1">
        <v>278780</v>
      </c>
      <c r="B1366" s="7">
        <v>1168211.1000000001</v>
      </c>
      <c r="C1366" s="2">
        <v>269.79000000000002</v>
      </c>
      <c r="D1366" s="2">
        <v>269.94200000000001</v>
      </c>
      <c r="E1366" s="2">
        <v>0.152</v>
      </c>
      <c r="F1366" s="2">
        <v>269.11799999999999</v>
      </c>
      <c r="G1366" s="2">
        <v>269.22899999999998</v>
      </c>
      <c r="H1366" s="2">
        <v>0.111</v>
      </c>
      <c r="I1366" s="2">
        <v>266.97800000000001</v>
      </c>
      <c r="J1366" s="2">
        <v>266.34199999999998</v>
      </c>
      <c r="K1366" s="15">
        <v>2.887</v>
      </c>
      <c r="L1366" s="2">
        <v>27.707000000000001</v>
      </c>
      <c r="N1366" s="7">
        <f t="shared" si="182"/>
        <v>279.9000000001397</v>
      </c>
      <c r="O1366" s="1">
        <f t="shared" si="176"/>
        <v>131</v>
      </c>
      <c r="P1366" s="1" t="str">
        <f t="shared" si="178"/>
        <v>279.90000000014,131</v>
      </c>
      <c r="Q1366" s="6" t="s">
        <v>10</v>
      </c>
      <c r="R1366" s="1">
        <v>90</v>
      </c>
      <c r="S1366" s="1">
        <v>2.5</v>
      </c>
      <c r="T1366" s="1" t="str">
        <f t="shared" si="177"/>
        <v>-text 279.90000000014,131 2.5 90 266.342</v>
      </c>
    </row>
    <row r="1367" spans="1:20" x14ac:dyDescent="0.35">
      <c r="A1367" s="1">
        <v>278800</v>
      </c>
      <c r="B1367" s="7">
        <v>1168231.5</v>
      </c>
      <c r="C1367" s="2">
        <v>269.83199999999999</v>
      </c>
      <c r="D1367" s="2">
        <v>269.93900000000002</v>
      </c>
      <c r="E1367" s="2">
        <v>0.107</v>
      </c>
      <c r="F1367" s="2">
        <v>269.16000000000003</v>
      </c>
      <c r="G1367" s="2">
        <v>269.226</v>
      </c>
      <c r="H1367" s="2">
        <v>6.6000000000000003E-2</v>
      </c>
      <c r="I1367" s="2">
        <v>266.87700000000001</v>
      </c>
      <c r="J1367" s="2">
        <v>266.27</v>
      </c>
      <c r="K1367" s="15">
        <v>2.956</v>
      </c>
      <c r="L1367" s="2">
        <v>27.684000000000001</v>
      </c>
      <c r="N1367" s="7">
        <f t="shared" si="182"/>
        <v>300.30000000004657</v>
      </c>
      <c r="O1367" s="1">
        <f t="shared" si="176"/>
        <v>131</v>
      </c>
      <c r="P1367" s="1" t="str">
        <f t="shared" si="178"/>
        <v>300.300000000047,131</v>
      </c>
      <c r="Q1367" s="6" t="s">
        <v>10</v>
      </c>
      <c r="R1367" s="1">
        <v>90</v>
      </c>
      <c r="S1367" s="1">
        <v>2.5</v>
      </c>
      <c r="T1367" s="1" t="str">
        <f t="shared" si="177"/>
        <v>-text 300.300000000047,131 2.5 90 266.27</v>
      </c>
    </row>
    <row r="1368" spans="1:20" x14ac:dyDescent="0.35">
      <c r="A1368" s="1">
        <v>278820</v>
      </c>
      <c r="B1368" s="7">
        <v>1168251.5</v>
      </c>
      <c r="C1368" s="2">
        <v>269.84699999999998</v>
      </c>
      <c r="D1368" s="2">
        <v>269.93599999999998</v>
      </c>
      <c r="E1368" s="2">
        <v>8.8999999999999996E-2</v>
      </c>
      <c r="F1368" s="2">
        <v>269.17500000000001</v>
      </c>
      <c r="G1368" s="2">
        <v>269.22300000000001</v>
      </c>
      <c r="H1368" s="2">
        <v>4.8000000000000001E-2</v>
      </c>
      <c r="I1368" s="2">
        <v>266.82900000000001</v>
      </c>
      <c r="J1368" s="2">
        <v>266.267</v>
      </c>
      <c r="K1368" s="15">
        <v>2.956</v>
      </c>
      <c r="L1368" s="2">
        <v>27.757000000000001</v>
      </c>
      <c r="N1368" s="7">
        <f t="shared" si="182"/>
        <v>320.30000000004657</v>
      </c>
      <c r="O1368" s="1">
        <f t="shared" si="176"/>
        <v>131</v>
      </c>
      <c r="P1368" s="1" t="str">
        <f t="shared" si="178"/>
        <v>320.300000000047,131</v>
      </c>
      <c r="Q1368" s="6" t="s">
        <v>10</v>
      </c>
      <c r="R1368" s="1">
        <v>90</v>
      </c>
      <c r="S1368" s="1">
        <v>2.5</v>
      </c>
      <c r="T1368" s="1" t="str">
        <f t="shared" si="177"/>
        <v>-text 320.300000000047,131 2.5 90 266.267</v>
      </c>
    </row>
    <row r="1369" spans="1:20" x14ac:dyDescent="0.35">
      <c r="A1369" s="1">
        <v>278840</v>
      </c>
      <c r="B1369" s="7">
        <v>1168271.5</v>
      </c>
      <c r="C1369" s="2">
        <v>269.86399999999998</v>
      </c>
      <c r="D1369" s="2">
        <v>269.93299999999999</v>
      </c>
      <c r="E1369" s="2">
        <v>6.9000000000000006E-2</v>
      </c>
      <c r="F1369" s="2">
        <v>269.19200000000001</v>
      </c>
      <c r="G1369" s="2">
        <v>269.22000000000003</v>
      </c>
      <c r="H1369" s="2">
        <v>2.8000000000000001E-2</v>
      </c>
      <c r="I1369" s="2">
        <v>266.911</v>
      </c>
      <c r="J1369" s="2">
        <v>266.173</v>
      </c>
      <c r="K1369" s="15">
        <v>3.0470000000000002</v>
      </c>
      <c r="L1369" s="2">
        <v>27.745000000000001</v>
      </c>
      <c r="N1369" s="7">
        <f t="shared" si="182"/>
        <v>340.30000000004657</v>
      </c>
      <c r="O1369" s="1">
        <f t="shared" si="176"/>
        <v>131</v>
      </c>
      <c r="P1369" s="1" t="str">
        <f t="shared" si="178"/>
        <v>340.300000000047,131</v>
      </c>
      <c r="Q1369" s="6" t="s">
        <v>10</v>
      </c>
      <c r="R1369" s="1">
        <v>90</v>
      </c>
      <c r="S1369" s="1">
        <v>2.5</v>
      </c>
      <c r="T1369" s="1" t="str">
        <f t="shared" si="177"/>
        <v>-text 340.300000000047,131 2.5 90 266.173</v>
      </c>
    </row>
    <row r="1370" spans="1:20" x14ac:dyDescent="0.35">
      <c r="A1370" s="1">
        <v>278860</v>
      </c>
      <c r="B1370" s="7">
        <v>1168291.5</v>
      </c>
      <c r="C1370" s="2">
        <v>269.89</v>
      </c>
      <c r="D1370" s="2">
        <v>269.93</v>
      </c>
      <c r="E1370" s="2">
        <v>4.1000000000000002E-2</v>
      </c>
      <c r="F1370" s="2">
        <v>269.21800000000002</v>
      </c>
      <c r="G1370" s="2">
        <v>269.21699999999998</v>
      </c>
      <c r="H1370" s="2">
        <v>0</v>
      </c>
      <c r="I1370" s="2">
        <v>266.87299999999999</v>
      </c>
      <c r="J1370" s="2">
        <v>266.38299999999998</v>
      </c>
      <c r="K1370" s="15">
        <v>2.8340000000000001</v>
      </c>
      <c r="L1370" s="2">
        <v>27.715</v>
      </c>
      <c r="N1370" s="7">
        <f t="shared" si="182"/>
        <v>360.30000000004657</v>
      </c>
      <c r="O1370" s="1">
        <f t="shared" si="176"/>
        <v>131</v>
      </c>
      <c r="P1370" s="1" t="str">
        <f t="shared" si="178"/>
        <v>360.300000000047,131</v>
      </c>
      <c r="Q1370" s="6" t="s">
        <v>10</v>
      </c>
      <c r="R1370" s="1">
        <v>90</v>
      </c>
      <c r="S1370" s="1">
        <v>2.5</v>
      </c>
      <c r="T1370" s="1" t="str">
        <f t="shared" si="177"/>
        <v>-text 360.300000000047,131 2.5 90 266.383</v>
      </c>
    </row>
    <row r="1371" spans="1:20" x14ac:dyDescent="0.35">
      <c r="A1371" s="1">
        <v>278880</v>
      </c>
      <c r="B1371" s="7">
        <v>1168311.5</v>
      </c>
      <c r="C1371" s="2">
        <v>269.91399999999999</v>
      </c>
      <c r="D1371" s="2">
        <v>269.928</v>
      </c>
      <c r="E1371" s="2">
        <v>1.2999999999999999E-2</v>
      </c>
      <c r="F1371" s="2">
        <v>269.24200000000002</v>
      </c>
      <c r="G1371" s="2">
        <v>269.21499999999997</v>
      </c>
      <c r="H1371" s="2">
        <v>-2.8000000000000001E-2</v>
      </c>
      <c r="I1371" s="2">
        <v>266.99</v>
      </c>
      <c r="J1371" s="2">
        <v>266.70999999999998</v>
      </c>
      <c r="K1371" s="15">
        <v>2.5049999999999999</v>
      </c>
      <c r="L1371" s="2">
        <v>27.683</v>
      </c>
      <c r="N1371" s="7">
        <f t="shared" si="182"/>
        <v>380.30000000004657</v>
      </c>
      <c r="O1371" s="1">
        <f t="shared" si="176"/>
        <v>131</v>
      </c>
      <c r="P1371" s="1" t="str">
        <f t="shared" si="178"/>
        <v>380.300000000047,131</v>
      </c>
      <c r="Q1371" s="6" t="s">
        <v>10</v>
      </c>
      <c r="R1371" s="1">
        <v>90</v>
      </c>
      <c r="S1371" s="1">
        <v>2.5</v>
      </c>
      <c r="T1371" s="1" t="str">
        <f t="shared" si="177"/>
        <v>-text 380.300000000047,131 2.5 90 266.71</v>
      </c>
    </row>
    <row r="1372" spans="1:20" x14ac:dyDescent="0.35">
      <c r="A1372" s="1">
        <v>278900</v>
      </c>
      <c r="B1372" s="7">
        <v>1168331.5</v>
      </c>
      <c r="C1372" s="2">
        <v>269.95699999999999</v>
      </c>
      <c r="D1372" s="2">
        <v>269.92500000000001</v>
      </c>
      <c r="E1372" s="2">
        <v>-3.3000000000000002E-2</v>
      </c>
      <c r="F1372" s="2">
        <v>269.28500000000003</v>
      </c>
      <c r="G1372" s="2">
        <v>269.21199999999999</v>
      </c>
      <c r="H1372" s="2">
        <v>-7.3999999999999996E-2</v>
      </c>
      <c r="I1372" s="2">
        <v>267.03399999999999</v>
      </c>
      <c r="J1372" s="2">
        <v>266.94600000000003</v>
      </c>
      <c r="K1372" s="15">
        <v>2.266</v>
      </c>
      <c r="L1372" s="2">
        <v>27.672000000000001</v>
      </c>
      <c r="N1372" s="7">
        <f t="shared" si="182"/>
        <v>400.30000000004657</v>
      </c>
      <c r="O1372" s="1">
        <f t="shared" si="176"/>
        <v>131</v>
      </c>
      <c r="P1372" s="1" t="str">
        <f t="shared" si="178"/>
        <v>400.300000000047,131</v>
      </c>
      <c r="Q1372" s="6" t="s">
        <v>10</v>
      </c>
      <c r="R1372" s="1">
        <v>90</v>
      </c>
      <c r="S1372" s="1">
        <v>2.5</v>
      </c>
      <c r="T1372" s="1" t="str">
        <f t="shared" si="177"/>
        <v>-text 400.300000000047,131 2.5 90 266.946</v>
      </c>
    </row>
    <row r="1373" spans="1:20" x14ac:dyDescent="0.35">
      <c r="A1373" s="1">
        <v>278920</v>
      </c>
      <c r="B1373" s="7">
        <v>1168351.5</v>
      </c>
      <c r="C1373" s="2">
        <v>269.99099999999999</v>
      </c>
      <c r="D1373" s="2">
        <v>269.92200000000003</v>
      </c>
      <c r="E1373" s="2">
        <v>-7.0000000000000007E-2</v>
      </c>
      <c r="F1373" s="2">
        <v>269.31900000000002</v>
      </c>
      <c r="G1373" s="2">
        <v>269.209</v>
      </c>
      <c r="H1373" s="2">
        <v>-0.111</v>
      </c>
      <c r="I1373" s="2">
        <v>266.839</v>
      </c>
      <c r="J1373" s="2">
        <v>266.29000000000002</v>
      </c>
      <c r="K1373" s="15">
        <v>2.919</v>
      </c>
      <c r="L1373" s="2">
        <v>27.655999999999999</v>
      </c>
      <c r="N1373" s="7">
        <f t="shared" si="182"/>
        <v>420.30000000004657</v>
      </c>
      <c r="O1373" s="1">
        <f t="shared" si="176"/>
        <v>131</v>
      </c>
      <c r="P1373" s="1" t="str">
        <f t="shared" si="178"/>
        <v>420.300000000047,131</v>
      </c>
      <c r="Q1373" s="6" t="s">
        <v>10</v>
      </c>
      <c r="R1373" s="1">
        <v>90</v>
      </c>
      <c r="S1373" s="1">
        <v>2.5</v>
      </c>
      <c r="T1373" s="1" t="str">
        <f t="shared" si="177"/>
        <v>-text 420.300000000047,131 2.5 90 266.29</v>
      </c>
    </row>
    <row r="1374" spans="1:20" x14ac:dyDescent="0.35">
      <c r="A1374" s="1">
        <v>278940</v>
      </c>
      <c r="B1374" s="7">
        <v>1168371.5</v>
      </c>
      <c r="C1374" s="2">
        <v>270.005</v>
      </c>
      <c r="D1374" s="2">
        <v>269.91899999999998</v>
      </c>
      <c r="E1374" s="2">
        <v>-8.5999999999999993E-2</v>
      </c>
      <c r="F1374" s="2">
        <v>269.33300000000003</v>
      </c>
      <c r="G1374" s="2">
        <v>269.20600000000002</v>
      </c>
      <c r="H1374" s="2">
        <v>-0.127</v>
      </c>
      <c r="I1374" s="2">
        <v>267.00599999999997</v>
      </c>
      <c r="J1374" s="2">
        <v>266.791</v>
      </c>
      <c r="K1374" s="15">
        <v>2.4140000000000001</v>
      </c>
      <c r="L1374" s="2">
        <v>27.623999999999999</v>
      </c>
      <c r="N1374" s="7">
        <f t="shared" si="182"/>
        <v>440.30000000004657</v>
      </c>
      <c r="O1374" s="1">
        <f t="shared" si="176"/>
        <v>131</v>
      </c>
      <c r="P1374" s="1" t="str">
        <f t="shared" si="178"/>
        <v>440.300000000047,131</v>
      </c>
      <c r="Q1374" s="6" t="s">
        <v>10</v>
      </c>
      <c r="R1374" s="1">
        <v>90</v>
      </c>
      <c r="S1374" s="1">
        <v>2.5</v>
      </c>
      <c r="T1374" s="1" t="str">
        <f t="shared" si="177"/>
        <v>-text 440.300000000047,131 2.5 90 266.791</v>
      </c>
    </row>
    <row r="1375" spans="1:20" x14ac:dyDescent="0.35">
      <c r="A1375" s="1">
        <v>278960</v>
      </c>
      <c r="B1375" s="7">
        <v>1168391.5</v>
      </c>
      <c r="C1375" s="2">
        <v>270.017</v>
      </c>
      <c r="D1375" s="2">
        <v>269.916</v>
      </c>
      <c r="E1375" s="2">
        <v>-0.10100000000000001</v>
      </c>
      <c r="F1375" s="2">
        <v>269.34500000000003</v>
      </c>
      <c r="G1375" s="2">
        <v>269.20299999999997</v>
      </c>
      <c r="H1375" s="2">
        <v>-0.14199999999999999</v>
      </c>
      <c r="I1375" s="2">
        <v>266.90499999999997</v>
      </c>
      <c r="J1375" s="2">
        <v>266.637</v>
      </c>
      <c r="K1375" s="15">
        <v>2.5659999999999998</v>
      </c>
      <c r="L1375" s="2">
        <v>27.593</v>
      </c>
      <c r="N1375" s="7">
        <f t="shared" si="182"/>
        <v>460.30000000004657</v>
      </c>
      <c r="O1375" s="1">
        <f t="shared" si="176"/>
        <v>131</v>
      </c>
      <c r="P1375" s="1" t="str">
        <f t="shared" si="178"/>
        <v>460.300000000047,131</v>
      </c>
      <c r="Q1375" s="6" t="s">
        <v>10</v>
      </c>
      <c r="R1375" s="1">
        <v>90</v>
      </c>
      <c r="S1375" s="1">
        <v>2.5</v>
      </c>
      <c r="T1375" s="1" t="str">
        <f t="shared" si="177"/>
        <v>-text 460.300000000047,131 2.5 90 266.637</v>
      </c>
    </row>
    <row r="1376" spans="1:20" x14ac:dyDescent="0.35">
      <c r="A1376" s="1">
        <v>278980</v>
      </c>
      <c r="B1376" s="7">
        <v>1168411.5</v>
      </c>
      <c r="C1376" s="2">
        <v>270.01299999999998</v>
      </c>
      <c r="D1376" s="2">
        <v>269.91300000000001</v>
      </c>
      <c r="E1376" s="2">
        <v>-0.1</v>
      </c>
      <c r="F1376" s="2">
        <v>269.34100000000001</v>
      </c>
      <c r="G1376" s="2">
        <v>269.2</v>
      </c>
      <c r="H1376" s="2">
        <v>-0.14099999999999999</v>
      </c>
      <c r="I1376" s="2">
        <v>266.61399999999998</v>
      </c>
      <c r="J1376" s="2">
        <v>266.536</v>
      </c>
      <c r="K1376" s="15">
        <v>2.6640000000000001</v>
      </c>
      <c r="L1376" s="2">
        <v>27.567</v>
      </c>
      <c r="N1376" s="7">
        <f t="shared" si="182"/>
        <v>480.30000000004657</v>
      </c>
      <c r="O1376" s="1">
        <f t="shared" si="176"/>
        <v>131</v>
      </c>
      <c r="P1376" s="1" t="str">
        <f t="shared" si="178"/>
        <v>480.300000000047,131</v>
      </c>
      <c r="Q1376" s="6" t="s">
        <v>10</v>
      </c>
      <c r="R1376" s="1">
        <v>90</v>
      </c>
      <c r="S1376" s="1">
        <v>2.5</v>
      </c>
      <c r="T1376" s="1" t="str">
        <f t="shared" si="177"/>
        <v>-text 480.300000000047,131 2.5 90 266.536</v>
      </c>
    </row>
    <row r="1377" spans="1:20" x14ac:dyDescent="0.35">
      <c r="A1377" s="1">
        <v>279000</v>
      </c>
      <c r="B1377" s="7">
        <v>1168431.5</v>
      </c>
      <c r="C1377" s="2">
        <v>270.00900000000001</v>
      </c>
      <c r="D1377" s="2">
        <v>269.91000000000003</v>
      </c>
      <c r="E1377" s="2">
        <v>-9.9000000000000005E-2</v>
      </c>
      <c r="F1377" s="2">
        <v>269.33699999999999</v>
      </c>
      <c r="G1377" s="2">
        <v>269.197</v>
      </c>
      <c r="H1377" s="2">
        <v>-0.14000000000000001</v>
      </c>
      <c r="I1377" s="2">
        <v>266.20999999999998</v>
      </c>
      <c r="J1377" s="2">
        <v>266.06400000000002</v>
      </c>
      <c r="K1377" s="15">
        <v>3.133</v>
      </c>
      <c r="L1377" s="2">
        <v>27.54</v>
      </c>
      <c r="N1377" s="7">
        <f>N1374+(B1377-B1374)</f>
        <v>500.30000000004657</v>
      </c>
      <c r="O1377" s="1">
        <f t="shared" si="176"/>
        <v>131</v>
      </c>
      <c r="P1377" s="1" t="str">
        <f t="shared" ref="P1377" si="183">CONCATENATE(N1377,",",O1377)</f>
        <v>500.300000000047,131</v>
      </c>
      <c r="Q1377" s="6" t="s">
        <v>10</v>
      </c>
      <c r="R1377" s="1">
        <v>90</v>
      </c>
      <c r="S1377" s="1">
        <v>2.5</v>
      </c>
      <c r="T1377" s="1" t="str">
        <f t="shared" si="177"/>
        <v>-text 500.300000000047,131 2.5 90 266.064</v>
      </c>
    </row>
    <row r="1378" spans="1:20" s="10" customFormat="1" x14ac:dyDescent="0.35">
      <c r="B1378" s="11"/>
      <c r="C1378" s="9"/>
      <c r="D1378" s="9"/>
      <c r="E1378" s="9"/>
      <c r="F1378" s="9"/>
      <c r="G1378" s="9"/>
      <c r="H1378" s="9"/>
      <c r="I1378" s="9"/>
      <c r="J1378" s="9"/>
      <c r="K1378" s="16"/>
      <c r="L1378" s="9"/>
      <c r="M1378" s="9"/>
      <c r="N1378" s="11"/>
      <c r="Q1378" s="12"/>
    </row>
    <row r="1379" spans="1:20" x14ac:dyDescent="0.35">
      <c r="A1379" s="1">
        <v>279000</v>
      </c>
      <c r="B1379" s="7">
        <v>1168431.5</v>
      </c>
      <c r="C1379" s="2">
        <v>270.00900000000001</v>
      </c>
      <c r="D1379" s="2">
        <v>269.91000000000003</v>
      </c>
      <c r="E1379" s="2">
        <v>-9.9000000000000005E-2</v>
      </c>
      <c r="F1379" s="2">
        <v>269.33699999999999</v>
      </c>
      <c r="G1379" s="2">
        <v>269.197</v>
      </c>
      <c r="H1379" s="2">
        <v>-0.14000000000000001</v>
      </c>
      <c r="I1379" s="2">
        <v>266.20999999999998</v>
      </c>
      <c r="J1379" s="2">
        <v>266.06400000000002</v>
      </c>
      <c r="K1379" s="15">
        <v>3.133</v>
      </c>
      <c r="L1379" s="2">
        <v>27.54</v>
      </c>
      <c r="N1379" s="7">
        <v>0</v>
      </c>
      <c r="O1379" s="1">
        <f t="shared" si="176"/>
        <v>131</v>
      </c>
      <c r="P1379" s="1" t="str">
        <f t="shared" si="178"/>
        <v>0,131</v>
      </c>
      <c r="Q1379" s="6" t="s">
        <v>10</v>
      </c>
      <c r="R1379" s="1">
        <v>90</v>
      </c>
      <c r="S1379" s="1">
        <v>2.5</v>
      </c>
      <c r="T1379" s="1" t="str">
        <f t="shared" si="177"/>
        <v>-text 0,131 2.5 90 266.064</v>
      </c>
    </row>
    <row r="1380" spans="1:20" x14ac:dyDescent="0.35">
      <c r="A1380" s="1">
        <v>279020</v>
      </c>
      <c r="B1380" s="7">
        <v>1168451.5</v>
      </c>
      <c r="C1380" s="2">
        <v>270.01299999999998</v>
      </c>
      <c r="D1380" s="2">
        <v>269.90699999999998</v>
      </c>
      <c r="E1380" s="2">
        <v>-0.106</v>
      </c>
      <c r="F1380" s="2">
        <v>269.34100000000001</v>
      </c>
      <c r="G1380" s="2">
        <v>269.19400000000002</v>
      </c>
      <c r="H1380" s="2">
        <v>-0.14699999999999999</v>
      </c>
      <c r="I1380" s="2">
        <v>265.63600000000002</v>
      </c>
      <c r="J1380" s="2">
        <v>265.78199999999998</v>
      </c>
      <c r="K1380" s="15">
        <v>3.4119999999999999</v>
      </c>
      <c r="L1380" s="2">
        <v>27.521999999999998</v>
      </c>
      <c r="N1380" s="7">
        <f t="shared" ref="N1380:N1403" si="184">N1379+(B1380-B1379)</f>
        <v>20</v>
      </c>
      <c r="O1380" s="1">
        <f t="shared" si="176"/>
        <v>131</v>
      </c>
      <c r="P1380" s="1" t="str">
        <f t="shared" si="178"/>
        <v>20,131</v>
      </c>
      <c r="Q1380" s="6" t="s">
        <v>10</v>
      </c>
      <c r="R1380" s="1">
        <v>90</v>
      </c>
      <c r="S1380" s="1">
        <v>2.5</v>
      </c>
      <c r="T1380" s="1" t="str">
        <f t="shared" si="177"/>
        <v>-text 20,131 2.5 90 265.782</v>
      </c>
    </row>
    <row r="1381" spans="1:20" x14ac:dyDescent="0.35">
      <c r="A1381" s="1">
        <v>279040</v>
      </c>
      <c r="B1381" s="7">
        <v>1168471.5</v>
      </c>
      <c r="C1381" s="2">
        <v>270.01600000000002</v>
      </c>
      <c r="D1381" s="2">
        <v>269.904</v>
      </c>
      <c r="E1381" s="2">
        <v>-0.112</v>
      </c>
      <c r="F1381" s="2">
        <v>269.34399999999999</v>
      </c>
      <c r="G1381" s="2">
        <v>269.19099999999997</v>
      </c>
      <c r="H1381" s="2">
        <v>-0.153</v>
      </c>
      <c r="I1381" s="2">
        <v>265.041</v>
      </c>
      <c r="J1381" s="2">
        <v>265.935</v>
      </c>
      <c r="K1381" s="15">
        <v>3.2559999999999998</v>
      </c>
      <c r="L1381" s="2">
        <v>27.503</v>
      </c>
      <c r="N1381" s="7">
        <f t="shared" si="184"/>
        <v>40</v>
      </c>
      <c r="O1381" s="1">
        <f t="shared" si="176"/>
        <v>131</v>
      </c>
      <c r="P1381" s="1" t="str">
        <f t="shared" si="178"/>
        <v>40,131</v>
      </c>
      <c r="Q1381" s="6" t="s">
        <v>10</v>
      </c>
      <c r="R1381" s="1">
        <v>90</v>
      </c>
      <c r="S1381" s="1">
        <v>2.5</v>
      </c>
      <c r="T1381" s="1" t="str">
        <f t="shared" si="177"/>
        <v>-text 40,131 2.5 90 265.935</v>
      </c>
    </row>
    <row r="1382" spans="1:20" x14ac:dyDescent="0.35">
      <c r="A1382" s="1">
        <v>279060</v>
      </c>
      <c r="B1382" s="7">
        <v>1168491.5</v>
      </c>
      <c r="C1382" s="2">
        <v>269.97699999999998</v>
      </c>
      <c r="D1382" s="2">
        <v>269.90100000000001</v>
      </c>
      <c r="E1382" s="2">
        <v>-7.5999999999999998E-2</v>
      </c>
      <c r="F1382" s="2">
        <v>269.30500000000001</v>
      </c>
      <c r="G1382" s="2">
        <v>269.18799999999999</v>
      </c>
      <c r="H1382" s="2">
        <v>-0.11700000000000001</v>
      </c>
      <c r="I1382" s="2">
        <v>264.89600000000002</v>
      </c>
      <c r="J1382" s="2">
        <v>265.99700000000001</v>
      </c>
      <c r="K1382" s="15">
        <v>3.1909999999999998</v>
      </c>
      <c r="L1382" s="2">
        <v>27.501000000000001</v>
      </c>
      <c r="N1382" s="7">
        <f t="shared" si="184"/>
        <v>60</v>
      </c>
      <c r="O1382" s="1">
        <f t="shared" ref="O1382:O1448" si="185">19+16+16+16+16+16+16+16</f>
        <v>131</v>
      </c>
      <c r="P1382" s="1" t="str">
        <f t="shared" si="178"/>
        <v>60,131</v>
      </c>
      <c r="Q1382" s="6" t="s">
        <v>10</v>
      </c>
      <c r="R1382" s="1">
        <v>90</v>
      </c>
      <c r="S1382" s="1">
        <v>2.5</v>
      </c>
      <c r="T1382" s="1" t="str">
        <f t="shared" ref="T1382:T1448" si="186">$Q1382&amp;" "&amp;$P1382&amp;" "&amp;$S1382&amp;" "&amp;$R1382&amp;" "&amp;$J1382</f>
        <v>-text 60,131 2.5 90 265.997</v>
      </c>
    </row>
    <row r="1383" spans="1:20" x14ac:dyDescent="0.35">
      <c r="A1383" s="1">
        <v>279080</v>
      </c>
      <c r="B1383" s="7">
        <v>1168511.5</v>
      </c>
      <c r="C1383" s="2">
        <v>269.93799999999999</v>
      </c>
      <c r="D1383" s="2">
        <v>269.89800000000002</v>
      </c>
      <c r="E1383" s="2">
        <v>-3.9E-2</v>
      </c>
      <c r="F1383" s="2">
        <v>269.26600000000002</v>
      </c>
      <c r="G1383" s="2">
        <v>269.185</v>
      </c>
      <c r="H1383" s="2">
        <v>-0.08</v>
      </c>
      <c r="I1383" s="2">
        <v>264.89600000000002</v>
      </c>
      <c r="J1383" s="2">
        <v>266.04000000000002</v>
      </c>
      <c r="K1383" s="15">
        <v>3.1459999999999999</v>
      </c>
      <c r="L1383" s="2">
        <v>27.498000000000001</v>
      </c>
      <c r="N1383" s="7">
        <f t="shared" si="184"/>
        <v>80</v>
      </c>
      <c r="O1383" s="1">
        <f t="shared" si="185"/>
        <v>131</v>
      </c>
      <c r="P1383" s="1" t="str">
        <f t="shared" si="178"/>
        <v>80,131</v>
      </c>
      <c r="Q1383" s="6" t="s">
        <v>10</v>
      </c>
      <c r="R1383" s="1">
        <v>90</v>
      </c>
      <c r="S1383" s="1">
        <v>2.5</v>
      </c>
      <c r="T1383" s="1" t="str">
        <f t="shared" si="186"/>
        <v>-text 80,131 2.5 90 266.04</v>
      </c>
    </row>
    <row r="1384" spans="1:20" x14ac:dyDescent="0.35">
      <c r="A1384" s="1">
        <v>279100</v>
      </c>
      <c r="B1384" s="7">
        <v>1168531.5</v>
      </c>
      <c r="C1384" s="2">
        <v>269.91300000000001</v>
      </c>
      <c r="D1384" s="2">
        <v>269.89600000000002</v>
      </c>
      <c r="E1384" s="2">
        <v>-1.7999999999999999E-2</v>
      </c>
      <c r="F1384" s="2">
        <v>269.24099999999999</v>
      </c>
      <c r="G1384" s="2">
        <v>269.18299999999999</v>
      </c>
      <c r="H1384" s="2">
        <v>-5.8999999999999997E-2</v>
      </c>
      <c r="I1384" s="2">
        <v>264.81900000000002</v>
      </c>
      <c r="J1384" s="2">
        <v>266.05200000000002</v>
      </c>
      <c r="K1384" s="15">
        <v>3.13</v>
      </c>
      <c r="L1384" s="2">
        <v>27.474</v>
      </c>
      <c r="N1384" s="7">
        <f t="shared" si="184"/>
        <v>100</v>
      </c>
      <c r="O1384" s="1">
        <f t="shared" si="185"/>
        <v>131</v>
      </c>
      <c r="P1384" s="1" t="str">
        <f t="shared" ref="P1384:P1450" si="187">CONCATENATE(N1384,",",O1384)</f>
        <v>100,131</v>
      </c>
      <c r="Q1384" s="6" t="s">
        <v>10</v>
      </c>
      <c r="R1384" s="1">
        <v>90</v>
      </c>
      <c r="S1384" s="1">
        <v>2.5</v>
      </c>
      <c r="T1384" s="1" t="str">
        <f t="shared" si="186"/>
        <v>-text 100,131 2.5 90 266.052</v>
      </c>
    </row>
    <row r="1385" spans="1:20" x14ac:dyDescent="0.35">
      <c r="A1385" s="1">
        <v>279120</v>
      </c>
      <c r="B1385" s="7">
        <v>1168551.5</v>
      </c>
      <c r="C1385" s="2">
        <v>269.89299999999997</v>
      </c>
      <c r="D1385" s="2">
        <v>269.89299999999997</v>
      </c>
      <c r="E1385" s="2">
        <v>0</v>
      </c>
      <c r="F1385" s="2">
        <v>269.221</v>
      </c>
      <c r="G1385" s="2">
        <v>269.18</v>
      </c>
      <c r="H1385" s="2">
        <v>-4.1000000000000002E-2</v>
      </c>
      <c r="I1385" s="2">
        <v>264.971</v>
      </c>
      <c r="J1385" s="2">
        <v>265.78500000000003</v>
      </c>
      <c r="K1385" s="15">
        <v>3.395</v>
      </c>
      <c r="L1385" s="2">
        <v>27.440999999999999</v>
      </c>
      <c r="N1385" s="7">
        <f t="shared" si="184"/>
        <v>120</v>
      </c>
      <c r="O1385" s="1">
        <f t="shared" si="185"/>
        <v>131</v>
      </c>
      <c r="P1385" s="1" t="str">
        <f t="shared" si="187"/>
        <v>120,131</v>
      </c>
      <c r="Q1385" s="6" t="s">
        <v>10</v>
      </c>
      <c r="R1385" s="1">
        <v>90</v>
      </c>
      <c r="S1385" s="1">
        <v>2.5</v>
      </c>
      <c r="T1385" s="1" t="str">
        <f t="shared" si="186"/>
        <v>-text 120,131 2.5 90 265.785</v>
      </c>
    </row>
    <row r="1386" spans="1:20" x14ac:dyDescent="0.35">
      <c r="A1386" s="1">
        <v>279140</v>
      </c>
      <c r="B1386" s="7">
        <v>1168571.5</v>
      </c>
      <c r="C1386" s="2">
        <v>269.87200000000001</v>
      </c>
      <c r="D1386" s="2">
        <v>269.89</v>
      </c>
      <c r="E1386" s="2">
        <v>1.7999999999999999E-2</v>
      </c>
      <c r="F1386" s="2">
        <v>269.2</v>
      </c>
      <c r="G1386" s="2">
        <v>269.17700000000002</v>
      </c>
      <c r="H1386" s="2">
        <v>-2.3E-2</v>
      </c>
      <c r="I1386" s="2">
        <v>264.66899999999998</v>
      </c>
      <c r="J1386" s="2">
        <v>265.47899999999998</v>
      </c>
      <c r="K1386" s="15">
        <v>3.698</v>
      </c>
      <c r="L1386" s="2">
        <v>27.408000000000001</v>
      </c>
      <c r="N1386" s="7">
        <f t="shared" si="184"/>
        <v>140</v>
      </c>
      <c r="O1386" s="1">
        <f t="shared" si="185"/>
        <v>131</v>
      </c>
      <c r="P1386" s="1" t="str">
        <f t="shared" si="187"/>
        <v>140,131</v>
      </c>
      <c r="Q1386" s="6" t="s">
        <v>10</v>
      </c>
      <c r="R1386" s="1">
        <v>90</v>
      </c>
      <c r="S1386" s="1">
        <v>2.5</v>
      </c>
      <c r="T1386" s="1" t="str">
        <f t="shared" si="186"/>
        <v>-text 140,131 2.5 90 265.479</v>
      </c>
    </row>
    <row r="1387" spans="1:20" x14ac:dyDescent="0.35">
      <c r="A1387" s="1">
        <v>279160</v>
      </c>
      <c r="B1387" s="7">
        <v>1168591.5</v>
      </c>
      <c r="C1387" s="2">
        <v>269.851</v>
      </c>
      <c r="D1387" s="2">
        <v>269.887</v>
      </c>
      <c r="E1387" s="2">
        <v>3.5999999999999997E-2</v>
      </c>
      <c r="F1387" s="2">
        <v>269.17899999999997</v>
      </c>
      <c r="G1387" s="2">
        <v>269.17399999999998</v>
      </c>
      <c r="H1387" s="2">
        <v>-5.0000000000000001E-3</v>
      </c>
      <c r="I1387" s="2">
        <v>264.714</v>
      </c>
      <c r="J1387" s="2">
        <v>265.17200000000003</v>
      </c>
      <c r="K1387" s="15">
        <v>4.0010000000000003</v>
      </c>
      <c r="L1387" s="2">
        <v>27.369</v>
      </c>
      <c r="N1387" s="7">
        <f t="shared" si="184"/>
        <v>160</v>
      </c>
      <c r="O1387" s="1">
        <f t="shared" si="185"/>
        <v>131</v>
      </c>
      <c r="P1387" s="1" t="str">
        <f t="shared" si="187"/>
        <v>160,131</v>
      </c>
      <c r="Q1387" s="6" t="s">
        <v>10</v>
      </c>
      <c r="R1387" s="1">
        <v>90</v>
      </c>
      <c r="S1387" s="1">
        <v>2.5</v>
      </c>
      <c r="T1387" s="1" t="str">
        <f t="shared" si="186"/>
        <v>-text 160,131 2.5 90 265.172</v>
      </c>
    </row>
    <row r="1388" spans="1:20" x14ac:dyDescent="0.35">
      <c r="A1388" s="1">
        <v>279180</v>
      </c>
      <c r="B1388" s="7">
        <v>1168611.5</v>
      </c>
      <c r="C1388" s="2">
        <v>269.83</v>
      </c>
      <c r="D1388" s="2">
        <v>269.88400000000001</v>
      </c>
      <c r="E1388" s="2">
        <v>5.3999999999999999E-2</v>
      </c>
      <c r="F1388" s="2">
        <v>269.15800000000002</v>
      </c>
      <c r="G1388" s="2">
        <v>269.17099999999999</v>
      </c>
      <c r="H1388" s="2">
        <v>1.2999999999999999E-2</v>
      </c>
      <c r="I1388" s="2">
        <v>265.084</v>
      </c>
      <c r="J1388" s="2">
        <v>264.84500000000003</v>
      </c>
      <c r="K1388" s="15">
        <v>4.3259999999999996</v>
      </c>
      <c r="L1388" s="2">
        <v>27.33</v>
      </c>
      <c r="N1388" s="7">
        <f t="shared" si="184"/>
        <v>180</v>
      </c>
      <c r="O1388" s="1">
        <f t="shared" si="185"/>
        <v>131</v>
      </c>
      <c r="P1388" s="1" t="str">
        <f t="shared" si="187"/>
        <v>180,131</v>
      </c>
      <c r="Q1388" s="6" t="s">
        <v>10</v>
      </c>
      <c r="R1388" s="1">
        <v>90</v>
      </c>
      <c r="S1388" s="1">
        <v>2.5</v>
      </c>
      <c r="T1388" s="1" t="str">
        <f t="shared" si="186"/>
        <v>-text 180,131 2.5 90 264.845</v>
      </c>
    </row>
    <row r="1389" spans="1:20" x14ac:dyDescent="0.35">
      <c r="A1389" s="1">
        <v>279200</v>
      </c>
      <c r="B1389" s="7">
        <v>1168631.5</v>
      </c>
      <c r="C1389" s="2">
        <v>269.79899999999998</v>
      </c>
      <c r="D1389" s="2">
        <v>269.88099999999997</v>
      </c>
      <c r="E1389" s="2">
        <v>8.2000000000000003E-2</v>
      </c>
      <c r="F1389" s="2">
        <v>269.12700000000001</v>
      </c>
      <c r="G1389" s="2">
        <v>269.16800000000001</v>
      </c>
      <c r="H1389" s="2">
        <v>4.1000000000000002E-2</v>
      </c>
      <c r="I1389" s="2">
        <v>265.33800000000002</v>
      </c>
      <c r="J1389" s="2">
        <v>264.75599999999997</v>
      </c>
      <c r="K1389" s="15">
        <v>4.4119999999999999</v>
      </c>
      <c r="L1389" s="2">
        <v>27.268999999999998</v>
      </c>
      <c r="N1389" s="7">
        <f t="shared" si="184"/>
        <v>200</v>
      </c>
      <c r="O1389" s="1">
        <f t="shared" si="185"/>
        <v>131</v>
      </c>
      <c r="P1389" s="1" t="str">
        <f t="shared" si="187"/>
        <v>200,131</v>
      </c>
      <c r="Q1389" s="6" t="s">
        <v>10</v>
      </c>
      <c r="R1389" s="1">
        <v>90</v>
      </c>
      <c r="S1389" s="1">
        <v>2.5</v>
      </c>
      <c r="T1389" s="1" t="str">
        <f t="shared" si="186"/>
        <v>-text 200,131 2.5 90 264.756</v>
      </c>
    </row>
    <row r="1390" spans="1:20" x14ac:dyDescent="0.35">
      <c r="A1390" s="1">
        <v>279220</v>
      </c>
      <c r="B1390" s="7">
        <v>1168651.5</v>
      </c>
      <c r="C1390" s="2">
        <v>269.76499999999999</v>
      </c>
      <c r="D1390" s="2">
        <v>269.87799999999999</v>
      </c>
      <c r="E1390" s="2">
        <v>0.113</v>
      </c>
      <c r="F1390" s="2">
        <v>269.09300000000002</v>
      </c>
      <c r="G1390" s="2">
        <v>269.16500000000002</v>
      </c>
      <c r="H1390" s="2">
        <v>7.1999999999999995E-2</v>
      </c>
      <c r="I1390" s="2">
        <v>265.37400000000002</v>
      </c>
      <c r="J1390" s="2">
        <v>264.86500000000001</v>
      </c>
      <c r="K1390" s="15">
        <v>4.3</v>
      </c>
      <c r="L1390" s="2">
        <v>27.201000000000001</v>
      </c>
      <c r="N1390" s="7">
        <f t="shared" si="184"/>
        <v>220</v>
      </c>
      <c r="O1390" s="1">
        <f t="shared" si="185"/>
        <v>131</v>
      </c>
      <c r="P1390" s="1" t="str">
        <f t="shared" si="187"/>
        <v>220,131</v>
      </c>
      <c r="Q1390" s="6" t="s">
        <v>10</v>
      </c>
      <c r="R1390" s="1">
        <v>90</v>
      </c>
      <c r="S1390" s="1">
        <v>2.5</v>
      </c>
      <c r="T1390" s="1" t="str">
        <f t="shared" si="186"/>
        <v>-text 220,131 2.5 90 264.865</v>
      </c>
    </row>
    <row r="1391" spans="1:20" x14ac:dyDescent="0.35">
      <c r="A1391" s="1">
        <v>279240</v>
      </c>
      <c r="B1391" s="7">
        <v>1168671.5</v>
      </c>
      <c r="C1391" s="2">
        <v>269.73700000000002</v>
      </c>
      <c r="D1391" s="2">
        <v>269.875</v>
      </c>
      <c r="E1391" s="2">
        <v>0.13800000000000001</v>
      </c>
      <c r="F1391" s="2">
        <v>269.065</v>
      </c>
      <c r="G1391" s="2">
        <v>269.16199999999998</v>
      </c>
      <c r="H1391" s="2">
        <v>9.7000000000000003E-2</v>
      </c>
      <c r="I1391" s="2">
        <v>265.67200000000003</v>
      </c>
      <c r="J1391" s="2">
        <v>265.45100000000002</v>
      </c>
      <c r="K1391" s="15">
        <v>3.7109999999999999</v>
      </c>
      <c r="L1391" s="2">
        <v>27.145</v>
      </c>
      <c r="N1391" s="7">
        <f t="shared" si="184"/>
        <v>240</v>
      </c>
      <c r="O1391" s="1">
        <f t="shared" si="185"/>
        <v>131</v>
      </c>
      <c r="P1391" s="1" t="str">
        <f t="shared" si="187"/>
        <v>240,131</v>
      </c>
      <c r="Q1391" s="6" t="s">
        <v>10</v>
      </c>
      <c r="R1391" s="1">
        <v>90</v>
      </c>
      <c r="S1391" s="1">
        <v>2.5</v>
      </c>
      <c r="T1391" s="1" t="str">
        <f t="shared" si="186"/>
        <v>-text 240,131 2.5 90 265.451</v>
      </c>
    </row>
    <row r="1392" spans="1:20" x14ac:dyDescent="0.35">
      <c r="A1392" s="1">
        <v>279260</v>
      </c>
      <c r="B1392" s="7">
        <v>1168691.5</v>
      </c>
      <c r="C1392" s="2">
        <v>269.71699999999998</v>
      </c>
      <c r="D1392" s="2">
        <v>269.87200000000001</v>
      </c>
      <c r="E1392" s="2">
        <v>0.155</v>
      </c>
      <c r="F1392" s="2">
        <v>269.04500000000002</v>
      </c>
      <c r="G1392" s="2">
        <v>269.15899999999999</v>
      </c>
      <c r="H1392" s="2">
        <v>0.114</v>
      </c>
      <c r="I1392" s="2">
        <v>266.56799999999998</v>
      </c>
      <c r="J1392" s="2">
        <v>266.01799999999997</v>
      </c>
      <c r="K1392" s="15">
        <v>3.141</v>
      </c>
      <c r="L1392" s="2">
        <v>27.081</v>
      </c>
      <c r="N1392" s="7">
        <f t="shared" si="184"/>
        <v>260</v>
      </c>
      <c r="O1392" s="1">
        <f t="shared" si="185"/>
        <v>131</v>
      </c>
      <c r="P1392" s="1" t="str">
        <f t="shared" si="187"/>
        <v>260,131</v>
      </c>
      <c r="Q1392" s="6" t="s">
        <v>10</v>
      </c>
      <c r="R1392" s="1">
        <v>90</v>
      </c>
      <c r="S1392" s="1">
        <v>2.5</v>
      </c>
      <c r="T1392" s="1" t="str">
        <f t="shared" si="186"/>
        <v>-text 260,131 2.5 90 266.018</v>
      </c>
    </row>
    <row r="1393" spans="1:20" x14ac:dyDescent="0.35">
      <c r="A1393" s="1">
        <v>279280</v>
      </c>
      <c r="B1393" s="7">
        <v>1168711.3999999999</v>
      </c>
      <c r="C1393" s="2">
        <v>269.72899999999998</v>
      </c>
      <c r="D1393" s="2">
        <v>269.86900000000003</v>
      </c>
      <c r="E1393" s="2">
        <v>0.14000000000000001</v>
      </c>
      <c r="F1393" s="2">
        <v>269.05700000000002</v>
      </c>
      <c r="G1393" s="2">
        <v>269.15600000000001</v>
      </c>
      <c r="H1393" s="2">
        <v>9.9000000000000005E-2</v>
      </c>
      <c r="I1393" s="2">
        <v>266.29000000000002</v>
      </c>
      <c r="J1393" s="2">
        <v>266.15100000000001</v>
      </c>
      <c r="K1393" s="15">
        <v>3.0049999999999999</v>
      </c>
      <c r="L1393" s="2">
        <v>26.899000000000001</v>
      </c>
      <c r="N1393" s="7">
        <f t="shared" si="184"/>
        <v>279.89999999990687</v>
      </c>
      <c r="O1393" s="1">
        <f t="shared" si="185"/>
        <v>131</v>
      </c>
      <c r="P1393" s="1" t="str">
        <f t="shared" si="187"/>
        <v>279.899999999907,131</v>
      </c>
      <c r="Q1393" s="6" t="s">
        <v>10</v>
      </c>
      <c r="R1393" s="1">
        <v>90</v>
      </c>
      <c r="S1393" s="1">
        <v>2.5</v>
      </c>
      <c r="T1393" s="1" t="str">
        <f t="shared" si="186"/>
        <v>-text 279.899999999907,131 2.5 90 266.151</v>
      </c>
    </row>
    <row r="1394" spans="1:20" x14ac:dyDescent="0.35">
      <c r="A1394" s="1">
        <v>279300</v>
      </c>
      <c r="B1394" s="7">
        <v>1168731.3999999999</v>
      </c>
      <c r="C1394" s="2">
        <v>269.779</v>
      </c>
      <c r="D1394" s="2">
        <v>269.86599999999999</v>
      </c>
      <c r="E1394" s="2">
        <v>8.7999999999999995E-2</v>
      </c>
      <c r="F1394" s="2">
        <v>269.10700000000003</v>
      </c>
      <c r="G1394" s="2">
        <v>269.15300000000002</v>
      </c>
      <c r="H1394" s="2">
        <v>4.7E-2</v>
      </c>
      <c r="I1394" s="2">
        <v>265.97500000000002</v>
      </c>
      <c r="J1394" s="2">
        <v>266.22000000000003</v>
      </c>
      <c r="K1394" s="15">
        <v>2.9340000000000002</v>
      </c>
      <c r="L1394" s="2">
        <v>26.535</v>
      </c>
      <c r="N1394" s="7">
        <f t="shared" si="184"/>
        <v>299.89999999990687</v>
      </c>
      <c r="O1394" s="1">
        <f t="shared" si="185"/>
        <v>131</v>
      </c>
      <c r="P1394" s="1" t="str">
        <f t="shared" si="187"/>
        <v>299.899999999907,131</v>
      </c>
      <c r="Q1394" s="6" t="s">
        <v>10</v>
      </c>
      <c r="R1394" s="1">
        <v>90</v>
      </c>
      <c r="S1394" s="1">
        <v>2.5</v>
      </c>
      <c r="T1394" s="1" t="str">
        <f t="shared" si="186"/>
        <v>-text 299.899999999907,131 2.5 90 266.22</v>
      </c>
    </row>
    <row r="1395" spans="1:20" x14ac:dyDescent="0.35">
      <c r="A1395" s="1">
        <v>279320</v>
      </c>
      <c r="B1395" s="7">
        <v>1168751.5</v>
      </c>
      <c r="C1395" s="2">
        <v>269.79199999999997</v>
      </c>
      <c r="D1395" s="2">
        <v>269.86399999999998</v>
      </c>
      <c r="E1395" s="2">
        <v>7.1999999999999995E-2</v>
      </c>
      <c r="F1395" s="2">
        <v>269.12</v>
      </c>
      <c r="G1395" s="2">
        <v>269.15100000000001</v>
      </c>
      <c r="H1395" s="2">
        <v>3.1E-2</v>
      </c>
      <c r="I1395" s="2">
        <v>265.87299999999999</v>
      </c>
      <c r="J1395" s="2">
        <v>266.38799999999998</v>
      </c>
      <c r="K1395" s="15">
        <v>2.7629999999999999</v>
      </c>
      <c r="L1395" s="2">
        <v>26.052</v>
      </c>
      <c r="N1395" s="7">
        <f t="shared" si="184"/>
        <v>320</v>
      </c>
      <c r="O1395" s="1">
        <f t="shared" si="185"/>
        <v>131</v>
      </c>
      <c r="P1395" s="1" t="str">
        <f t="shared" si="187"/>
        <v>320,131</v>
      </c>
      <c r="Q1395" s="6" t="s">
        <v>10</v>
      </c>
      <c r="R1395" s="1">
        <v>90</v>
      </c>
      <c r="S1395" s="1">
        <v>2.5</v>
      </c>
      <c r="T1395" s="1" t="str">
        <f t="shared" si="186"/>
        <v>-text 320,131 2.5 90 266.388</v>
      </c>
    </row>
    <row r="1396" spans="1:20" x14ac:dyDescent="0.35">
      <c r="A1396" s="1">
        <v>279340</v>
      </c>
      <c r="B1396" s="7">
        <v>1168771.5</v>
      </c>
      <c r="C1396" s="2">
        <v>269.767</v>
      </c>
      <c r="D1396" s="2">
        <v>269.86099999999999</v>
      </c>
      <c r="E1396" s="2">
        <v>9.2999999999999999E-2</v>
      </c>
      <c r="F1396" s="2">
        <v>269.09500000000003</v>
      </c>
      <c r="G1396" s="2">
        <v>269.14800000000002</v>
      </c>
      <c r="H1396" s="2">
        <v>5.1999999999999998E-2</v>
      </c>
      <c r="I1396" s="2">
        <v>266.01400000000001</v>
      </c>
      <c r="J1396" s="2">
        <v>266.42099999999999</v>
      </c>
      <c r="K1396" s="15">
        <v>2.726</v>
      </c>
      <c r="L1396" s="2">
        <v>25.457000000000001</v>
      </c>
      <c r="N1396" s="7">
        <f t="shared" si="184"/>
        <v>340</v>
      </c>
      <c r="O1396" s="1">
        <f t="shared" si="185"/>
        <v>131</v>
      </c>
      <c r="P1396" s="1" t="str">
        <f t="shared" si="187"/>
        <v>340,131</v>
      </c>
      <c r="Q1396" s="6" t="s">
        <v>10</v>
      </c>
      <c r="R1396" s="1">
        <v>90</v>
      </c>
      <c r="S1396" s="1">
        <v>2.5</v>
      </c>
      <c r="T1396" s="1" t="str">
        <f t="shared" si="186"/>
        <v>-text 340,131 2.5 90 266.421</v>
      </c>
    </row>
    <row r="1397" spans="1:20" x14ac:dyDescent="0.35">
      <c r="A1397" s="1">
        <v>279360</v>
      </c>
      <c r="B1397" s="7">
        <v>1168791.5</v>
      </c>
      <c r="C1397" s="2">
        <v>269.755</v>
      </c>
      <c r="D1397" s="2">
        <v>269.858</v>
      </c>
      <c r="E1397" s="2">
        <v>0.10299999999999999</v>
      </c>
      <c r="F1397" s="2">
        <v>269.08300000000003</v>
      </c>
      <c r="G1397" s="2">
        <v>269.14499999999998</v>
      </c>
      <c r="H1397" s="2">
        <v>6.2E-2</v>
      </c>
      <c r="I1397" s="2">
        <v>267.38400000000001</v>
      </c>
      <c r="J1397" s="2">
        <v>267.65300000000002</v>
      </c>
      <c r="K1397" s="15">
        <v>1.4910000000000001</v>
      </c>
      <c r="L1397" s="2">
        <v>24.702999999999999</v>
      </c>
      <c r="N1397" s="7">
        <f t="shared" si="184"/>
        <v>360</v>
      </c>
      <c r="O1397" s="1">
        <f t="shared" si="185"/>
        <v>131</v>
      </c>
      <c r="P1397" s="1" t="str">
        <f t="shared" si="187"/>
        <v>360,131</v>
      </c>
      <c r="Q1397" s="6" t="s">
        <v>10</v>
      </c>
      <c r="R1397" s="1">
        <v>90</v>
      </c>
      <c r="S1397" s="1">
        <v>2.5</v>
      </c>
      <c r="T1397" s="1" t="str">
        <f t="shared" si="186"/>
        <v>-text 360,131 2.5 90 267.653</v>
      </c>
    </row>
    <row r="1398" spans="1:20" x14ac:dyDescent="0.35">
      <c r="A1398" s="1">
        <v>279380</v>
      </c>
      <c r="B1398" s="7">
        <v>1168811.5</v>
      </c>
      <c r="C1398" s="2">
        <v>269.75900000000001</v>
      </c>
      <c r="D1398" s="2">
        <v>269.85500000000002</v>
      </c>
      <c r="E1398" s="2">
        <v>9.5000000000000001E-2</v>
      </c>
      <c r="F1398" s="2">
        <v>269.08699999999999</v>
      </c>
      <c r="G1398" s="2">
        <v>269.142</v>
      </c>
      <c r="H1398" s="2">
        <v>5.3999999999999999E-2</v>
      </c>
      <c r="I1398" s="2">
        <v>268.77100000000002</v>
      </c>
      <c r="J1398" s="2">
        <v>269.072</v>
      </c>
      <c r="K1398" s="15">
        <v>7.0000000000000007E-2</v>
      </c>
      <c r="L1398" s="2">
        <v>23.82</v>
      </c>
      <c r="N1398" s="7">
        <f t="shared" si="184"/>
        <v>380</v>
      </c>
      <c r="O1398" s="1">
        <f t="shared" si="185"/>
        <v>131</v>
      </c>
      <c r="P1398" s="1" t="str">
        <f t="shared" si="187"/>
        <v>380,131</v>
      </c>
      <c r="Q1398" s="6" t="s">
        <v>10</v>
      </c>
      <c r="R1398" s="1">
        <v>90</v>
      </c>
      <c r="S1398" s="1">
        <v>2.5</v>
      </c>
      <c r="T1398" s="1" t="str">
        <f t="shared" si="186"/>
        <v>-text 380,131 2.5 90 269.072</v>
      </c>
    </row>
    <row r="1399" spans="1:20" x14ac:dyDescent="0.35">
      <c r="A1399" s="1">
        <v>279400</v>
      </c>
      <c r="B1399" s="7">
        <v>1168831.5</v>
      </c>
      <c r="C1399" s="2">
        <v>269.75200000000001</v>
      </c>
      <c r="D1399" s="2">
        <v>269.85199999999998</v>
      </c>
      <c r="E1399" s="2">
        <v>0.1</v>
      </c>
      <c r="F1399" s="2">
        <v>269.08</v>
      </c>
      <c r="G1399" s="2">
        <v>269.13900000000001</v>
      </c>
      <c r="H1399" s="2">
        <v>5.8999999999999997E-2</v>
      </c>
      <c r="I1399" s="2">
        <v>269.16699999999997</v>
      </c>
      <c r="J1399" s="2">
        <v>269.24599999999998</v>
      </c>
      <c r="K1399" s="15">
        <v>-0.107</v>
      </c>
      <c r="L1399" s="2">
        <v>22.863</v>
      </c>
      <c r="N1399" s="7">
        <f t="shared" si="184"/>
        <v>400</v>
      </c>
      <c r="O1399" s="1">
        <f t="shared" si="185"/>
        <v>131</v>
      </c>
      <c r="P1399" s="1" t="str">
        <f t="shared" si="187"/>
        <v>400,131</v>
      </c>
      <c r="Q1399" s="6" t="s">
        <v>10</v>
      </c>
      <c r="R1399" s="1">
        <v>90</v>
      </c>
      <c r="S1399" s="1">
        <v>2.5</v>
      </c>
      <c r="T1399" s="1" t="str">
        <f t="shared" si="186"/>
        <v>-text 400,131 2.5 90 269.246</v>
      </c>
    </row>
    <row r="1400" spans="1:20" x14ac:dyDescent="0.35">
      <c r="A1400" s="1">
        <v>279420</v>
      </c>
      <c r="B1400" s="7">
        <v>1168851.6000000001</v>
      </c>
      <c r="C1400" s="2">
        <v>269.72199999999998</v>
      </c>
      <c r="D1400" s="2">
        <v>269.84899999999999</v>
      </c>
      <c r="E1400" s="2">
        <v>0.127</v>
      </c>
      <c r="F1400" s="2">
        <v>269.05</v>
      </c>
      <c r="G1400" s="2">
        <v>269.13600000000002</v>
      </c>
      <c r="H1400" s="2">
        <v>8.5999999999999993E-2</v>
      </c>
      <c r="I1400" s="2">
        <v>268.47699999999998</v>
      </c>
      <c r="J1400" s="2">
        <v>268.54000000000002</v>
      </c>
      <c r="K1400" s="15">
        <v>0.59599999999999997</v>
      </c>
      <c r="L1400" s="2">
        <v>21.884</v>
      </c>
      <c r="N1400" s="7">
        <f t="shared" si="184"/>
        <v>420.10000000009313</v>
      </c>
      <c r="O1400" s="1">
        <f t="shared" si="185"/>
        <v>131</v>
      </c>
      <c r="P1400" s="1" t="str">
        <f t="shared" si="187"/>
        <v>420.100000000093,131</v>
      </c>
      <c r="Q1400" s="6" t="s">
        <v>10</v>
      </c>
      <c r="R1400" s="1">
        <v>90</v>
      </c>
      <c r="S1400" s="1">
        <v>2.5</v>
      </c>
      <c r="T1400" s="1" t="str">
        <f t="shared" si="186"/>
        <v>-text 420.100000000093,131 2.5 90 268.54</v>
      </c>
    </row>
    <row r="1401" spans="1:20" x14ac:dyDescent="0.35">
      <c r="A1401" s="1">
        <v>279440</v>
      </c>
      <c r="B1401" s="7">
        <v>1168871.6000000001</v>
      </c>
      <c r="C1401" s="2">
        <v>269.72199999999998</v>
      </c>
      <c r="D1401" s="2">
        <v>269.846</v>
      </c>
      <c r="E1401" s="2">
        <v>0.124</v>
      </c>
      <c r="F1401" s="2">
        <v>269.05</v>
      </c>
      <c r="G1401" s="2">
        <v>269.13299999999998</v>
      </c>
      <c r="H1401" s="2">
        <v>8.3000000000000004E-2</v>
      </c>
      <c r="I1401" s="2">
        <v>267.392</v>
      </c>
      <c r="J1401" s="2">
        <v>267.416</v>
      </c>
      <c r="K1401" s="15">
        <v>1.7170000000000001</v>
      </c>
      <c r="L1401" s="2">
        <v>20.946000000000002</v>
      </c>
      <c r="N1401" s="7">
        <f t="shared" si="184"/>
        <v>440.10000000009313</v>
      </c>
      <c r="O1401" s="1">
        <f t="shared" si="185"/>
        <v>131</v>
      </c>
      <c r="P1401" s="1" t="str">
        <f t="shared" si="187"/>
        <v>440.100000000093,131</v>
      </c>
      <c r="Q1401" s="6" t="s">
        <v>10</v>
      </c>
      <c r="R1401" s="1">
        <v>90</v>
      </c>
      <c r="S1401" s="1">
        <v>2.5</v>
      </c>
      <c r="T1401" s="1" t="str">
        <f t="shared" si="186"/>
        <v>-text 440.100000000093,131 2.5 90 267.416</v>
      </c>
    </row>
    <row r="1402" spans="1:20" x14ac:dyDescent="0.35">
      <c r="A1402" s="1">
        <v>279460</v>
      </c>
      <c r="B1402" s="7">
        <v>1168891.5</v>
      </c>
      <c r="C1402" s="2">
        <v>269.70400000000001</v>
      </c>
      <c r="D1402" s="2">
        <v>269.84300000000002</v>
      </c>
      <c r="E1402" s="2">
        <v>0.13900000000000001</v>
      </c>
      <c r="F1402" s="2">
        <v>269.03199999999998</v>
      </c>
      <c r="G1402" s="2">
        <v>269.13</v>
      </c>
      <c r="H1402" s="2">
        <v>9.8000000000000004E-2</v>
      </c>
      <c r="I1402" s="2">
        <v>266.59899999999999</v>
      </c>
      <c r="J1402" s="2">
        <v>267.67599999999999</v>
      </c>
      <c r="K1402" s="15">
        <v>1.454</v>
      </c>
      <c r="L1402" s="2">
        <v>19.978000000000002</v>
      </c>
      <c r="N1402" s="7">
        <f t="shared" si="184"/>
        <v>460</v>
      </c>
      <c r="O1402" s="1">
        <f t="shared" si="185"/>
        <v>131</v>
      </c>
      <c r="P1402" s="1" t="str">
        <f t="shared" si="187"/>
        <v>460,131</v>
      </c>
      <c r="Q1402" s="6" t="s">
        <v>10</v>
      </c>
      <c r="R1402" s="1">
        <v>90</v>
      </c>
      <c r="S1402" s="1">
        <v>2.5</v>
      </c>
      <c r="T1402" s="1" t="str">
        <f t="shared" si="186"/>
        <v>-text 460,131 2.5 90 267.676</v>
      </c>
    </row>
    <row r="1403" spans="1:20" x14ac:dyDescent="0.35">
      <c r="A1403" s="1">
        <v>279480</v>
      </c>
      <c r="B1403" s="7">
        <v>1168911.5</v>
      </c>
      <c r="C1403" s="2">
        <v>269.68</v>
      </c>
      <c r="D1403" s="2">
        <v>269.84500000000003</v>
      </c>
      <c r="E1403" s="2">
        <v>0.16600000000000001</v>
      </c>
      <c r="F1403" s="2">
        <v>269.00799999999998</v>
      </c>
      <c r="G1403" s="2">
        <v>269.13200000000001</v>
      </c>
      <c r="H1403" s="2">
        <v>0.125</v>
      </c>
      <c r="I1403" s="2">
        <v>266.07100000000003</v>
      </c>
      <c r="J1403" s="2">
        <v>265.52600000000001</v>
      </c>
      <c r="K1403" s="15">
        <v>3.6059999999999999</v>
      </c>
      <c r="L1403" s="2">
        <v>19</v>
      </c>
      <c r="N1403" s="7">
        <f t="shared" si="184"/>
        <v>480</v>
      </c>
      <c r="O1403" s="1">
        <f t="shared" si="185"/>
        <v>131</v>
      </c>
      <c r="P1403" s="1" t="str">
        <f t="shared" si="187"/>
        <v>480,131</v>
      </c>
      <c r="Q1403" s="6" t="s">
        <v>10</v>
      </c>
      <c r="R1403" s="1">
        <v>90</v>
      </c>
      <c r="S1403" s="1">
        <v>2.5</v>
      </c>
      <c r="T1403" s="1" t="str">
        <f t="shared" si="186"/>
        <v>-text 480,131 2.5 90 265.526</v>
      </c>
    </row>
    <row r="1404" spans="1:20" x14ac:dyDescent="0.35">
      <c r="A1404" s="1">
        <v>279500</v>
      </c>
      <c r="B1404" s="7">
        <v>1168931.5</v>
      </c>
      <c r="C1404" s="2">
        <v>269.66000000000003</v>
      </c>
      <c r="D1404" s="2">
        <v>269.863</v>
      </c>
      <c r="E1404" s="2">
        <v>0.20200000000000001</v>
      </c>
      <c r="F1404" s="2">
        <v>268.988</v>
      </c>
      <c r="G1404" s="2">
        <v>269.14999999999998</v>
      </c>
      <c r="H1404" s="2">
        <v>0.161</v>
      </c>
      <c r="I1404" s="2">
        <v>265.68599999999998</v>
      </c>
      <c r="J1404" s="2">
        <v>266.024</v>
      </c>
      <c r="K1404" s="15">
        <v>3.1259999999999999</v>
      </c>
      <c r="L1404" s="2">
        <v>18.016999999999999</v>
      </c>
      <c r="N1404" s="7">
        <f>N1401+(B1404-B1401)</f>
        <v>500</v>
      </c>
      <c r="O1404" s="1">
        <f t="shared" si="185"/>
        <v>131</v>
      </c>
      <c r="P1404" s="1" t="str">
        <f t="shared" ref="P1404" si="188">CONCATENATE(N1404,",",O1404)</f>
        <v>500,131</v>
      </c>
      <c r="Q1404" s="6" t="s">
        <v>10</v>
      </c>
      <c r="R1404" s="1">
        <v>90</v>
      </c>
      <c r="S1404" s="1">
        <v>2.5</v>
      </c>
      <c r="T1404" s="1" t="str">
        <f t="shared" si="186"/>
        <v>-text 500,131 2.5 90 266.024</v>
      </c>
    </row>
    <row r="1405" spans="1:20" s="10" customFormat="1" x14ac:dyDescent="0.35">
      <c r="B1405" s="11"/>
      <c r="C1405" s="9"/>
      <c r="D1405" s="9"/>
      <c r="E1405" s="9"/>
      <c r="F1405" s="9"/>
      <c r="G1405" s="9"/>
      <c r="H1405" s="9"/>
      <c r="I1405" s="9"/>
      <c r="J1405" s="9"/>
      <c r="K1405" s="16"/>
      <c r="L1405" s="9"/>
      <c r="M1405" s="9"/>
      <c r="N1405" s="11"/>
      <c r="Q1405" s="12"/>
    </row>
    <row r="1406" spans="1:20" x14ac:dyDescent="0.35">
      <c r="A1406" s="28">
        <v>279500</v>
      </c>
      <c r="B1406" s="29">
        <v>1168931.5</v>
      </c>
      <c r="C1406" s="30">
        <v>269.66000000000003</v>
      </c>
      <c r="D1406" s="30">
        <v>269.863</v>
      </c>
      <c r="E1406" s="30">
        <v>0.20200000000000001</v>
      </c>
      <c r="F1406" s="30">
        <v>268.988</v>
      </c>
      <c r="G1406" s="30">
        <v>269.14999999999998</v>
      </c>
      <c r="H1406" s="30">
        <v>0.161</v>
      </c>
      <c r="I1406" s="30">
        <v>265.68599999999998</v>
      </c>
      <c r="J1406" s="30">
        <v>266.024</v>
      </c>
      <c r="K1406" s="31">
        <v>3.1259999999999999</v>
      </c>
      <c r="L1406" s="30">
        <v>18.016999999999999</v>
      </c>
      <c r="N1406" s="7">
        <v>0</v>
      </c>
      <c r="O1406" s="1">
        <f t="shared" si="185"/>
        <v>131</v>
      </c>
      <c r="P1406" s="1" t="str">
        <f t="shared" si="187"/>
        <v>0,131</v>
      </c>
      <c r="Q1406" s="6" t="s">
        <v>10</v>
      </c>
      <c r="R1406" s="1">
        <v>90</v>
      </c>
      <c r="S1406" s="1">
        <v>2.5</v>
      </c>
      <c r="T1406" s="1" t="str">
        <f t="shared" si="186"/>
        <v>-text 0,131 2.5 90 266.024</v>
      </c>
    </row>
    <row r="1407" spans="1:20" x14ac:dyDescent="0.35">
      <c r="A1407" s="1">
        <v>279500</v>
      </c>
      <c r="B1407" s="7">
        <v>1168931.5</v>
      </c>
      <c r="C1407" s="2">
        <v>269.66000000000003</v>
      </c>
      <c r="D1407" s="2">
        <v>269.863</v>
      </c>
      <c r="E1407" s="2">
        <v>0.20200000000000001</v>
      </c>
      <c r="F1407" s="2">
        <v>268.988</v>
      </c>
      <c r="G1407" s="2">
        <v>269.14999999999998</v>
      </c>
      <c r="H1407" s="2">
        <v>0.161</v>
      </c>
      <c r="I1407" s="2">
        <v>265.68599999999998</v>
      </c>
      <c r="J1407" s="2">
        <v>266.024</v>
      </c>
      <c r="K1407" s="15">
        <v>3.1259999999999999</v>
      </c>
      <c r="L1407" s="2">
        <v>18.016999999999999</v>
      </c>
      <c r="N1407" s="7">
        <f t="shared" ref="N1407:N1432" si="189">N1406+(B1407-B1406)</f>
        <v>0</v>
      </c>
      <c r="O1407" s="1">
        <f t="shared" si="185"/>
        <v>131</v>
      </c>
      <c r="P1407" s="1" t="str">
        <f t="shared" si="187"/>
        <v>0,131</v>
      </c>
      <c r="Q1407" s="6" t="s">
        <v>10</v>
      </c>
      <c r="R1407" s="1">
        <v>90</v>
      </c>
      <c r="S1407" s="1">
        <v>2.5</v>
      </c>
      <c r="T1407" s="1" t="str">
        <f t="shared" si="186"/>
        <v>-text 0,131 2.5 90 266.024</v>
      </c>
    </row>
    <row r="1408" spans="1:20" x14ac:dyDescent="0.35">
      <c r="A1408" s="1">
        <v>279520</v>
      </c>
      <c r="B1408" s="7">
        <v>1168951.5</v>
      </c>
      <c r="C1408" s="2">
        <v>269.65800000000002</v>
      </c>
      <c r="D1408" s="2">
        <v>269.88</v>
      </c>
      <c r="E1408" s="2">
        <v>0.222</v>
      </c>
      <c r="F1408" s="2">
        <v>268.98599999999999</v>
      </c>
      <c r="G1408" s="2">
        <v>269.16699999999997</v>
      </c>
      <c r="H1408" s="2">
        <v>0.18099999999999999</v>
      </c>
      <c r="I1408" s="2">
        <v>265.67899999999997</v>
      </c>
      <c r="J1408" s="2">
        <v>266.48599999999999</v>
      </c>
      <c r="K1408" s="15">
        <v>2.681</v>
      </c>
      <c r="L1408" s="2">
        <v>17.039000000000001</v>
      </c>
      <c r="N1408" s="7">
        <f t="shared" si="189"/>
        <v>20</v>
      </c>
      <c r="O1408" s="1">
        <f t="shared" si="185"/>
        <v>131</v>
      </c>
      <c r="P1408" s="1" t="str">
        <f t="shared" si="187"/>
        <v>20,131</v>
      </c>
      <c r="Q1408" s="6" t="s">
        <v>10</v>
      </c>
      <c r="R1408" s="1">
        <v>90</v>
      </c>
      <c r="S1408" s="1">
        <v>2.5</v>
      </c>
      <c r="T1408" s="1" t="str">
        <f t="shared" si="186"/>
        <v>-text 20,131 2.5 90 266.486</v>
      </c>
    </row>
    <row r="1409" spans="1:20" x14ac:dyDescent="0.35">
      <c r="A1409" s="1">
        <v>279540</v>
      </c>
      <c r="B1409" s="7">
        <v>1168971.6000000001</v>
      </c>
      <c r="C1409" s="2">
        <v>269.64800000000002</v>
      </c>
      <c r="D1409" s="2">
        <v>269.89800000000002</v>
      </c>
      <c r="E1409" s="2">
        <v>0.25</v>
      </c>
      <c r="F1409" s="2">
        <v>268.976</v>
      </c>
      <c r="G1409" s="2">
        <v>269.185</v>
      </c>
      <c r="H1409" s="2">
        <v>0.20899999999999999</v>
      </c>
      <c r="I1409" s="2">
        <v>265.54599999999999</v>
      </c>
      <c r="J1409" s="2">
        <v>265.565</v>
      </c>
      <c r="K1409" s="15">
        <v>3.6190000000000002</v>
      </c>
      <c r="L1409" s="2">
        <v>16.128</v>
      </c>
      <c r="N1409" s="7">
        <f t="shared" si="189"/>
        <v>40.100000000093132</v>
      </c>
      <c r="O1409" s="1">
        <f t="shared" si="185"/>
        <v>131</v>
      </c>
      <c r="P1409" s="1" t="str">
        <f t="shared" si="187"/>
        <v>40.1000000000931,131</v>
      </c>
      <c r="Q1409" s="6" t="s">
        <v>10</v>
      </c>
      <c r="R1409" s="1">
        <v>90</v>
      </c>
      <c r="S1409" s="1">
        <v>2.5</v>
      </c>
      <c r="T1409" s="1" t="str">
        <f t="shared" si="186"/>
        <v>-text 40.1000000000931,131 2.5 90 265.565</v>
      </c>
    </row>
    <row r="1410" spans="1:20" x14ac:dyDescent="0.35">
      <c r="A1410" s="1">
        <v>279560</v>
      </c>
      <c r="B1410" s="7">
        <v>1168991.6000000001</v>
      </c>
      <c r="C1410" s="2">
        <v>269.63200000000001</v>
      </c>
      <c r="D1410" s="2">
        <v>269.91500000000002</v>
      </c>
      <c r="E1410" s="2">
        <v>0.28299999999999997</v>
      </c>
      <c r="F1410" s="2">
        <v>268.95999999999998</v>
      </c>
      <c r="G1410" s="2">
        <v>269.202</v>
      </c>
      <c r="H1410" s="2">
        <v>0.24199999999999999</v>
      </c>
      <c r="I1410" s="2">
        <v>265.07400000000001</v>
      </c>
      <c r="J1410" s="2">
        <v>265.44499999999999</v>
      </c>
      <c r="K1410" s="15">
        <v>3.758</v>
      </c>
      <c r="L1410" s="2">
        <v>15.363</v>
      </c>
      <c r="N1410" s="7">
        <f t="shared" si="189"/>
        <v>60.100000000093132</v>
      </c>
      <c r="O1410" s="1">
        <f t="shared" si="185"/>
        <v>131</v>
      </c>
      <c r="P1410" s="1" t="str">
        <f t="shared" si="187"/>
        <v>60.1000000000931,131</v>
      </c>
      <c r="Q1410" s="6" t="s">
        <v>10</v>
      </c>
      <c r="R1410" s="1">
        <v>90</v>
      </c>
      <c r="S1410" s="1">
        <v>2.5</v>
      </c>
      <c r="T1410" s="1" t="str">
        <f t="shared" si="186"/>
        <v>-text 60.1000000000931,131 2.5 90 265.445</v>
      </c>
    </row>
    <row r="1411" spans="1:20" x14ac:dyDescent="0.35">
      <c r="A1411" s="1">
        <v>279580</v>
      </c>
      <c r="B1411" s="7">
        <v>1169011.6000000001</v>
      </c>
      <c r="C1411" s="2">
        <v>269.61799999999999</v>
      </c>
      <c r="D1411" s="2">
        <v>269.93299999999999</v>
      </c>
      <c r="E1411" s="2">
        <v>0.314</v>
      </c>
      <c r="F1411" s="2">
        <v>268.94600000000003</v>
      </c>
      <c r="G1411" s="2">
        <v>269.22000000000003</v>
      </c>
      <c r="H1411" s="2">
        <v>0.27300000000000002</v>
      </c>
      <c r="I1411" s="2">
        <v>267.709</v>
      </c>
      <c r="J1411" s="2">
        <v>267.85500000000002</v>
      </c>
      <c r="K1411" s="15">
        <v>1.3640000000000001</v>
      </c>
      <c r="L1411" s="2">
        <v>14.715999999999999</v>
      </c>
      <c r="N1411" s="7">
        <f t="shared" si="189"/>
        <v>80.100000000093132</v>
      </c>
      <c r="O1411" s="1">
        <f t="shared" si="185"/>
        <v>131</v>
      </c>
      <c r="P1411" s="1" t="str">
        <f t="shared" si="187"/>
        <v>80.1000000000931,131</v>
      </c>
      <c r="Q1411" s="6" t="s">
        <v>10</v>
      </c>
      <c r="R1411" s="1">
        <v>90</v>
      </c>
      <c r="S1411" s="1">
        <v>2.5</v>
      </c>
      <c r="T1411" s="1" t="str">
        <f t="shared" si="186"/>
        <v>-text 80.1000000000931,131 2.5 90 267.855</v>
      </c>
    </row>
    <row r="1412" spans="1:20" x14ac:dyDescent="0.35">
      <c r="A1412" s="1">
        <v>279600</v>
      </c>
      <c r="B1412" s="7">
        <v>1169031.7</v>
      </c>
      <c r="C1412" s="2">
        <v>269.59800000000001</v>
      </c>
      <c r="D1412" s="2">
        <v>269.95</v>
      </c>
      <c r="E1412" s="2">
        <v>0.35299999999999998</v>
      </c>
      <c r="F1412" s="2">
        <v>268.92599999999999</v>
      </c>
      <c r="G1412" s="2">
        <v>269.23700000000002</v>
      </c>
      <c r="H1412" s="2">
        <v>0.312</v>
      </c>
      <c r="I1412" s="2">
        <v>268.05900000000003</v>
      </c>
      <c r="J1412" s="2">
        <v>268.64699999999999</v>
      </c>
      <c r="K1412" s="15">
        <v>0.59</v>
      </c>
      <c r="L1412" s="2">
        <v>14.243</v>
      </c>
      <c r="N1412" s="7">
        <f t="shared" si="189"/>
        <v>100.19999999995343</v>
      </c>
      <c r="O1412" s="1">
        <f t="shared" si="185"/>
        <v>131</v>
      </c>
      <c r="P1412" s="1" t="str">
        <f t="shared" si="187"/>
        <v>100.199999999953,131</v>
      </c>
      <c r="Q1412" s="6" t="s">
        <v>10</v>
      </c>
      <c r="R1412" s="1">
        <v>90</v>
      </c>
      <c r="S1412" s="1">
        <v>2.5</v>
      </c>
      <c r="T1412" s="1" t="str">
        <f t="shared" si="186"/>
        <v>-text 100.199999999953,131 2.5 90 268.647</v>
      </c>
    </row>
    <row r="1413" spans="1:20" x14ac:dyDescent="0.35">
      <c r="A1413" s="1">
        <v>279620</v>
      </c>
      <c r="B1413" s="7">
        <v>1169051.7</v>
      </c>
      <c r="C1413" s="2">
        <v>269.56700000000001</v>
      </c>
      <c r="D1413" s="2">
        <v>269.96800000000002</v>
      </c>
      <c r="E1413" s="2">
        <v>0.4</v>
      </c>
      <c r="F1413" s="2">
        <v>268.89499999999998</v>
      </c>
      <c r="G1413" s="2">
        <v>269.255</v>
      </c>
      <c r="H1413" s="2">
        <v>0.35899999999999999</v>
      </c>
      <c r="I1413" s="2">
        <v>266.64400000000001</v>
      </c>
      <c r="J1413" s="2">
        <v>267.541</v>
      </c>
      <c r="K1413" s="15">
        <v>1.714</v>
      </c>
      <c r="L1413" s="2">
        <v>13.955</v>
      </c>
      <c r="N1413" s="7">
        <f t="shared" si="189"/>
        <v>120.19999999995343</v>
      </c>
      <c r="O1413" s="1">
        <f t="shared" si="185"/>
        <v>131</v>
      </c>
      <c r="P1413" s="1" t="str">
        <f t="shared" si="187"/>
        <v>120.199999999953,131</v>
      </c>
      <c r="Q1413" s="6" t="s">
        <v>10</v>
      </c>
      <c r="R1413" s="1">
        <v>90</v>
      </c>
      <c r="S1413" s="1">
        <v>2.5</v>
      </c>
      <c r="T1413" s="1" t="str">
        <f t="shared" si="186"/>
        <v>-text 120.199999999953,131 2.5 90 267.541</v>
      </c>
    </row>
    <row r="1414" spans="1:20" x14ac:dyDescent="0.35">
      <c r="A1414" s="1">
        <v>279640</v>
      </c>
      <c r="B1414" s="7">
        <v>1169072</v>
      </c>
      <c r="C1414" s="2">
        <v>269.55399999999997</v>
      </c>
      <c r="D1414" s="2">
        <v>269.98500000000001</v>
      </c>
      <c r="E1414" s="2">
        <v>0.43099999999999999</v>
      </c>
      <c r="F1414" s="2">
        <v>268.88200000000001</v>
      </c>
      <c r="G1414" s="2">
        <v>269.27199999999999</v>
      </c>
      <c r="H1414" s="2">
        <v>0.39</v>
      </c>
      <c r="I1414" s="2">
        <v>267.005</v>
      </c>
      <c r="J1414" s="2">
        <v>266.84699999999998</v>
      </c>
      <c r="K1414" s="15">
        <v>2.4249999999999998</v>
      </c>
      <c r="L1414" s="2">
        <v>14.048</v>
      </c>
      <c r="N1414" s="7">
        <f t="shared" si="189"/>
        <v>140.5</v>
      </c>
      <c r="O1414" s="1">
        <f t="shared" si="185"/>
        <v>131</v>
      </c>
      <c r="P1414" s="1" t="str">
        <f t="shared" si="187"/>
        <v>140.5,131</v>
      </c>
      <c r="Q1414" s="6" t="s">
        <v>10</v>
      </c>
      <c r="R1414" s="1">
        <v>90</v>
      </c>
      <c r="S1414" s="1">
        <v>2.5</v>
      </c>
      <c r="T1414" s="1" t="str">
        <f t="shared" si="186"/>
        <v>-text 140.5,131 2.5 90 266.847</v>
      </c>
    </row>
    <row r="1415" spans="1:20" x14ac:dyDescent="0.35">
      <c r="A1415" s="1">
        <v>279660</v>
      </c>
      <c r="B1415" s="7">
        <v>1169092</v>
      </c>
      <c r="C1415" s="2">
        <v>269.54399999999998</v>
      </c>
      <c r="D1415" s="2">
        <v>270.00299999999999</v>
      </c>
      <c r="E1415" s="2">
        <v>0.45900000000000002</v>
      </c>
      <c r="F1415" s="2">
        <v>268.87200000000001</v>
      </c>
      <c r="G1415" s="2">
        <v>269.29000000000002</v>
      </c>
      <c r="H1415" s="2">
        <v>0.41799999999999998</v>
      </c>
      <c r="I1415" s="2">
        <v>266.93599999999998</v>
      </c>
      <c r="J1415" s="2">
        <v>267.41800000000001</v>
      </c>
      <c r="K1415" s="15">
        <v>1.8720000000000001</v>
      </c>
      <c r="L1415" s="2">
        <v>14.316000000000001</v>
      </c>
      <c r="N1415" s="7">
        <f t="shared" si="189"/>
        <v>160.5</v>
      </c>
      <c r="O1415" s="1">
        <f t="shared" si="185"/>
        <v>131</v>
      </c>
      <c r="P1415" s="1" t="str">
        <f t="shared" si="187"/>
        <v>160.5,131</v>
      </c>
      <c r="Q1415" s="6" t="s">
        <v>10</v>
      </c>
      <c r="R1415" s="1">
        <v>90</v>
      </c>
      <c r="S1415" s="1">
        <v>2.5</v>
      </c>
      <c r="T1415" s="1" t="str">
        <f t="shared" si="186"/>
        <v>-text 160.5,131 2.5 90 267.418</v>
      </c>
    </row>
    <row r="1416" spans="1:20" x14ac:dyDescent="0.35">
      <c r="A1416" s="1">
        <v>279680</v>
      </c>
      <c r="B1416" s="7">
        <v>1169112.2</v>
      </c>
      <c r="C1416" s="2">
        <v>269.55900000000003</v>
      </c>
      <c r="D1416" s="2">
        <v>270.02</v>
      </c>
      <c r="E1416" s="2">
        <v>0.46200000000000002</v>
      </c>
      <c r="F1416" s="2">
        <v>268.887</v>
      </c>
      <c r="G1416" s="2">
        <v>269.30700000000002</v>
      </c>
      <c r="H1416" s="2">
        <v>0.42099999999999999</v>
      </c>
      <c r="I1416" s="2">
        <v>266.892</v>
      </c>
      <c r="J1416" s="2">
        <v>267.47899999999998</v>
      </c>
      <c r="K1416" s="15">
        <v>1.829</v>
      </c>
      <c r="L1416" s="2">
        <v>14.805999999999999</v>
      </c>
      <c r="N1416" s="7">
        <f t="shared" si="189"/>
        <v>180.69999999995343</v>
      </c>
      <c r="O1416" s="1">
        <f t="shared" si="185"/>
        <v>131</v>
      </c>
      <c r="P1416" s="1" t="str">
        <f t="shared" si="187"/>
        <v>180.699999999953,131</v>
      </c>
      <c r="Q1416" s="6" t="s">
        <v>10</v>
      </c>
      <c r="R1416" s="1">
        <v>90</v>
      </c>
      <c r="S1416" s="1">
        <v>2.5</v>
      </c>
      <c r="T1416" s="1" t="str">
        <f t="shared" si="186"/>
        <v>-text 180.699999999953,131 2.5 90 267.479</v>
      </c>
    </row>
    <row r="1417" spans="1:20" x14ac:dyDescent="0.35">
      <c r="A1417" s="1">
        <v>279700</v>
      </c>
      <c r="B1417" s="7">
        <v>1169132.3</v>
      </c>
      <c r="C1417" s="2">
        <v>269.57600000000002</v>
      </c>
      <c r="D1417" s="2">
        <v>270.03800000000001</v>
      </c>
      <c r="E1417" s="2">
        <v>0.46100000000000002</v>
      </c>
      <c r="F1417" s="2">
        <v>268.904</v>
      </c>
      <c r="G1417" s="2">
        <v>269.32499999999999</v>
      </c>
      <c r="H1417" s="2">
        <v>0.42</v>
      </c>
      <c r="I1417" s="2">
        <v>266.74799999999999</v>
      </c>
      <c r="J1417" s="2">
        <v>267.22899999999998</v>
      </c>
      <c r="K1417" s="15">
        <v>2.0960000000000001</v>
      </c>
      <c r="L1417" s="2">
        <v>15.462999999999999</v>
      </c>
      <c r="N1417" s="7">
        <f t="shared" si="189"/>
        <v>200.80000000004657</v>
      </c>
      <c r="O1417" s="1">
        <f t="shared" si="185"/>
        <v>131</v>
      </c>
      <c r="P1417" s="1" t="str">
        <f t="shared" si="187"/>
        <v>200.800000000047,131</v>
      </c>
      <c r="Q1417" s="6" t="s">
        <v>10</v>
      </c>
      <c r="R1417" s="1">
        <v>90</v>
      </c>
      <c r="S1417" s="1">
        <v>2.5</v>
      </c>
      <c r="T1417" s="1" t="str">
        <f t="shared" si="186"/>
        <v>-text 200.800000000047,131 2.5 90 267.229</v>
      </c>
    </row>
    <row r="1418" spans="1:20" x14ac:dyDescent="0.35">
      <c r="A1418" s="1">
        <v>279720</v>
      </c>
      <c r="B1418" s="7">
        <v>1169152.2</v>
      </c>
      <c r="C1418" s="2">
        <v>269.577</v>
      </c>
      <c r="D1418" s="2">
        <v>270.05500000000001</v>
      </c>
      <c r="E1418" s="2">
        <v>0.47899999999999998</v>
      </c>
      <c r="F1418" s="2">
        <v>268.90499999999997</v>
      </c>
      <c r="G1418" s="2">
        <v>269.34199999999998</v>
      </c>
      <c r="H1418" s="2">
        <v>0.438</v>
      </c>
      <c r="I1418" s="2">
        <v>266.33699999999999</v>
      </c>
      <c r="J1418" s="2">
        <v>266.04399999999998</v>
      </c>
      <c r="K1418" s="15">
        <v>3.298</v>
      </c>
      <c r="L1418" s="2">
        <v>16.088000000000001</v>
      </c>
      <c r="N1418" s="7">
        <f t="shared" si="189"/>
        <v>220.69999999995343</v>
      </c>
      <c r="O1418" s="1">
        <f t="shared" si="185"/>
        <v>131</v>
      </c>
      <c r="P1418" s="1" t="str">
        <f t="shared" si="187"/>
        <v>220.699999999953,131</v>
      </c>
      <c r="Q1418" s="6" t="s">
        <v>10</v>
      </c>
      <c r="R1418" s="1">
        <v>90</v>
      </c>
      <c r="S1418" s="1">
        <v>2.5</v>
      </c>
      <c r="T1418" s="1" t="str">
        <f t="shared" si="186"/>
        <v>-text 220.699999999953,131 2.5 90 266.044</v>
      </c>
    </row>
    <row r="1419" spans="1:20" x14ac:dyDescent="0.35">
      <c r="A1419" s="1">
        <v>279740</v>
      </c>
      <c r="B1419" s="7">
        <v>1169172</v>
      </c>
      <c r="C1419" s="2">
        <v>269.60700000000003</v>
      </c>
      <c r="D1419" s="2">
        <v>270.072</v>
      </c>
      <c r="E1419" s="2">
        <v>0.46600000000000003</v>
      </c>
      <c r="F1419" s="2">
        <v>268.935</v>
      </c>
      <c r="G1419" s="2">
        <v>269.35899999999998</v>
      </c>
      <c r="H1419" s="2">
        <v>0.42499999999999999</v>
      </c>
      <c r="I1419" s="2">
        <v>266.411</v>
      </c>
      <c r="J1419" s="2">
        <v>266.56799999999998</v>
      </c>
      <c r="K1419" s="15">
        <v>2.7909999999999999</v>
      </c>
      <c r="L1419" s="2">
        <v>16.712</v>
      </c>
      <c r="N1419" s="7">
        <f t="shared" si="189"/>
        <v>240.5</v>
      </c>
      <c r="O1419" s="1">
        <f t="shared" si="185"/>
        <v>131</v>
      </c>
      <c r="P1419" s="1" t="str">
        <f t="shared" si="187"/>
        <v>240.5,131</v>
      </c>
      <c r="Q1419" s="6" t="s">
        <v>10</v>
      </c>
      <c r="R1419" s="1">
        <v>90</v>
      </c>
      <c r="S1419" s="1">
        <v>2.5</v>
      </c>
      <c r="T1419" s="1" t="str">
        <f t="shared" si="186"/>
        <v>-text 240.5,131 2.5 90 266.568</v>
      </c>
    </row>
    <row r="1420" spans="1:20" x14ac:dyDescent="0.35">
      <c r="A1420" s="1">
        <v>279760</v>
      </c>
      <c r="B1420" s="7">
        <v>1169192</v>
      </c>
      <c r="C1420" s="2">
        <v>269.62299999999999</v>
      </c>
      <c r="D1420" s="2">
        <v>270.08999999999997</v>
      </c>
      <c r="E1420" s="2">
        <v>0.46700000000000003</v>
      </c>
      <c r="F1420" s="2">
        <v>268.95100000000002</v>
      </c>
      <c r="G1420" s="2">
        <v>269.37700000000001</v>
      </c>
      <c r="H1420" s="2">
        <v>0.42599999999999999</v>
      </c>
      <c r="I1420" s="2">
        <v>266.27100000000002</v>
      </c>
      <c r="J1420" s="2">
        <v>266.411</v>
      </c>
      <c r="K1420" s="15">
        <v>2.9660000000000002</v>
      </c>
      <c r="L1420" s="2">
        <v>17.18</v>
      </c>
      <c r="N1420" s="7">
        <f t="shared" si="189"/>
        <v>260.5</v>
      </c>
      <c r="O1420" s="1">
        <f t="shared" si="185"/>
        <v>131</v>
      </c>
      <c r="P1420" s="1" t="str">
        <f t="shared" si="187"/>
        <v>260.5,131</v>
      </c>
      <c r="Q1420" s="6" t="s">
        <v>10</v>
      </c>
      <c r="R1420" s="1">
        <v>90</v>
      </c>
      <c r="S1420" s="1">
        <v>2.5</v>
      </c>
      <c r="T1420" s="1" t="str">
        <f t="shared" si="186"/>
        <v>-text 260.5,131 2.5 90 266.411</v>
      </c>
    </row>
    <row r="1421" spans="1:20" x14ac:dyDescent="0.35">
      <c r="A1421" s="1">
        <v>279780</v>
      </c>
      <c r="B1421" s="7">
        <v>1169211.8</v>
      </c>
      <c r="C1421" s="2">
        <v>269.61599999999999</v>
      </c>
      <c r="D1421" s="2">
        <v>270.10700000000003</v>
      </c>
      <c r="E1421" s="2">
        <v>0.49199999999999999</v>
      </c>
      <c r="F1421" s="2">
        <v>268.94400000000002</v>
      </c>
      <c r="G1421" s="2">
        <v>269.39400000000001</v>
      </c>
      <c r="H1421" s="2">
        <v>0.45100000000000001</v>
      </c>
      <c r="I1421" s="2">
        <v>265.71100000000001</v>
      </c>
      <c r="J1421" s="2">
        <v>265.75200000000001</v>
      </c>
      <c r="K1421" s="15">
        <v>3.6419999999999999</v>
      </c>
      <c r="L1421" s="2">
        <v>17.550999999999998</v>
      </c>
      <c r="N1421" s="7">
        <f t="shared" si="189"/>
        <v>280.30000000004657</v>
      </c>
      <c r="O1421" s="1">
        <f t="shared" si="185"/>
        <v>131</v>
      </c>
      <c r="P1421" s="1" t="str">
        <f t="shared" si="187"/>
        <v>280.300000000047,131</v>
      </c>
      <c r="Q1421" s="6" t="s">
        <v>10</v>
      </c>
      <c r="R1421" s="1">
        <v>90</v>
      </c>
      <c r="S1421" s="1">
        <v>2.5</v>
      </c>
      <c r="T1421" s="1" t="str">
        <f t="shared" si="186"/>
        <v>-text 280.300000000047,131 2.5 90 265.752</v>
      </c>
    </row>
    <row r="1422" spans="1:20" x14ac:dyDescent="0.35">
      <c r="A1422" s="1">
        <v>279800</v>
      </c>
      <c r="B1422" s="7">
        <v>1169231.8</v>
      </c>
      <c r="C1422" s="2">
        <v>269.59699999999998</v>
      </c>
      <c r="D1422" s="2">
        <v>270.125</v>
      </c>
      <c r="E1422" s="2">
        <v>0.52800000000000002</v>
      </c>
      <c r="F1422" s="2">
        <v>268.92500000000001</v>
      </c>
      <c r="G1422" s="2">
        <v>269.41199999999998</v>
      </c>
      <c r="H1422" s="2">
        <v>0.48699999999999999</v>
      </c>
      <c r="I1422" s="2">
        <v>265.97699999999998</v>
      </c>
      <c r="J1422" s="2">
        <v>266.06099999999998</v>
      </c>
      <c r="K1422" s="15">
        <v>3.35</v>
      </c>
      <c r="L1422" s="2">
        <v>17.818999999999999</v>
      </c>
      <c r="N1422" s="7">
        <f t="shared" si="189"/>
        <v>300.30000000004657</v>
      </c>
      <c r="O1422" s="1">
        <f t="shared" si="185"/>
        <v>131</v>
      </c>
      <c r="P1422" s="1" t="str">
        <f t="shared" si="187"/>
        <v>300.300000000047,131</v>
      </c>
      <c r="Q1422" s="6" t="s">
        <v>10</v>
      </c>
      <c r="R1422" s="1">
        <v>90</v>
      </c>
      <c r="S1422" s="1">
        <v>2.5</v>
      </c>
      <c r="T1422" s="1" t="str">
        <f t="shared" si="186"/>
        <v>-text 300.300000000047,131 2.5 90 266.061</v>
      </c>
    </row>
    <row r="1423" spans="1:20" x14ac:dyDescent="0.35">
      <c r="A1423" s="1">
        <v>279820</v>
      </c>
      <c r="B1423" s="7">
        <v>1169251.6000000001</v>
      </c>
      <c r="C1423" s="2">
        <v>269.589</v>
      </c>
      <c r="D1423" s="2">
        <v>270.142</v>
      </c>
      <c r="E1423" s="2">
        <v>0.55300000000000005</v>
      </c>
      <c r="F1423" s="2">
        <v>268.91699999999997</v>
      </c>
      <c r="G1423" s="2">
        <v>269.42899999999997</v>
      </c>
      <c r="H1423" s="2">
        <v>0.51200000000000001</v>
      </c>
      <c r="I1423" s="2">
        <v>266.12200000000001</v>
      </c>
      <c r="J1423" s="2">
        <v>266.291</v>
      </c>
      <c r="K1423" s="15">
        <v>3.1379999999999999</v>
      </c>
      <c r="L1423" s="2">
        <v>18.009</v>
      </c>
      <c r="N1423" s="7">
        <f t="shared" si="189"/>
        <v>320.10000000009313</v>
      </c>
      <c r="O1423" s="1">
        <f t="shared" si="185"/>
        <v>131</v>
      </c>
      <c r="P1423" s="1" t="str">
        <f t="shared" si="187"/>
        <v>320.100000000093,131</v>
      </c>
      <c r="Q1423" s="6" t="s">
        <v>10</v>
      </c>
      <c r="R1423" s="1">
        <v>90</v>
      </c>
      <c r="S1423" s="1">
        <v>2.5</v>
      </c>
      <c r="T1423" s="1" t="str">
        <f t="shared" si="186"/>
        <v>-text 320.100000000093,131 2.5 90 266.291</v>
      </c>
    </row>
    <row r="1424" spans="1:20" x14ac:dyDescent="0.35">
      <c r="A1424" s="1">
        <v>279840</v>
      </c>
      <c r="B1424" s="7">
        <v>1169271.6000000001</v>
      </c>
      <c r="C1424" s="2">
        <v>269.60599999999999</v>
      </c>
      <c r="D1424" s="2">
        <v>270.15899999999999</v>
      </c>
      <c r="E1424" s="2">
        <v>0.55300000000000005</v>
      </c>
      <c r="F1424" s="2">
        <v>268.93400000000003</v>
      </c>
      <c r="G1424" s="2">
        <v>269.44600000000003</v>
      </c>
      <c r="H1424" s="2">
        <v>0.51200000000000001</v>
      </c>
      <c r="I1424" s="2">
        <v>266.40899999999999</v>
      </c>
      <c r="J1424" s="2">
        <v>266.541</v>
      </c>
      <c r="K1424" s="15">
        <v>2.9049999999999998</v>
      </c>
      <c r="L1424" s="2">
        <v>18.044</v>
      </c>
      <c r="N1424" s="7">
        <f t="shared" si="189"/>
        <v>340.10000000009313</v>
      </c>
      <c r="O1424" s="1">
        <f t="shared" si="185"/>
        <v>131</v>
      </c>
      <c r="P1424" s="1" t="str">
        <f t="shared" si="187"/>
        <v>340.100000000093,131</v>
      </c>
      <c r="Q1424" s="6" t="s">
        <v>10</v>
      </c>
      <c r="R1424" s="1">
        <v>90</v>
      </c>
      <c r="S1424" s="1">
        <v>2.5</v>
      </c>
      <c r="T1424" s="1" t="str">
        <f t="shared" si="186"/>
        <v>-text 340.100000000093,131 2.5 90 266.541</v>
      </c>
    </row>
    <row r="1425" spans="1:20" x14ac:dyDescent="0.35">
      <c r="A1425" s="1">
        <v>279860</v>
      </c>
      <c r="B1425" s="7">
        <v>1169291.5</v>
      </c>
      <c r="C1425" s="2">
        <v>269.61900000000003</v>
      </c>
      <c r="D1425" s="2">
        <v>270.17700000000002</v>
      </c>
      <c r="E1425" s="2">
        <v>0.55700000000000005</v>
      </c>
      <c r="F1425" s="2">
        <v>268.947</v>
      </c>
      <c r="G1425" s="2">
        <v>269.464</v>
      </c>
      <c r="H1425" s="2">
        <v>0.51600000000000001</v>
      </c>
      <c r="I1425" s="2">
        <v>266.529</v>
      </c>
      <c r="J1425" s="2">
        <v>266.57100000000003</v>
      </c>
      <c r="K1425" s="15">
        <v>2.8929999999999998</v>
      </c>
      <c r="L1425" s="2">
        <v>18.055</v>
      </c>
      <c r="N1425" s="7">
        <f t="shared" si="189"/>
        <v>360</v>
      </c>
      <c r="O1425" s="1">
        <f t="shared" si="185"/>
        <v>131</v>
      </c>
      <c r="P1425" s="1" t="str">
        <f t="shared" si="187"/>
        <v>360,131</v>
      </c>
      <c r="Q1425" s="6" t="s">
        <v>10</v>
      </c>
      <c r="R1425" s="1">
        <v>90</v>
      </c>
      <c r="S1425" s="1">
        <v>2.5</v>
      </c>
      <c r="T1425" s="1" t="str">
        <f t="shared" si="186"/>
        <v>-text 360,131 2.5 90 266.571</v>
      </c>
    </row>
    <row r="1426" spans="1:20" x14ac:dyDescent="0.35">
      <c r="A1426" s="1">
        <v>279880</v>
      </c>
      <c r="B1426" s="7">
        <v>1169311.5</v>
      </c>
      <c r="C1426" s="2">
        <v>269.62799999999999</v>
      </c>
      <c r="D1426" s="2">
        <v>270.19400000000002</v>
      </c>
      <c r="E1426" s="2">
        <v>0.56599999999999995</v>
      </c>
      <c r="F1426" s="2">
        <v>268.95600000000002</v>
      </c>
      <c r="G1426" s="2">
        <v>269.48099999999999</v>
      </c>
      <c r="H1426" s="2">
        <v>0.52500000000000002</v>
      </c>
      <c r="I1426" s="2">
        <v>266.44900000000001</v>
      </c>
      <c r="J1426" s="2">
        <v>266.07100000000003</v>
      </c>
      <c r="K1426" s="15">
        <v>3.41</v>
      </c>
      <c r="L1426" s="2">
        <v>18.016999999999999</v>
      </c>
      <c r="N1426" s="7">
        <f t="shared" si="189"/>
        <v>380</v>
      </c>
      <c r="O1426" s="1">
        <f t="shared" si="185"/>
        <v>131</v>
      </c>
      <c r="P1426" s="1" t="str">
        <f t="shared" si="187"/>
        <v>380,131</v>
      </c>
      <c r="Q1426" s="6" t="s">
        <v>10</v>
      </c>
      <c r="R1426" s="1">
        <v>90</v>
      </c>
      <c r="S1426" s="1">
        <v>2.5</v>
      </c>
      <c r="T1426" s="1" t="str">
        <f t="shared" si="186"/>
        <v>-text 380,131 2.5 90 266.071</v>
      </c>
    </row>
    <row r="1427" spans="1:20" x14ac:dyDescent="0.35">
      <c r="A1427" s="1">
        <v>279900</v>
      </c>
      <c r="B1427" s="7">
        <v>1169331.5</v>
      </c>
      <c r="C1427" s="2">
        <v>269.60700000000003</v>
      </c>
      <c r="D1427" s="2">
        <v>270.21100000000001</v>
      </c>
      <c r="E1427" s="2">
        <v>0.60399999999999998</v>
      </c>
      <c r="F1427" s="2">
        <v>268.935</v>
      </c>
      <c r="G1427" s="2">
        <v>269.49799999999999</v>
      </c>
      <c r="H1427" s="2">
        <v>0.56299999999999994</v>
      </c>
      <c r="I1427" s="2">
        <v>266.84500000000003</v>
      </c>
      <c r="J1427" s="2">
        <v>266.08499999999998</v>
      </c>
      <c r="K1427" s="15">
        <v>3.4140000000000001</v>
      </c>
      <c r="L1427" s="2">
        <v>17.98</v>
      </c>
      <c r="N1427" s="7">
        <f t="shared" si="189"/>
        <v>400</v>
      </c>
      <c r="O1427" s="1">
        <f t="shared" si="185"/>
        <v>131</v>
      </c>
      <c r="P1427" s="1" t="str">
        <f t="shared" si="187"/>
        <v>400,131</v>
      </c>
      <c r="Q1427" s="6" t="s">
        <v>10</v>
      </c>
      <c r="R1427" s="1">
        <v>90</v>
      </c>
      <c r="S1427" s="1">
        <v>2.5</v>
      </c>
      <c r="T1427" s="1" t="str">
        <f t="shared" si="186"/>
        <v>-text 400,131 2.5 90 266.085</v>
      </c>
    </row>
    <row r="1428" spans="1:20" x14ac:dyDescent="0.35">
      <c r="A1428" s="1">
        <v>279920</v>
      </c>
      <c r="B1428" s="7">
        <v>1169351.5</v>
      </c>
      <c r="C1428" s="2">
        <v>269.53699999999998</v>
      </c>
      <c r="D1428" s="2">
        <v>270.22899999999998</v>
      </c>
      <c r="E1428" s="2">
        <v>0.69199999999999995</v>
      </c>
      <c r="F1428" s="2">
        <v>268.86500000000001</v>
      </c>
      <c r="G1428" s="2">
        <v>269.51600000000002</v>
      </c>
      <c r="H1428" s="2">
        <v>0.65100000000000002</v>
      </c>
      <c r="I1428" s="2">
        <v>266.60500000000002</v>
      </c>
      <c r="J1428" s="2">
        <v>265.91199999999998</v>
      </c>
      <c r="K1428" s="15">
        <v>3.6040000000000001</v>
      </c>
      <c r="L1428" s="2">
        <v>17.946999999999999</v>
      </c>
      <c r="N1428" s="7">
        <f t="shared" si="189"/>
        <v>420</v>
      </c>
      <c r="O1428" s="1">
        <f t="shared" si="185"/>
        <v>131</v>
      </c>
      <c r="P1428" s="1" t="str">
        <f t="shared" si="187"/>
        <v>420,131</v>
      </c>
      <c r="Q1428" s="6" t="s">
        <v>10</v>
      </c>
      <c r="R1428" s="1">
        <v>90</v>
      </c>
      <c r="S1428" s="1">
        <v>2.5</v>
      </c>
      <c r="T1428" s="1" t="str">
        <f t="shared" si="186"/>
        <v>-text 420,131 2.5 90 265.912</v>
      </c>
    </row>
    <row r="1429" spans="1:20" x14ac:dyDescent="0.35">
      <c r="A1429" s="1">
        <v>279940</v>
      </c>
      <c r="B1429" s="7">
        <v>1169371.5</v>
      </c>
      <c r="C1429" s="2">
        <v>269.495</v>
      </c>
      <c r="D1429" s="2">
        <v>270.24599999999998</v>
      </c>
      <c r="E1429" s="2">
        <v>0.751</v>
      </c>
      <c r="F1429" s="2">
        <v>268.82299999999998</v>
      </c>
      <c r="G1429" s="2">
        <v>269.53300000000002</v>
      </c>
      <c r="H1429" s="2">
        <v>0.71</v>
      </c>
      <c r="I1429" s="2">
        <v>266.91199999999998</v>
      </c>
      <c r="J1429" s="2">
        <v>266.20499999999998</v>
      </c>
      <c r="K1429" s="15">
        <v>3.3279999999999998</v>
      </c>
      <c r="L1429" s="2">
        <v>17.919</v>
      </c>
      <c r="N1429" s="7">
        <f t="shared" si="189"/>
        <v>440</v>
      </c>
      <c r="O1429" s="1">
        <f t="shared" si="185"/>
        <v>131</v>
      </c>
      <c r="P1429" s="1" t="str">
        <f t="shared" si="187"/>
        <v>440,131</v>
      </c>
      <c r="Q1429" s="6" t="s">
        <v>10</v>
      </c>
      <c r="R1429" s="1">
        <v>90</v>
      </c>
      <c r="S1429" s="1">
        <v>2.5</v>
      </c>
      <c r="T1429" s="1" t="str">
        <f t="shared" si="186"/>
        <v>-text 440,131 2.5 90 266.205</v>
      </c>
    </row>
    <row r="1430" spans="1:20" x14ac:dyDescent="0.35">
      <c r="A1430" s="1">
        <v>279960</v>
      </c>
      <c r="B1430" s="7">
        <v>1169391.5</v>
      </c>
      <c r="C1430" s="2">
        <v>269.50200000000001</v>
      </c>
      <c r="D1430" s="2">
        <v>270.26400000000001</v>
      </c>
      <c r="E1430" s="2">
        <v>0.76200000000000001</v>
      </c>
      <c r="F1430" s="2">
        <v>268.83</v>
      </c>
      <c r="G1430" s="2">
        <v>269.55099999999999</v>
      </c>
      <c r="H1430" s="2">
        <v>0.72099999999999997</v>
      </c>
      <c r="I1430" s="2">
        <v>267.21100000000001</v>
      </c>
      <c r="J1430" s="2">
        <v>266.55900000000003</v>
      </c>
      <c r="K1430" s="15">
        <v>2.992</v>
      </c>
      <c r="L1430" s="2">
        <v>17.898</v>
      </c>
      <c r="N1430" s="7">
        <f t="shared" si="189"/>
        <v>460</v>
      </c>
      <c r="O1430" s="1">
        <f t="shared" si="185"/>
        <v>131</v>
      </c>
      <c r="P1430" s="1" t="str">
        <f t="shared" si="187"/>
        <v>460,131</v>
      </c>
      <c r="Q1430" s="6" t="s">
        <v>10</v>
      </c>
      <c r="R1430" s="1">
        <v>90</v>
      </c>
      <c r="S1430" s="1">
        <v>2.5</v>
      </c>
      <c r="T1430" s="1" t="str">
        <f t="shared" si="186"/>
        <v>-text 460,131 2.5 90 266.559</v>
      </c>
    </row>
    <row r="1431" spans="1:20" x14ac:dyDescent="0.35">
      <c r="A1431" s="1">
        <v>279980</v>
      </c>
      <c r="B1431" s="7">
        <v>1169411.5</v>
      </c>
      <c r="C1431" s="2">
        <v>269.50400000000002</v>
      </c>
      <c r="D1431" s="2">
        <v>270.28100000000001</v>
      </c>
      <c r="E1431" s="2">
        <v>0.77800000000000002</v>
      </c>
      <c r="F1431" s="2">
        <v>268.83199999999999</v>
      </c>
      <c r="G1431" s="2">
        <v>269.56799999999998</v>
      </c>
      <c r="H1431" s="2">
        <v>0.73699999999999999</v>
      </c>
      <c r="I1431" s="2">
        <v>267.13</v>
      </c>
      <c r="J1431" s="2">
        <v>266.72899999999998</v>
      </c>
      <c r="K1431" s="15">
        <v>2.839</v>
      </c>
      <c r="L1431" s="2">
        <v>17.869</v>
      </c>
      <c r="N1431" s="7">
        <f t="shared" si="189"/>
        <v>480</v>
      </c>
      <c r="O1431" s="1">
        <f t="shared" si="185"/>
        <v>131</v>
      </c>
      <c r="P1431" s="1" t="str">
        <f t="shared" si="187"/>
        <v>480,131</v>
      </c>
      <c r="Q1431" s="6" t="s">
        <v>10</v>
      </c>
      <c r="R1431" s="1">
        <v>90</v>
      </c>
      <c r="S1431" s="1">
        <v>2.5</v>
      </c>
      <c r="T1431" s="1" t="str">
        <f t="shared" si="186"/>
        <v>-text 480,131 2.5 90 266.729</v>
      </c>
    </row>
    <row r="1432" spans="1:20" x14ac:dyDescent="0.35">
      <c r="A1432" s="1">
        <v>279989.07435449999</v>
      </c>
      <c r="B1432" s="7">
        <v>1169420.6000000001</v>
      </c>
      <c r="C1432" s="2">
        <v>269.49900000000002</v>
      </c>
      <c r="D1432" s="2">
        <v>270.28899999999999</v>
      </c>
      <c r="E1432" s="2">
        <v>0.79</v>
      </c>
      <c r="F1432" s="2">
        <v>268.827</v>
      </c>
      <c r="G1432" s="2">
        <v>269.57600000000002</v>
      </c>
      <c r="H1432" s="2">
        <v>0.749</v>
      </c>
      <c r="I1432" s="2">
        <v>266.96800000000002</v>
      </c>
      <c r="J1432" s="2">
        <v>266.80399999999997</v>
      </c>
      <c r="K1432" s="15">
        <v>2.7719999999999998</v>
      </c>
      <c r="L1432" s="2">
        <v>17.847000000000001</v>
      </c>
      <c r="N1432" s="7">
        <f t="shared" si="189"/>
        <v>489.10000000009313</v>
      </c>
      <c r="O1432" s="1">
        <f t="shared" si="185"/>
        <v>131</v>
      </c>
      <c r="P1432" s="1" t="str">
        <f t="shared" si="187"/>
        <v>489.100000000093,131</v>
      </c>
      <c r="Q1432" s="6" t="s">
        <v>10</v>
      </c>
      <c r="R1432" s="1">
        <v>90</v>
      </c>
      <c r="S1432" s="1">
        <v>2.5</v>
      </c>
      <c r="T1432" s="1" t="str">
        <f t="shared" si="186"/>
        <v>-text 489.100000000093,131 2.5 90 266.804</v>
      </c>
    </row>
    <row r="1433" spans="1:20" s="10" customFormat="1" x14ac:dyDescent="0.35">
      <c r="B1433" s="11"/>
      <c r="C1433" s="9"/>
      <c r="D1433" s="9"/>
      <c r="E1433" s="9"/>
      <c r="F1433" s="9"/>
      <c r="G1433" s="9"/>
      <c r="H1433" s="9"/>
      <c r="I1433" s="9"/>
      <c r="J1433" s="9"/>
      <c r="K1433" s="16"/>
      <c r="L1433" s="9"/>
      <c r="M1433" s="9"/>
      <c r="N1433" s="11"/>
      <c r="Q1433" s="12"/>
    </row>
    <row r="1434" spans="1:20" x14ac:dyDescent="0.35">
      <c r="A1434" s="1">
        <v>280000</v>
      </c>
      <c r="B1434" s="7">
        <v>1169420.6000000001</v>
      </c>
      <c r="C1434" s="2">
        <v>269.49900000000002</v>
      </c>
      <c r="D1434" s="2">
        <v>270.28899999999999</v>
      </c>
      <c r="E1434" s="2">
        <v>0.79</v>
      </c>
      <c r="F1434" s="2">
        <v>268.827</v>
      </c>
      <c r="G1434" s="2">
        <v>269.57600000000002</v>
      </c>
      <c r="H1434" s="2">
        <v>0.749</v>
      </c>
      <c r="I1434" s="2">
        <v>266.96800000000002</v>
      </c>
      <c r="J1434" s="2">
        <v>266.80399999999997</v>
      </c>
      <c r="K1434" s="15">
        <v>2.7719999999999998</v>
      </c>
      <c r="L1434" s="2">
        <v>17.847000000000001</v>
      </c>
      <c r="N1434" s="7">
        <v>0</v>
      </c>
      <c r="O1434" s="1">
        <f t="shared" si="185"/>
        <v>131</v>
      </c>
      <c r="P1434" s="1" t="str">
        <f t="shared" si="187"/>
        <v>0,131</v>
      </c>
      <c r="Q1434" s="6" t="s">
        <v>10</v>
      </c>
      <c r="R1434" s="1">
        <v>90</v>
      </c>
      <c r="S1434" s="1">
        <v>2.5</v>
      </c>
      <c r="T1434" s="1" t="str">
        <f t="shared" si="186"/>
        <v>-text 0,131 2.5 90 266.804</v>
      </c>
    </row>
    <row r="1435" spans="1:20" x14ac:dyDescent="0.35">
      <c r="A1435" s="1">
        <v>280020</v>
      </c>
      <c r="B1435" s="7">
        <v>1169440.6000000001</v>
      </c>
      <c r="C1435" s="2">
        <v>269.49099999999999</v>
      </c>
      <c r="D1435" s="2">
        <v>270.30700000000002</v>
      </c>
      <c r="E1435" s="2">
        <v>0.81499999999999995</v>
      </c>
      <c r="F1435" s="2">
        <v>268.81900000000002</v>
      </c>
      <c r="G1435" s="2">
        <v>269.59399999999999</v>
      </c>
      <c r="H1435" s="2">
        <v>0.77400000000000002</v>
      </c>
      <c r="I1435" s="2">
        <v>266.52</v>
      </c>
      <c r="J1435" s="2">
        <v>266.33800000000002</v>
      </c>
      <c r="K1435" s="15">
        <v>3.2559999999999998</v>
      </c>
      <c r="L1435" s="2">
        <v>17.797999999999998</v>
      </c>
      <c r="N1435" s="7">
        <f t="shared" ref="N1435:N1458" si="190">N1434+(B1435-B1434)</f>
        <v>20</v>
      </c>
      <c r="O1435" s="1">
        <f t="shared" si="185"/>
        <v>131</v>
      </c>
      <c r="P1435" s="1" t="str">
        <f t="shared" si="187"/>
        <v>20,131</v>
      </c>
      <c r="Q1435" s="6" t="s">
        <v>10</v>
      </c>
      <c r="R1435" s="1">
        <v>90</v>
      </c>
      <c r="S1435" s="1">
        <v>2.5</v>
      </c>
      <c r="T1435" s="1" t="str">
        <f t="shared" si="186"/>
        <v>-text 20,131 2.5 90 266.338</v>
      </c>
    </row>
    <row r="1436" spans="1:20" x14ac:dyDescent="0.35">
      <c r="A1436" s="1">
        <v>280040</v>
      </c>
      <c r="B1436" s="7">
        <v>1169460.6000000001</v>
      </c>
      <c r="C1436" s="2">
        <v>269.49799999999999</v>
      </c>
      <c r="D1436" s="2">
        <v>270.32400000000001</v>
      </c>
      <c r="E1436" s="2">
        <v>0.82599999999999996</v>
      </c>
      <c r="F1436" s="2">
        <v>268.82600000000002</v>
      </c>
      <c r="G1436" s="2">
        <v>269.61099999999999</v>
      </c>
      <c r="H1436" s="2">
        <v>0.78500000000000003</v>
      </c>
      <c r="I1436" s="2">
        <v>266.86200000000002</v>
      </c>
      <c r="J1436" s="2">
        <v>266.666</v>
      </c>
      <c r="K1436" s="15">
        <v>2.9449999999999998</v>
      </c>
      <c r="L1436" s="2">
        <v>17.760000000000002</v>
      </c>
      <c r="N1436" s="7">
        <f t="shared" si="190"/>
        <v>40</v>
      </c>
      <c r="O1436" s="1">
        <f t="shared" si="185"/>
        <v>131</v>
      </c>
      <c r="P1436" s="1" t="str">
        <f t="shared" si="187"/>
        <v>40,131</v>
      </c>
      <c r="Q1436" s="6" t="s">
        <v>10</v>
      </c>
      <c r="R1436" s="1">
        <v>90</v>
      </c>
      <c r="S1436" s="1">
        <v>2.5</v>
      </c>
      <c r="T1436" s="1" t="str">
        <f t="shared" si="186"/>
        <v>-text 40,131 2.5 90 266.666</v>
      </c>
    </row>
    <row r="1437" spans="1:20" x14ac:dyDescent="0.35">
      <c r="A1437" s="1">
        <v>280060</v>
      </c>
      <c r="B1437" s="7">
        <v>1169480.6000000001</v>
      </c>
      <c r="C1437" s="2">
        <v>269.51600000000002</v>
      </c>
      <c r="D1437" s="2">
        <v>270.34100000000001</v>
      </c>
      <c r="E1437" s="2">
        <v>0.82499999999999996</v>
      </c>
      <c r="F1437" s="2">
        <v>268.84399999999999</v>
      </c>
      <c r="G1437" s="2">
        <v>269.62799999999999</v>
      </c>
      <c r="H1437" s="2">
        <v>0.78400000000000003</v>
      </c>
      <c r="I1437" s="2">
        <v>267.01299999999998</v>
      </c>
      <c r="J1437" s="2">
        <v>266.911</v>
      </c>
      <c r="K1437" s="15">
        <v>2.718</v>
      </c>
      <c r="L1437" s="2">
        <v>17.728999999999999</v>
      </c>
      <c r="N1437" s="7">
        <f t="shared" si="190"/>
        <v>60</v>
      </c>
      <c r="O1437" s="1">
        <f t="shared" si="185"/>
        <v>131</v>
      </c>
      <c r="P1437" s="1" t="str">
        <f t="shared" si="187"/>
        <v>60,131</v>
      </c>
      <c r="Q1437" s="6" t="s">
        <v>10</v>
      </c>
      <c r="R1437" s="1">
        <v>90</v>
      </c>
      <c r="S1437" s="1">
        <v>2.5</v>
      </c>
      <c r="T1437" s="1" t="str">
        <f t="shared" si="186"/>
        <v>-text 60,131 2.5 90 266.911</v>
      </c>
    </row>
    <row r="1438" spans="1:20" x14ac:dyDescent="0.35">
      <c r="A1438" s="1">
        <v>280080</v>
      </c>
      <c r="B1438" s="7">
        <v>1169500.6000000001</v>
      </c>
      <c r="C1438" s="2">
        <v>269.53899999999999</v>
      </c>
      <c r="D1438" s="2">
        <v>270.35899999999998</v>
      </c>
      <c r="E1438" s="2">
        <v>0.82</v>
      </c>
      <c r="F1438" s="2">
        <v>268.86700000000002</v>
      </c>
      <c r="G1438" s="2">
        <v>269.64600000000002</v>
      </c>
      <c r="H1438" s="2">
        <v>0.77900000000000003</v>
      </c>
      <c r="I1438" s="2">
        <v>267.21800000000002</v>
      </c>
      <c r="J1438" s="2">
        <v>267.01400000000001</v>
      </c>
      <c r="K1438" s="15">
        <v>2.6320000000000001</v>
      </c>
      <c r="L1438" s="2">
        <v>17.71</v>
      </c>
      <c r="N1438" s="7">
        <f t="shared" si="190"/>
        <v>80</v>
      </c>
      <c r="O1438" s="1">
        <f t="shared" si="185"/>
        <v>131</v>
      </c>
      <c r="P1438" s="1" t="str">
        <f t="shared" si="187"/>
        <v>80,131</v>
      </c>
      <c r="Q1438" s="6" t="s">
        <v>10</v>
      </c>
      <c r="R1438" s="1">
        <v>90</v>
      </c>
      <c r="S1438" s="1">
        <v>2.5</v>
      </c>
      <c r="T1438" s="1" t="str">
        <f t="shared" si="186"/>
        <v>-text 80,131 2.5 90 267.014</v>
      </c>
    </row>
    <row r="1439" spans="1:20" x14ac:dyDescent="0.35">
      <c r="A1439" s="1">
        <v>280100</v>
      </c>
      <c r="B1439" s="7">
        <v>1169520.6000000001</v>
      </c>
      <c r="C1439" s="2">
        <v>269.56599999999997</v>
      </c>
      <c r="D1439" s="2">
        <v>270.37599999999998</v>
      </c>
      <c r="E1439" s="2">
        <v>0.81</v>
      </c>
      <c r="F1439" s="2">
        <v>268.89400000000001</v>
      </c>
      <c r="G1439" s="2">
        <v>269.66300000000001</v>
      </c>
      <c r="H1439" s="2">
        <v>0.76900000000000002</v>
      </c>
      <c r="I1439" s="2">
        <v>267.31200000000001</v>
      </c>
      <c r="J1439" s="2">
        <v>267.36</v>
      </c>
      <c r="K1439" s="15">
        <v>2.3029999999999999</v>
      </c>
      <c r="L1439" s="2">
        <v>17.704000000000001</v>
      </c>
      <c r="N1439" s="7">
        <f t="shared" si="190"/>
        <v>100</v>
      </c>
      <c r="O1439" s="1">
        <f t="shared" si="185"/>
        <v>131</v>
      </c>
      <c r="P1439" s="1" t="str">
        <f t="shared" si="187"/>
        <v>100,131</v>
      </c>
      <c r="Q1439" s="6" t="s">
        <v>10</v>
      </c>
      <c r="R1439" s="1">
        <v>90</v>
      </c>
      <c r="S1439" s="1">
        <v>2.5</v>
      </c>
      <c r="T1439" s="1" t="str">
        <f t="shared" si="186"/>
        <v>-text 100,131 2.5 90 267.36</v>
      </c>
    </row>
    <row r="1440" spans="1:20" x14ac:dyDescent="0.35">
      <c r="A1440" s="1">
        <v>280120</v>
      </c>
      <c r="B1440" s="7">
        <v>1169540.7</v>
      </c>
      <c r="C1440" s="2">
        <v>269.584</v>
      </c>
      <c r="D1440" s="2">
        <v>270.39400000000001</v>
      </c>
      <c r="E1440" s="2">
        <v>0.81</v>
      </c>
      <c r="F1440" s="2">
        <v>268.91199999999998</v>
      </c>
      <c r="G1440" s="2">
        <v>269.68099999999998</v>
      </c>
      <c r="H1440" s="2">
        <v>0.76900000000000002</v>
      </c>
      <c r="I1440" s="2">
        <v>267.15199999999999</v>
      </c>
      <c r="J1440" s="2">
        <v>267.54199999999997</v>
      </c>
      <c r="K1440" s="15">
        <v>2.1389999999999998</v>
      </c>
      <c r="L1440" s="2">
        <v>17.731000000000002</v>
      </c>
      <c r="N1440" s="7">
        <f t="shared" si="190"/>
        <v>120.0999999998603</v>
      </c>
      <c r="O1440" s="1">
        <f t="shared" si="185"/>
        <v>131</v>
      </c>
      <c r="P1440" s="1" t="str">
        <f t="shared" si="187"/>
        <v>120.09999999986,131</v>
      </c>
      <c r="Q1440" s="6" t="s">
        <v>10</v>
      </c>
      <c r="R1440" s="1">
        <v>90</v>
      </c>
      <c r="S1440" s="1">
        <v>2.5</v>
      </c>
      <c r="T1440" s="1" t="str">
        <f t="shared" si="186"/>
        <v>-text 120.09999999986,131 2.5 90 267.542</v>
      </c>
    </row>
    <row r="1441" spans="1:20" x14ac:dyDescent="0.35">
      <c r="A1441" s="1">
        <v>280140</v>
      </c>
      <c r="B1441" s="7">
        <v>1169560.7</v>
      </c>
      <c r="C1441" s="2">
        <v>269.58600000000001</v>
      </c>
      <c r="D1441" s="2">
        <v>270.411</v>
      </c>
      <c r="E1441" s="2">
        <v>0.82499999999999996</v>
      </c>
      <c r="F1441" s="2">
        <v>268.91399999999999</v>
      </c>
      <c r="G1441" s="2">
        <v>269.69799999999998</v>
      </c>
      <c r="H1441" s="2">
        <v>0.78400000000000003</v>
      </c>
      <c r="I1441" s="2">
        <v>266.846</v>
      </c>
      <c r="J1441" s="2">
        <v>267.25700000000001</v>
      </c>
      <c r="K1441" s="15">
        <v>2.4409999999999998</v>
      </c>
      <c r="L1441" s="2">
        <v>17.815999999999999</v>
      </c>
      <c r="N1441" s="7">
        <f t="shared" si="190"/>
        <v>140.0999999998603</v>
      </c>
      <c r="O1441" s="1">
        <f t="shared" si="185"/>
        <v>131</v>
      </c>
      <c r="P1441" s="1" t="str">
        <f t="shared" si="187"/>
        <v>140.09999999986,131</v>
      </c>
      <c r="Q1441" s="6" t="s">
        <v>10</v>
      </c>
      <c r="R1441" s="1">
        <v>90</v>
      </c>
      <c r="S1441" s="1">
        <v>2.5</v>
      </c>
      <c r="T1441" s="1" t="str">
        <f t="shared" si="186"/>
        <v>-text 140.09999999986,131 2.5 90 267.257</v>
      </c>
    </row>
    <row r="1442" spans="1:20" x14ac:dyDescent="0.35">
      <c r="A1442" s="1">
        <v>280160</v>
      </c>
      <c r="B1442" s="7">
        <v>1169580.6000000001</v>
      </c>
      <c r="C1442" s="2">
        <v>269.62099999999998</v>
      </c>
      <c r="D1442" s="2">
        <v>270.42899999999997</v>
      </c>
      <c r="E1442" s="2">
        <v>0.80800000000000005</v>
      </c>
      <c r="F1442" s="2">
        <v>268.94900000000001</v>
      </c>
      <c r="G1442" s="2">
        <v>269.71600000000001</v>
      </c>
      <c r="H1442" s="2">
        <v>0.76700000000000002</v>
      </c>
      <c r="I1442" s="2">
        <v>266.90300000000002</v>
      </c>
      <c r="J1442" s="2">
        <v>266.65499999999997</v>
      </c>
      <c r="K1442" s="15">
        <v>3.0609999999999999</v>
      </c>
      <c r="L1442" s="2">
        <v>17.84</v>
      </c>
      <c r="N1442" s="7">
        <f t="shared" si="190"/>
        <v>160</v>
      </c>
      <c r="O1442" s="1">
        <f t="shared" si="185"/>
        <v>131</v>
      </c>
      <c r="P1442" s="1" t="str">
        <f t="shared" si="187"/>
        <v>160,131</v>
      </c>
      <c r="Q1442" s="6" t="s">
        <v>10</v>
      </c>
      <c r="R1442" s="1">
        <v>90</v>
      </c>
      <c r="S1442" s="1">
        <v>2.5</v>
      </c>
      <c r="T1442" s="1" t="str">
        <f t="shared" si="186"/>
        <v>-text 160,131 2.5 90 266.655</v>
      </c>
    </row>
    <row r="1443" spans="1:20" x14ac:dyDescent="0.35">
      <c r="A1443" s="1">
        <v>280180</v>
      </c>
      <c r="B1443" s="7">
        <v>1169600.6000000001</v>
      </c>
      <c r="C1443" s="2">
        <v>269.67500000000001</v>
      </c>
      <c r="D1443" s="2">
        <v>270.44600000000003</v>
      </c>
      <c r="E1443" s="2">
        <v>0.77100000000000002</v>
      </c>
      <c r="F1443" s="2">
        <v>269.00299999999999</v>
      </c>
      <c r="G1443" s="2">
        <v>269.733</v>
      </c>
      <c r="H1443" s="2">
        <v>0.73</v>
      </c>
      <c r="I1443" s="2">
        <v>267.23399999999998</v>
      </c>
      <c r="J1443" s="2">
        <v>267.154</v>
      </c>
      <c r="K1443" s="15">
        <v>2.58</v>
      </c>
      <c r="L1443" s="2">
        <v>17.827999999999999</v>
      </c>
      <c r="N1443" s="7">
        <f t="shared" si="190"/>
        <v>180</v>
      </c>
      <c r="O1443" s="1">
        <f t="shared" si="185"/>
        <v>131</v>
      </c>
      <c r="P1443" s="1" t="str">
        <f t="shared" si="187"/>
        <v>180,131</v>
      </c>
      <c r="Q1443" s="6" t="s">
        <v>10</v>
      </c>
      <c r="R1443" s="1">
        <v>90</v>
      </c>
      <c r="S1443" s="1">
        <v>2.5</v>
      </c>
      <c r="T1443" s="1" t="str">
        <f t="shared" si="186"/>
        <v>-text 180,131 2.5 90 267.154</v>
      </c>
    </row>
    <row r="1444" spans="1:20" x14ac:dyDescent="0.35">
      <c r="A1444" s="1">
        <v>280200</v>
      </c>
      <c r="B1444" s="7">
        <v>1169620.6000000001</v>
      </c>
      <c r="C1444" s="2">
        <v>269.71100000000001</v>
      </c>
      <c r="D1444" s="2">
        <v>270.46300000000002</v>
      </c>
      <c r="E1444" s="2">
        <v>0.753</v>
      </c>
      <c r="F1444" s="2">
        <v>269.03899999999999</v>
      </c>
      <c r="G1444" s="2">
        <v>269.75</v>
      </c>
      <c r="H1444" s="2">
        <v>0.71199999999999997</v>
      </c>
      <c r="I1444" s="2">
        <v>267.55700000000002</v>
      </c>
      <c r="J1444" s="2">
        <v>267.56099999999998</v>
      </c>
      <c r="K1444" s="15">
        <v>2.19</v>
      </c>
      <c r="L1444" s="2">
        <v>17.779</v>
      </c>
      <c r="N1444" s="7">
        <f t="shared" si="190"/>
        <v>200</v>
      </c>
      <c r="O1444" s="1">
        <f t="shared" si="185"/>
        <v>131</v>
      </c>
      <c r="P1444" s="1" t="str">
        <f t="shared" si="187"/>
        <v>200,131</v>
      </c>
      <c r="Q1444" s="6" t="s">
        <v>10</v>
      </c>
      <c r="R1444" s="1">
        <v>90</v>
      </c>
      <c r="S1444" s="1">
        <v>2.5</v>
      </c>
      <c r="T1444" s="1" t="str">
        <f t="shared" si="186"/>
        <v>-text 200,131 2.5 90 267.561</v>
      </c>
    </row>
    <row r="1445" spans="1:20" x14ac:dyDescent="0.35">
      <c r="A1445" s="1">
        <v>280220</v>
      </c>
      <c r="B1445" s="7">
        <v>1169640.6000000001</v>
      </c>
      <c r="C1445" s="2">
        <v>269.74</v>
      </c>
      <c r="D1445" s="2">
        <v>270.48099999999999</v>
      </c>
      <c r="E1445" s="2">
        <v>0.74099999999999999</v>
      </c>
      <c r="F1445" s="2">
        <v>269.06799999999998</v>
      </c>
      <c r="G1445" s="2">
        <v>269.76799999999997</v>
      </c>
      <c r="H1445" s="2">
        <v>0.7</v>
      </c>
      <c r="I1445" s="2">
        <v>268.79899999999998</v>
      </c>
      <c r="J1445" s="2">
        <v>269.15600000000001</v>
      </c>
      <c r="K1445" s="15">
        <v>0.61199999999999999</v>
      </c>
      <c r="L1445" s="2">
        <v>17.718</v>
      </c>
      <c r="N1445" s="7">
        <f t="shared" si="190"/>
        <v>220</v>
      </c>
      <c r="O1445" s="1">
        <f t="shared" si="185"/>
        <v>131</v>
      </c>
      <c r="P1445" s="1" t="str">
        <f t="shared" si="187"/>
        <v>220,131</v>
      </c>
      <c r="Q1445" s="6" t="s">
        <v>10</v>
      </c>
      <c r="R1445" s="1">
        <v>90</v>
      </c>
      <c r="S1445" s="1">
        <v>2.5</v>
      </c>
      <c r="T1445" s="1" t="str">
        <f t="shared" si="186"/>
        <v>-text 220,131 2.5 90 269.156</v>
      </c>
    </row>
    <row r="1446" spans="1:20" x14ac:dyDescent="0.35">
      <c r="A1446" s="1">
        <v>280240</v>
      </c>
      <c r="B1446" s="7">
        <v>1169660.6000000001</v>
      </c>
      <c r="C1446" s="2">
        <v>269.75900000000001</v>
      </c>
      <c r="D1446" s="2">
        <v>270.49799999999999</v>
      </c>
      <c r="E1446" s="2">
        <v>0.73899999999999999</v>
      </c>
      <c r="F1446" s="2">
        <v>269.08699999999999</v>
      </c>
      <c r="G1446" s="2">
        <v>269.78500000000003</v>
      </c>
      <c r="H1446" s="2">
        <v>0.69799999999999995</v>
      </c>
      <c r="I1446" s="2">
        <v>268.983</v>
      </c>
      <c r="J1446" s="2">
        <v>269.54500000000002</v>
      </c>
      <c r="K1446" s="15">
        <v>0.24</v>
      </c>
      <c r="L1446" s="2">
        <v>17.690000000000001</v>
      </c>
      <c r="N1446" s="7">
        <f t="shared" si="190"/>
        <v>240</v>
      </c>
      <c r="O1446" s="1">
        <f t="shared" si="185"/>
        <v>131</v>
      </c>
      <c r="P1446" s="1" t="str">
        <f t="shared" si="187"/>
        <v>240,131</v>
      </c>
      <c r="Q1446" s="6" t="s">
        <v>10</v>
      </c>
      <c r="R1446" s="1">
        <v>90</v>
      </c>
      <c r="S1446" s="1">
        <v>2.5</v>
      </c>
      <c r="T1446" s="1" t="str">
        <f t="shared" si="186"/>
        <v>-text 240,131 2.5 90 269.545</v>
      </c>
    </row>
    <row r="1447" spans="1:20" x14ac:dyDescent="0.35">
      <c r="A1447" s="1">
        <v>280260</v>
      </c>
      <c r="B1447" s="7">
        <v>1169680.6000000001</v>
      </c>
      <c r="C1447" s="2">
        <v>269.77600000000001</v>
      </c>
      <c r="D1447" s="2">
        <v>270.512</v>
      </c>
      <c r="E1447" s="2">
        <v>0.73599999999999999</v>
      </c>
      <c r="F1447" s="2">
        <v>269.10399999999998</v>
      </c>
      <c r="G1447" s="2">
        <v>269.79899999999998</v>
      </c>
      <c r="H1447" s="2">
        <v>0.69499999999999995</v>
      </c>
      <c r="I1447" s="2">
        <v>268.238</v>
      </c>
      <c r="J1447" s="2">
        <v>268.79700000000003</v>
      </c>
      <c r="K1447" s="15">
        <v>1.002</v>
      </c>
      <c r="L1447" s="2">
        <v>17.672999999999998</v>
      </c>
      <c r="N1447" s="7">
        <f t="shared" si="190"/>
        <v>260</v>
      </c>
      <c r="O1447" s="1">
        <f t="shared" si="185"/>
        <v>131</v>
      </c>
      <c r="P1447" s="1" t="str">
        <f t="shared" si="187"/>
        <v>260,131</v>
      </c>
      <c r="Q1447" s="6" t="s">
        <v>10</v>
      </c>
      <c r="R1447" s="1">
        <v>90</v>
      </c>
      <c r="S1447" s="1">
        <v>2.5</v>
      </c>
      <c r="T1447" s="1" t="str">
        <f t="shared" si="186"/>
        <v>-text 260,131 2.5 90 268.797</v>
      </c>
    </row>
    <row r="1448" spans="1:20" x14ac:dyDescent="0.35">
      <c r="A1448" s="1">
        <v>280280</v>
      </c>
      <c r="B1448" s="7">
        <v>1169700.6000000001</v>
      </c>
      <c r="C1448" s="2">
        <v>269.76799999999997</v>
      </c>
      <c r="D1448" s="2">
        <v>270.51799999999997</v>
      </c>
      <c r="E1448" s="2">
        <v>0.75</v>
      </c>
      <c r="F1448" s="2">
        <v>269.096</v>
      </c>
      <c r="G1448" s="2">
        <v>269.80500000000001</v>
      </c>
      <c r="H1448" s="2">
        <v>0.70899999999999996</v>
      </c>
      <c r="I1448" s="2">
        <v>267.68099999999998</v>
      </c>
      <c r="J1448" s="2">
        <v>268.19900000000001</v>
      </c>
      <c r="K1448" s="15">
        <v>1.605</v>
      </c>
      <c r="L1448" s="2">
        <v>17.635000000000002</v>
      </c>
      <c r="N1448" s="7">
        <f t="shared" si="190"/>
        <v>280</v>
      </c>
      <c r="O1448" s="1">
        <f t="shared" si="185"/>
        <v>131</v>
      </c>
      <c r="P1448" s="1" t="str">
        <f t="shared" si="187"/>
        <v>280,131</v>
      </c>
      <c r="Q1448" s="6" t="s">
        <v>10</v>
      </c>
      <c r="R1448" s="1">
        <v>90</v>
      </c>
      <c r="S1448" s="1">
        <v>2.5</v>
      </c>
      <c r="T1448" s="1" t="str">
        <f t="shared" si="186"/>
        <v>-text 280,131 2.5 90 268.199</v>
      </c>
    </row>
    <row r="1449" spans="1:20" x14ac:dyDescent="0.35">
      <c r="A1449" s="1">
        <v>280300</v>
      </c>
      <c r="B1449" s="7">
        <v>1169720.6000000001</v>
      </c>
      <c r="C1449" s="2">
        <v>269.75799999999998</v>
      </c>
      <c r="D1449" s="2">
        <v>270.52300000000002</v>
      </c>
      <c r="E1449" s="2">
        <v>0.76500000000000001</v>
      </c>
      <c r="F1449" s="2">
        <v>269.08600000000001</v>
      </c>
      <c r="G1449" s="2">
        <v>269.81</v>
      </c>
      <c r="H1449" s="2">
        <v>0.72399999999999998</v>
      </c>
      <c r="I1449" s="2">
        <v>267.34100000000001</v>
      </c>
      <c r="J1449" s="2">
        <v>267.608</v>
      </c>
      <c r="K1449" s="15">
        <v>2.202</v>
      </c>
      <c r="L1449" s="2">
        <v>17.597000000000001</v>
      </c>
      <c r="N1449" s="7">
        <f t="shared" si="190"/>
        <v>300</v>
      </c>
      <c r="O1449" s="1">
        <f t="shared" ref="O1449:O1517" si="191">19+16+16+16+16+16+16+16</f>
        <v>131</v>
      </c>
      <c r="P1449" s="1" t="str">
        <f t="shared" si="187"/>
        <v>300,131</v>
      </c>
      <c r="Q1449" s="6" t="s">
        <v>10</v>
      </c>
      <c r="R1449" s="1">
        <v>90</v>
      </c>
      <c r="S1449" s="1">
        <v>2.5</v>
      </c>
      <c r="T1449" s="1" t="str">
        <f t="shared" ref="T1449:T1517" si="192">$Q1449&amp;" "&amp;$P1449&amp;" "&amp;$S1449&amp;" "&amp;$R1449&amp;" "&amp;$J1449</f>
        <v>-text 300,131 2.5 90 267.608</v>
      </c>
    </row>
    <row r="1450" spans="1:20" x14ac:dyDescent="0.35">
      <c r="A1450" s="1">
        <v>280320</v>
      </c>
      <c r="B1450" s="7">
        <v>1169740.6000000001</v>
      </c>
      <c r="C1450" s="2">
        <v>269.82799999999997</v>
      </c>
      <c r="D1450" s="2">
        <v>270.52800000000002</v>
      </c>
      <c r="E1450" s="2">
        <v>0.69899999999999995</v>
      </c>
      <c r="F1450" s="2">
        <v>269.15600000000001</v>
      </c>
      <c r="G1450" s="2">
        <v>269.815</v>
      </c>
      <c r="H1450" s="2">
        <v>0.65800000000000003</v>
      </c>
      <c r="I1450" s="2">
        <v>267.077</v>
      </c>
      <c r="J1450" s="2">
        <v>267.11700000000002</v>
      </c>
      <c r="K1450" s="15">
        <v>2.698</v>
      </c>
      <c r="L1450" s="2">
        <v>17.567</v>
      </c>
      <c r="N1450" s="7">
        <f t="shared" si="190"/>
        <v>320</v>
      </c>
      <c r="O1450" s="1">
        <f t="shared" si="191"/>
        <v>131</v>
      </c>
      <c r="P1450" s="1" t="str">
        <f t="shared" si="187"/>
        <v>320,131</v>
      </c>
      <c r="Q1450" s="6" t="s">
        <v>10</v>
      </c>
      <c r="R1450" s="1">
        <v>90</v>
      </c>
      <c r="S1450" s="1">
        <v>2.5</v>
      </c>
      <c r="T1450" s="1" t="str">
        <f t="shared" si="192"/>
        <v>-text 320,131 2.5 90 267.117</v>
      </c>
    </row>
    <row r="1451" spans="1:20" x14ac:dyDescent="0.35">
      <c r="A1451" s="1">
        <v>280340</v>
      </c>
      <c r="B1451" s="7">
        <v>1169760.6000000001</v>
      </c>
      <c r="C1451" s="2">
        <v>269.89800000000002</v>
      </c>
      <c r="D1451" s="2">
        <v>270.53300000000002</v>
      </c>
      <c r="E1451" s="2">
        <v>0.63500000000000001</v>
      </c>
      <c r="F1451" s="2">
        <v>269.226</v>
      </c>
      <c r="G1451" s="2">
        <v>269.82</v>
      </c>
      <c r="H1451" s="2">
        <v>0.59399999999999997</v>
      </c>
      <c r="I1451" s="2">
        <v>266.93200000000002</v>
      </c>
      <c r="J1451" s="2">
        <v>266.87700000000001</v>
      </c>
      <c r="K1451" s="15">
        <v>2.9420000000000002</v>
      </c>
      <c r="L1451" s="2">
        <v>17.536999999999999</v>
      </c>
      <c r="N1451" s="7">
        <f t="shared" si="190"/>
        <v>340</v>
      </c>
      <c r="O1451" s="1">
        <f t="shared" si="191"/>
        <v>131</v>
      </c>
      <c r="P1451" s="1" t="str">
        <f t="shared" ref="P1451:P1519" si="193">CONCATENATE(N1451,",",O1451)</f>
        <v>340,131</v>
      </c>
      <c r="Q1451" s="6" t="s">
        <v>10</v>
      </c>
      <c r="R1451" s="1">
        <v>90</v>
      </c>
      <c r="S1451" s="1">
        <v>2.5</v>
      </c>
      <c r="T1451" s="1" t="str">
        <f t="shared" si="192"/>
        <v>-text 340,131 2.5 90 266.877</v>
      </c>
    </row>
    <row r="1452" spans="1:20" x14ac:dyDescent="0.35">
      <c r="A1452" s="1">
        <v>280360</v>
      </c>
      <c r="B1452" s="7">
        <v>1169780.6000000001</v>
      </c>
      <c r="C1452" s="2">
        <v>269.91699999999997</v>
      </c>
      <c r="D1452" s="2">
        <v>270.53800000000001</v>
      </c>
      <c r="E1452" s="2">
        <v>0.621</v>
      </c>
      <c r="F1452" s="2">
        <v>269.245</v>
      </c>
      <c r="G1452" s="2">
        <v>269.82499999999999</v>
      </c>
      <c r="H1452" s="2">
        <v>0.57999999999999996</v>
      </c>
      <c r="I1452" s="2">
        <v>267.09500000000003</v>
      </c>
      <c r="J1452" s="2">
        <v>267.24900000000002</v>
      </c>
      <c r="K1452" s="15">
        <v>2.5760000000000001</v>
      </c>
      <c r="L1452" s="2">
        <v>17.507000000000001</v>
      </c>
      <c r="N1452" s="7">
        <f t="shared" si="190"/>
        <v>360</v>
      </c>
      <c r="O1452" s="1">
        <f t="shared" si="191"/>
        <v>131</v>
      </c>
      <c r="P1452" s="1" t="str">
        <f t="shared" si="193"/>
        <v>360,131</v>
      </c>
      <c r="Q1452" s="6" t="s">
        <v>10</v>
      </c>
      <c r="R1452" s="1">
        <v>90</v>
      </c>
      <c r="S1452" s="1">
        <v>2.5</v>
      </c>
      <c r="T1452" s="1" t="str">
        <f t="shared" si="192"/>
        <v>-text 360,131 2.5 90 267.249</v>
      </c>
    </row>
    <row r="1453" spans="1:20" x14ac:dyDescent="0.35">
      <c r="A1453" s="1">
        <v>280380</v>
      </c>
      <c r="B1453" s="7">
        <v>1169800.6000000001</v>
      </c>
      <c r="C1453" s="2">
        <v>269.93200000000002</v>
      </c>
      <c r="D1453" s="2">
        <v>270.54300000000001</v>
      </c>
      <c r="E1453" s="2">
        <v>0.61099999999999999</v>
      </c>
      <c r="F1453" s="2">
        <v>269.26</v>
      </c>
      <c r="G1453" s="2">
        <v>269.83</v>
      </c>
      <c r="H1453" s="2">
        <v>0.56999999999999995</v>
      </c>
      <c r="I1453" s="2">
        <v>267.12900000000002</v>
      </c>
      <c r="J1453" s="2">
        <v>266.91800000000001</v>
      </c>
      <c r="K1453" s="15">
        <v>2.9119999999999999</v>
      </c>
      <c r="L1453" s="2">
        <v>17.477</v>
      </c>
      <c r="N1453" s="7">
        <f t="shared" si="190"/>
        <v>380</v>
      </c>
      <c r="O1453" s="1">
        <f t="shared" si="191"/>
        <v>131</v>
      </c>
      <c r="P1453" s="1" t="str">
        <f t="shared" si="193"/>
        <v>380,131</v>
      </c>
      <c r="Q1453" s="6" t="s">
        <v>10</v>
      </c>
      <c r="R1453" s="1">
        <v>90</v>
      </c>
      <c r="S1453" s="1">
        <v>2.5</v>
      </c>
      <c r="T1453" s="1" t="str">
        <f t="shared" si="192"/>
        <v>-text 380,131 2.5 90 266.918</v>
      </c>
    </row>
    <row r="1454" spans="1:20" x14ac:dyDescent="0.35">
      <c r="A1454" s="1">
        <v>280400</v>
      </c>
      <c r="B1454" s="7">
        <v>1169820.5</v>
      </c>
      <c r="C1454" s="2">
        <v>269.92099999999999</v>
      </c>
      <c r="D1454" s="2">
        <v>270.548</v>
      </c>
      <c r="E1454" s="2">
        <v>0.628</v>
      </c>
      <c r="F1454" s="2">
        <v>269.24900000000002</v>
      </c>
      <c r="G1454" s="2">
        <v>269.83499999999998</v>
      </c>
      <c r="H1454" s="2">
        <v>0.58699999999999997</v>
      </c>
      <c r="I1454" s="2">
        <v>267.14400000000001</v>
      </c>
      <c r="J1454" s="2">
        <v>267.29599999999999</v>
      </c>
      <c r="K1454" s="15">
        <v>2.5390000000000001</v>
      </c>
      <c r="L1454" s="2">
        <v>17.404</v>
      </c>
      <c r="N1454" s="7">
        <f t="shared" si="190"/>
        <v>399.89999999990687</v>
      </c>
      <c r="O1454" s="1">
        <f t="shared" si="191"/>
        <v>131</v>
      </c>
      <c r="P1454" s="1" t="str">
        <f t="shared" si="193"/>
        <v>399.899999999907,131</v>
      </c>
      <c r="Q1454" s="6" t="s">
        <v>10</v>
      </c>
      <c r="R1454" s="1">
        <v>90</v>
      </c>
      <c r="S1454" s="1">
        <v>2.5</v>
      </c>
      <c r="T1454" s="1" t="str">
        <f t="shared" si="192"/>
        <v>-text 399.899999999907,131 2.5 90 267.296</v>
      </c>
    </row>
    <row r="1455" spans="1:20" x14ac:dyDescent="0.35">
      <c r="A1455" s="1">
        <v>280420</v>
      </c>
      <c r="B1455" s="7">
        <v>1169840.6000000001</v>
      </c>
      <c r="C1455" s="2">
        <v>269.911</v>
      </c>
      <c r="D1455" s="2">
        <v>270.553</v>
      </c>
      <c r="E1455" s="2">
        <v>0.64200000000000002</v>
      </c>
      <c r="F1455" s="2">
        <v>269.23899999999998</v>
      </c>
      <c r="G1455" s="2">
        <v>269.83999999999997</v>
      </c>
      <c r="H1455" s="2">
        <v>0.60099999999999998</v>
      </c>
      <c r="I1455" s="2">
        <v>267.33300000000003</v>
      </c>
      <c r="J1455" s="2">
        <v>267.23899999999998</v>
      </c>
      <c r="K1455" s="15">
        <v>2.6019999999999999</v>
      </c>
      <c r="L1455" s="2">
        <v>17.337</v>
      </c>
      <c r="N1455" s="7">
        <f t="shared" si="190"/>
        <v>420</v>
      </c>
      <c r="O1455" s="1">
        <f t="shared" si="191"/>
        <v>131</v>
      </c>
      <c r="P1455" s="1" t="str">
        <f t="shared" si="193"/>
        <v>420,131</v>
      </c>
      <c r="Q1455" s="6" t="s">
        <v>10</v>
      </c>
      <c r="R1455" s="1">
        <v>90</v>
      </c>
      <c r="S1455" s="1">
        <v>2.5</v>
      </c>
      <c r="T1455" s="1" t="str">
        <f t="shared" si="192"/>
        <v>-text 420,131 2.5 90 267.239</v>
      </c>
    </row>
    <row r="1456" spans="1:20" x14ac:dyDescent="0.35">
      <c r="A1456" s="1">
        <v>280440</v>
      </c>
      <c r="B1456" s="7">
        <v>1169860.6000000001</v>
      </c>
      <c r="C1456" s="2">
        <v>269.92700000000002</v>
      </c>
      <c r="D1456" s="2">
        <v>270.55799999999999</v>
      </c>
      <c r="E1456" s="2">
        <v>0.63200000000000001</v>
      </c>
      <c r="F1456" s="2">
        <v>269.255</v>
      </c>
      <c r="G1456" s="2">
        <v>269.84500000000003</v>
      </c>
      <c r="H1456" s="2">
        <v>0.59099999999999997</v>
      </c>
      <c r="I1456" s="2">
        <v>267.28699999999998</v>
      </c>
      <c r="J1456" s="2">
        <v>267.29399999999998</v>
      </c>
      <c r="K1456" s="15">
        <v>2.5510000000000002</v>
      </c>
      <c r="L1456" s="2">
        <v>17.321999999999999</v>
      </c>
      <c r="N1456" s="7">
        <f t="shared" si="190"/>
        <v>440</v>
      </c>
      <c r="O1456" s="1">
        <f t="shared" si="191"/>
        <v>131</v>
      </c>
      <c r="P1456" s="1" t="str">
        <f t="shared" si="193"/>
        <v>440,131</v>
      </c>
      <c r="Q1456" s="6" t="s">
        <v>10</v>
      </c>
      <c r="R1456" s="1">
        <v>90</v>
      </c>
      <c r="S1456" s="1">
        <v>2.5</v>
      </c>
      <c r="T1456" s="1" t="str">
        <f t="shared" si="192"/>
        <v>-text 440,131 2.5 90 267.294</v>
      </c>
    </row>
    <row r="1457" spans="1:20" x14ac:dyDescent="0.35">
      <c r="A1457" s="1">
        <v>280460</v>
      </c>
      <c r="B1457" s="7">
        <v>1169880.6000000001</v>
      </c>
      <c r="C1457" s="2">
        <v>269.93799999999999</v>
      </c>
      <c r="D1457" s="2">
        <v>270.56400000000002</v>
      </c>
      <c r="E1457" s="2">
        <v>0.625</v>
      </c>
      <c r="F1457" s="2">
        <v>269.26600000000002</v>
      </c>
      <c r="G1457" s="2">
        <v>269.851</v>
      </c>
      <c r="H1457" s="2">
        <v>0.58399999999999996</v>
      </c>
      <c r="I1457" s="2">
        <v>267.33199999999999</v>
      </c>
      <c r="J1457" s="2">
        <v>267.214</v>
      </c>
      <c r="K1457" s="15">
        <v>2.6360000000000001</v>
      </c>
      <c r="L1457" s="2">
        <v>17.303000000000001</v>
      </c>
      <c r="N1457" s="7">
        <f t="shared" si="190"/>
        <v>460</v>
      </c>
      <c r="O1457" s="1">
        <f t="shared" si="191"/>
        <v>131</v>
      </c>
      <c r="P1457" s="1" t="str">
        <f t="shared" si="193"/>
        <v>460,131</v>
      </c>
      <c r="Q1457" s="6" t="s">
        <v>10</v>
      </c>
      <c r="R1457" s="1">
        <v>90</v>
      </c>
      <c r="S1457" s="1">
        <v>2.5</v>
      </c>
      <c r="T1457" s="1" t="str">
        <f t="shared" si="192"/>
        <v>-text 460,131 2.5 90 267.214</v>
      </c>
    </row>
    <row r="1458" spans="1:20" x14ac:dyDescent="0.35">
      <c r="A1458" s="1">
        <v>280480</v>
      </c>
      <c r="B1458" s="7">
        <v>1169900.6000000001</v>
      </c>
      <c r="C1458" s="2">
        <v>269.92099999999999</v>
      </c>
      <c r="D1458" s="2">
        <v>270.56900000000002</v>
      </c>
      <c r="E1458" s="2">
        <v>0.64800000000000002</v>
      </c>
      <c r="F1458" s="2">
        <v>269.24900000000002</v>
      </c>
      <c r="G1458" s="2">
        <v>269.85599999999999</v>
      </c>
      <c r="H1458" s="2">
        <v>0.60699999999999998</v>
      </c>
      <c r="I1458" s="2">
        <v>267.24099999999999</v>
      </c>
      <c r="J1458" s="2">
        <v>267.13200000000001</v>
      </c>
      <c r="K1458" s="15">
        <v>2.7229999999999999</v>
      </c>
      <c r="L1458" s="2">
        <v>17.257000000000001</v>
      </c>
      <c r="N1458" s="7">
        <f t="shared" si="190"/>
        <v>480</v>
      </c>
      <c r="O1458" s="1">
        <f t="shared" si="191"/>
        <v>131</v>
      </c>
      <c r="P1458" s="1" t="str">
        <f t="shared" si="193"/>
        <v>480,131</v>
      </c>
      <c r="Q1458" s="6" t="s">
        <v>10</v>
      </c>
      <c r="R1458" s="1">
        <v>90</v>
      </c>
      <c r="S1458" s="1">
        <v>2.5</v>
      </c>
      <c r="T1458" s="1" t="str">
        <f t="shared" si="192"/>
        <v>-text 480,131 2.5 90 267.132</v>
      </c>
    </row>
    <row r="1459" spans="1:20" x14ac:dyDescent="0.35">
      <c r="A1459" s="1">
        <v>280500</v>
      </c>
      <c r="B1459" s="7">
        <v>1169920.6000000001</v>
      </c>
      <c r="C1459" s="2">
        <v>269.91300000000001</v>
      </c>
      <c r="D1459" s="2">
        <v>270.57400000000001</v>
      </c>
      <c r="E1459" s="2">
        <v>0.66</v>
      </c>
      <c r="F1459" s="2">
        <v>269.24099999999999</v>
      </c>
      <c r="G1459" s="2">
        <v>269.86099999999999</v>
      </c>
      <c r="H1459" s="2">
        <v>0.61899999999999999</v>
      </c>
      <c r="I1459" s="2">
        <v>267.08</v>
      </c>
      <c r="J1459" s="2">
        <v>267.04500000000002</v>
      </c>
      <c r="K1459" s="15">
        <v>2.8159999999999998</v>
      </c>
      <c r="L1459" s="2">
        <v>17.213000000000001</v>
      </c>
      <c r="N1459" s="7">
        <f>N1456+(B1459-B1456)</f>
        <v>500</v>
      </c>
      <c r="O1459" s="1">
        <f t="shared" si="191"/>
        <v>131</v>
      </c>
      <c r="P1459" s="1" t="str">
        <f t="shared" ref="P1459" si="194">CONCATENATE(N1459,",",O1459)</f>
        <v>500,131</v>
      </c>
      <c r="Q1459" s="6" t="s">
        <v>10</v>
      </c>
      <c r="R1459" s="1">
        <v>90</v>
      </c>
      <c r="S1459" s="1">
        <v>2.5</v>
      </c>
      <c r="T1459" s="1" t="str">
        <f t="shared" si="192"/>
        <v>-text 500,131 2.5 90 267.045</v>
      </c>
    </row>
    <row r="1460" spans="1:20" s="10" customFormat="1" x14ac:dyDescent="0.35">
      <c r="B1460" s="11"/>
      <c r="C1460" s="9"/>
      <c r="D1460" s="9"/>
      <c r="E1460" s="9"/>
      <c r="F1460" s="9"/>
      <c r="G1460" s="9"/>
      <c r="H1460" s="9"/>
      <c r="I1460" s="9"/>
      <c r="J1460" s="9"/>
      <c r="K1460" s="16"/>
      <c r="L1460" s="9"/>
      <c r="M1460" s="9"/>
      <c r="N1460" s="11"/>
      <c r="Q1460" s="12"/>
    </row>
    <row r="1461" spans="1:20" x14ac:dyDescent="0.35">
      <c r="A1461" s="1">
        <v>280500</v>
      </c>
      <c r="B1461" s="7">
        <v>1169920.6000000001</v>
      </c>
      <c r="C1461" s="2">
        <v>269.91300000000001</v>
      </c>
      <c r="D1461" s="2">
        <v>270.57400000000001</v>
      </c>
      <c r="E1461" s="2">
        <v>0.66</v>
      </c>
      <c r="F1461" s="2">
        <v>269.24099999999999</v>
      </c>
      <c r="G1461" s="2">
        <v>269.86099999999999</v>
      </c>
      <c r="H1461" s="2">
        <v>0.61899999999999999</v>
      </c>
      <c r="I1461" s="2">
        <v>267.08</v>
      </c>
      <c r="J1461" s="2">
        <v>267.04500000000002</v>
      </c>
      <c r="K1461" s="15">
        <v>2.8159999999999998</v>
      </c>
      <c r="L1461" s="2">
        <v>17.213000000000001</v>
      </c>
      <c r="N1461" s="7">
        <v>0</v>
      </c>
      <c r="O1461" s="1">
        <f t="shared" si="191"/>
        <v>131</v>
      </c>
      <c r="P1461" s="1" t="str">
        <f t="shared" si="193"/>
        <v>0,131</v>
      </c>
      <c r="Q1461" s="6" t="s">
        <v>10</v>
      </c>
      <c r="R1461" s="1">
        <v>90</v>
      </c>
      <c r="S1461" s="1">
        <v>2.5</v>
      </c>
      <c r="T1461" s="1" t="str">
        <f t="shared" si="192"/>
        <v>-text 0,131 2.5 90 267.045</v>
      </c>
    </row>
    <row r="1462" spans="1:20" x14ac:dyDescent="0.35">
      <c r="A1462" s="1">
        <v>280520</v>
      </c>
      <c r="B1462" s="7">
        <v>1169940.6000000001</v>
      </c>
      <c r="C1462" s="2">
        <v>269.94099999999997</v>
      </c>
      <c r="D1462" s="2">
        <v>270.57900000000001</v>
      </c>
      <c r="E1462" s="2">
        <v>0.63800000000000001</v>
      </c>
      <c r="F1462" s="2">
        <v>269.26900000000001</v>
      </c>
      <c r="G1462" s="2">
        <v>269.86599999999999</v>
      </c>
      <c r="H1462" s="2">
        <v>0.59699999999999998</v>
      </c>
      <c r="I1462" s="2">
        <v>267.09699999999998</v>
      </c>
      <c r="J1462" s="2">
        <v>267.06900000000002</v>
      </c>
      <c r="K1462" s="15">
        <v>2.7959999999999998</v>
      </c>
      <c r="L1462" s="2">
        <v>17.175999999999998</v>
      </c>
      <c r="N1462" s="7">
        <f t="shared" ref="N1462:N1486" si="195">N1461+(B1462-B1461)</f>
        <v>20</v>
      </c>
      <c r="O1462" s="1">
        <f t="shared" si="191"/>
        <v>131</v>
      </c>
      <c r="P1462" s="1" t="str">
        <f t="shared" si="193"/>
        <v>20,131</v>
      </c>
      <c r="Q1462" s="6" t="s">
        <v>10</v>
      </c>
      <c r="R1462" s="1">
        <v>90</v>
      </c>
      <c r="S1462" s="1">
        <v>2.5</v>
      </c>
      <c r="T1462" s="1" t="str">
        <f t="shared" si="192"/>
        <v>-text 20,131 2.5 90 267.069</v>
      </c>
    </row>
    <row r="1463" spans="1:20" x14ac:dyDescent="0.35">
      <c r="A1463" s="1">
        <v>280540</v>
      </c>
      <c r="B1463" s="7">
        <v>1169960.6000000001</v>
      </c>
      <c r="C1463" s="2">
        <v>269.95499999999998</v>
      </c>
      <c r="D1463" s="2">
        <v>270.584</v>
      </c>
      <c r="E1463" s="2">
        <v>0.629</v>
      </c>
      <c r="F1463" s="2">
        <v>269.28300000000002</v>
      </c>
      <c r="G1463" s="2">
        <v>269.87099999999998</v>
      </c>
      <c r="H1463" s="2">
        <v>0.58799999999999997</v>
      </c>
      <c r="I1463" s="2">
        <v>267.19299999999998</v>
      </c>
      <c r="J1463" s="2">
        <v>267.166</v>
      </c>
      <c r="K1463" s="15">
        <v>2.7050000000000001</v>
      </c>
      <c r="L1463" s="2">
        <v>17.143000000000001</v>
      </c>
      <c r="N1463" s="7">
        <f t="shared" si="195"/>
        <v>40</v>
      </c>
      <c r="O1463" s="1">
        <f t="shared" si="191"/>
        <v>131</v>
      </c>
      <c r="P1463" s="1" t="str">
        <f t="shared" si="193"/>
        <v>40,131</v>
      </c>
      <c r="Q1463" s="6" t="s">
        <v>10</v>
      </c>
      <c r="R1463" s="1">
        <v>90</v>
      </c>
      <c r="S1463" s="1">
        <v>2.5</v>
      </c>
      <c r="T1463" s="1" t="str">
        <f t="shared" si="192"/>
        <v>-text 40,131 2.5 90 267.166</v>
      </c>
    </row>
    <row r="1464" spans="1:20" x14ac:dyDescent="0.35">
      <c r="A1464" s="1">
        <v>280560</v>
      </c>
      <c r="B1464" s="7">
        <v>1169980.6000000001</v>
      </c>
      <c r="C1464" s="2">
        <v>269.94600000000003</v>
      </c>
      <c r="D1464" s="2">
        <v>270.589</v>
      </c>
      <c r="E1464" s="2">
        <v>0.64300000000000002</v>
      </c>
      <c r="F1464" s="2">
        <v>269.274</v>
      </c>
      <c r="G1464" s="2">
        <v>269.87599999999998</v>
      </c>
      <c r="H1464" s="2">
        <v>0.60199999999999998</v>
      </c>
      <c r="I1464" s="2">
        <v>267.28899999999999</v>
      </c>
      <c r="J1464" s="2">
        <v>267.18700000000001</v>
      </c>
      <c r="K1464" s="15">
        <v>2.6890000000000001</v>
      </c>
      <c r="L1464" s="2">
        <v>17.117000000000001</v>
      </c>
      <c r="N1464" s="7">
        <f t="shared" si="195"/>
        <v>60</v>
      </c>
      <c r="O1464" s="1">
        <f t="shared" si="191"/>
        <v>131</v>
      </c>
      <c r="P1464" s="1" t="str">
        <f t="shared" si="193"/>
        <v>60,131</v>
      </c>
      <c r="Q1464" s="6" t="s">
        <v>10</v>
      </c>
      <c r="R1464" s="1">
        <v>90</v>
      </c>
      <c r="S1464" s="1">
        <v>2.5</v>
      </c>
      <c r="T1464" s="1" t="str">
        <f t="shared" si="192"/>
        <v>-text 60,131 2.5 90 267.187</v>
      </c>
    </row>
    <row r="1465" spans="1:20" x14ac:dyDescent="0.35">
      <c r="A1465" s="1">
        <v>280580</v>
      </c>
      <c r="B1465" s="7">
        <v>1170000.6000000001</v>
      </c>
      <c r="C1465" s="2">
        <v>269.93</v>
      </c>
      <c r="D1465" s="2">
        <v>270.59399999999999</v>
      </c>
      <c r="E1465" s="2">
        <v>0.66500000000000004</v>
      </c>
      <c r="F1465" s="2">
        <v>269.25799999999998</v>
      </c>
      <c r="G1465" s="2">
        <v>269.88099999999997</v>
      </c>
      <c r="H1465" s="2">
        <v>0.624</v>
      </c>
      <c r="I1465" s="2">
        <v>267.28800000000001</v>
      </c>
      <c r="J1465" s="2">
        <v>267.15199999999999</v>
      </c>
      <c r="K1465" s="15">
        <v>2.7290000000000001</v>
      </c>
      <c r="L1465" s="2">
        <v>17.088999999999999</v>
      </c>
      <c r="N1465" s="7">
        <f t="shared" si="195"/>
        <v>80</v>
      </c>
      <c r="O1465" s="1">
        <f t="shared" si="191"/>
        <v>131</v>
      </c>
      <c r="P1465" s="1" t="str">
        <f t="shared" si="193"/>
        <v>80,131</v>
      </c>
      <c r="Q1465" s="6" t="s">
        <v>10</v>
      </c>
      <c r="R1465" s="1">
        <v>90</v>
      </c>
      <c r="S1465" s="1">
        <v>2.5</v>
      </c>
      <c r="T1465" s="1" t="str">
        <f t="shared" si="192"/>
        <v>-text 80,131 2.5 90 267.152</v>
      </c>
    </row>
    <row r="1466" spans="1:20" x14ac:dyDescent="0.35">
      <c r="A1466" s="1">
        <v>280600</v>
      </c>
      <c r="B1466" s="7">
        <v>1170020.6000000001</v>
      </c>
      <c r="C1466" s="2">
        <v>269.90300000000002</v>
      </c>
      <c r="D1466" s="2">
        <v>270.59899999999999</v>
      </c>
      <c r="E1466" s="2">
        <v>0.69599999999999995</v>
      </c>
      <c r="F1466" s="2">
        <v>269.23099999999999</v>
      </c>
      <c r="G1466" s="2">
        <v>269.88600000000002</v>
      </c>
      <c r="H1466" s="2">
        <v>0.65500000000000003</v>
      </c>
      <c r="I1466" s="2">
        <v>267.21100000000001</v>
      </c>
      <c r="J1466" s="2">
        <v>267.13299999999998</v>
      </c>
      <c r="K1466" s="15">
        <v>2.754</v>
      </c>
      <c r="L1466" s="2">
        <v>17.059000000000001</v>
      </c>
      <c r="N1466" s="7">
        <f t="shared" si="195"/>
        <v>100</v>
      </c>
      <c r="O1466" s="1">
        <f t="shared" si="191"/>
        <v>131</v>
      </c>
      <c r="P1466" s="1" t="str">
        <f t="shared" si="193"/>
        <v>100,131</v>
      </c>
      <c r="Q1466" s="6" t="s">
        <v>10</v>
      </c>
      <c r="R1466" s="1">
        <v>90</v>
      </c>
      <c r="S1466" s="1">
        <v>2.5</v>
      </c>
      <c r="T1466" s="1" t="str">
        <f t="shared" si="192"/>
        <v>-text 100,131 2.5 90 267.133</v>
      </c>
    </row>
    <row r="1467" spans="1:20" x14ac:dyDescent="0.35">
      <c r="A1467" s="1">
        <v>280620</v>
      </c>
      <c r="B1467" s="7">
        <v>1170040.6000000001</v>
      </c>
      <c r="C1467" s="2">
        <v>269.89299999999997</v>
      </c>
      <c r="D1467" s="2">
        <v>270.60500000000002</v>
      </c>
      <c r="E1467" s="2">
        <v>0.71099999999999997</v>
      </c>
      <c r="F1467" s="2">
        <v>269.221</v>
      </c>
      <c r="G1467" s="2">
        <v>269.892</v>
      </c>
      <c r="H1467" s="2">
        <v>0.67</v>
      </c>
      <c r="I1467" s="2">
        <v>267.31200000000001</v>
      </c>
      <c r="J1467" s="2">
        <v>267.18900000000002</v>
      </c>
      <c r="K1467" s="15">
        <v>2.702</v>
      </c>
      <c r="L1467" s="2">
        <v>17.035</v>
      </c>
      <c r="N1467" s="7">
        <f t="shared" si="195"/>
        <v>120</v>
      </c>
      <c r="O1467" s="1">
        <f t="shared" si="191"/>
        <v>131</v>
      </c>
      <c r="P1467" s="1" t="str">
        <f t="shared" si="193"/>
        <v>120,131</v>
      </c>
      <c r="Q1467" s="6" t="s">
        <v>10</v>
      </c>
      <c r="R1467" s="1">
        <v>90</v>
      </c>
      <c r="S1467" s="1">
        <v>2.5</v>
      </c>
      <c r="T1467" s="1" t="str">
        <f t="shared" si="192"/>
        <v>-text 120,131 2.5 90 267.189</v>
      </c>
    </row>
    <row r="1468" spans="1:20" x14ac:dyDescent="0.35">
      <c r="A1468" s="1">
        <v>280640</v>
      </c>
      <c r="B1468" s="7">
        <v>1170060.6000000001</v>
      </c>
      <c r="C1468" s="2">
        <v>269.89699999999999</v>
      </c>
      <c r="D1468" s="2">
        <v>270.61</v>
      </c>
      <c r="E1468" s="2">
        <v>0.71199999999999997</v>
      </c>
      <c r="F1468" s="2">
        <v>269.22500000000002</v>
      </c>
      <c r="G1468" s="2">
        <v>269.89699999999999</v>
      </c>
      <c r="H1468" s="2">
        <v>0.67100000000000004</v>
      </c>
      <c r="I1468" s="2">
        <v>267.35599999999999</v>
      </c>
      <c r="J1468" s="2">
        <v>267.36399999999998</v>
      </c>
      <c r="K1468" s="15">
        <v>2.5329999999999999</v>
      </c>
      <c r="L1468" s="2">
        <v>17.018999999999998</v>
      </c>
      <c r="N1468" s="7">
        <f t="shared" si="195"/>
        <v>140</v>
      </c>
      <c r="O1468" s="1">
        <f t="shared" si="191"/>
        <v>131</v>
      </c>
      <c r="P1468" s="1" t="str">
        <f t="shared" si="193"/>
        <v>140,131</v>
      </c>
      <c r="Q1468" s="6" t="s">
        <v>10</v>
      </c>
      <c r="R1468" s="1">
        <v>90</v>
      </c>
      <c r="S1468" s="1">
        <v>2.5</v>
      </c>
      <c r="T1468" s="1" t="str">
        <f t="shared" si="192"/>
        <v>-text 140,131 2.5 90 267.364</v>
      </c>
    </row>
    <row r="1469" spans="1:20" x14ac:dyDescent="0.35">
      <c r="A1469" s="1">
        <v>280660</v>
      </c>
      <c r="B1469" s="7">
        <v>1170080.6000000001</v>
      </c>
      <c r="C1469" s="2">
        <v>269.90899999999999</v>
      </c>
      <c r="D1469" s="2">
        <v>270.61500000000001</v>
      </c>
      <c r="E1469" s="2">
        <v>0.70499999999999996</v>
      </c>
      <c r="F1469" s="2">
        <v>269.23700000000002</v>
      </c>
      <c r="G1469" s="2">
        <v>269.90199999999999</v>
      </c>
      <c r="H1469" s="2">
        <v>0.66400000000000003</v>
      </c>
      <c r="I1469" s="2">
        <v>267.40699999999998</v>
      </c>
      <c r="J1469" s="2">
        <v>267.55500000000001</v>
      </c>
      <c r="K1469" s="15">
        <v>2.347</v>
      </c>
      <c r="L1469" s="2">
        <v>16.986999999999998</v>
      </c>
      <c r="N1469" s="7">
        <f t="shared" si="195"/>
        <v>160</v>
      </c>
      <c r="O1469" s="1">
        <f t="shared" si="191"/>
        <v>131</v>
      </c>
      <c r="P1469" s="1" t="str">
        <f t="shared" si="193"/>
        <v>160,131</v>
      </c>
      <c r="Q1469" s="6" t="s">
        <v>10</v>
      </c>
      <c r="R1469" s="1">
        <v>90</v>
      </c>
      <c r="S1469" s="1">
        <v>2.5</v>
      </c>
      <c r="T1469" s="1" t="str">
        <f t="shared" si="192"/>
        <v>-text 160,131 2.5 90 267.555</v>
      </c>
    </row>
    <row r="1470" spans="1:20" x14ac:dyDescent="0.35">
      <c r="A1470" s="1">
        <v>280680</v>
      </c>
      <c r="B1470" s="7">
        <v>1170100.6000000001</v>
      </c>
      <c r="C1470" s="2">
        <v>269.928</v>
      </c>
      <c r="D1470" s="2">
        <v>270.62</v>
      </c>
      <c r="E1470" s="2">
        <v>0.69199999999999995</v>
      </c>
      <c r="F1470" s="2">
        <v>269.25599999999997</v>
      </c>
      <c r="G1470" s="2">
        <v>269.90699999999998</v>
      </c>
      <c r="H1470" s="2">
        <v>0.65100000000000002</v>
      </c>
      <c r="I1470" s="2">
        <v>267.2</v>
      </c>
      <c r="J1470" s="2">
        <v>267.209</v>
      </c>
      <c r="K1470" s="15">
        <v>2.698</v>
      </c>
      <c r="L1470" s="2">
        <v>16.942</v>
      </c>
      <c r="N1470" s="7">
        <f t="shared" si="195"/>
        <v>180</v>
      </c>
      <c r="O1470" s="1">
        <f t="shared" si="191"/>
        <v>131</v>
      </c>
      <c r="P1470" s="1" t="str">
        <f t="shared" si="193"/>
        <v>180,131</v>
      </c>
      <c r="Q1470" s="6" t="s">
        <v>10</v>
      </c>
      <c r="R1470" s="1">
        <v>90</v>
      </c>
      <c r="S1470" s="1">
        <v>2.5</v>
      </c>
      <c r="T1470" s="1" t="str">
        <f t="shared" si="192"/>
        <v>-text 180,131 2.5 90 267.209</v>
      </c>
    </row>
    <row r="1471" spans="1:20" x14ac:dyDescent="0.35">
      <c r="A1471" s="1">
        <v>280700</v>
      </c>
      <c r="B1471" s="7">
        <v>1170120.6000000001</v>
      </c>
      <c r="C1471" s="2">
        <v>269.95800000000003</v>
      </c>
      <c r="D1471" s="2">
        <v>270.625</v>
      </c>
      <c r="E1471" s="2">
        <v>0.66700000000000004</v>
      </c>
      <c r="F1471" s="2">
        <v>269.286</v>
      </c>
      <c r="G1471" s="2">
        <v>269.91199999999998</v>
      </c>
      <c r="H1471" s="2">
        <v>0.626</v>
      </c>
      <c r="I1471" s="2">
        <v>267.03800000000001</v>
      </c>
      <c r="J1471" s="2">
        <v>267.137</v>
      </c>
      <c r="K1471" s="15">
        <v>2.7749999999999999</v>
      </c>
      <c r="L1471" s="2">
        <v>16.917000000000002</v>
      </c>
      <c r="N1471" s="7">
        <f t="shared" si="195"/>
        <v>200</v>
      </c>
      <c r="O1471" s="1">
        <f t="shared" si="191"/>
        <v>131</v>
      </c>
      <c r="P1471" s="1" t="str">
        <f t="shared" si="193"/>
        <v>200,131</v>
      </c>
      <c r="Q1471" s="6" t="s">
        <v>10</v>
      </c>
      <c r="R1471" s="1">
        <v>90</v>
      </c>
      <c r="S1471" s="1">
        <v>2.5</v>
      </c>
      <c r="T1471" s="1" t="str">
        <f t="shared" si="192"/>
        <v>-text 200,131 2.5 90 267.137</v>
      </c>
    </row>
    <row r="1472" spans="1:20" x14ac:dyDescent="0.35">
      <c r="A1472" s="1">
        <v>280720</v>
      </c>
      <c r="B1472" s="7">
        <v>1170140.6000000001</v>
      </c>
      <c r="C1472" s="2">
        <v>269.995</v>
      </c>
      <c r="D1472" s="2">
        <v>270.63</v>
      </c>
      <c r="E1472" s="2">
        <v>0.63500000000000001</v>
      </c>
      <c r="F1472" s="2">
        <v>269.32299999999998</v>
      </c>
      <c r="G1472" s="2">
        <v>269.91699999999997</v>
      </c>
      <c r="H1472" s="2">
        <v>0.59399999999999997</v>
      </c>
      <c r="I1472" s="2">
        <v>267.00099999999998</v>
      </c>
      <c r="J1472" s="2">
        <v>267.24700000000001</v>
      </c>
      <c r="K1472" s="15">
        <v>2.67</v>
      </c>
      <c r="L1472" s="2">
        <v>16.902000000000001</v>
      </c>
      <c r="N1472" s="7">
        <f t="shared" si="195"/>
        <v>220</v>
      </c>
      <c r="O1472" s="1">
        <f t="shared" si="191"/>
        <v>131</v>
      </c>
      <c r="P1472" s="1" t="str">
        <f t="shared" si="193"/>
        <v>220,131</v>
      </c>
      <c r="Q1472" s="6" t="s">
        <v>10</v>
      </c>
      <c r="R1472" s="1">
        <v>90</v>
      </c>
      <c r="S1472" s="1">
        <v>2.5</v>
      </c>
      <c r="T1472" s="1" t="str">
        <f t="shared" si="192"/>
        <v>-text 220,131 2.5 90 267.247</v>
      </c>
    </row>
    <row r="1473" spans="1:20" x14ac:dyDescent="0.35">
      <c r="A1473" s="1">
        <v>280740</v>
      </c>
      <c r="B1473" s="7">
        <v>1170160.6000000001</v>
      </c>
      <c r="C1473" s="2">
        <v>270.005</v>
      </c>
      <c r="D1473" s="2">
        <v>270.63499999999999</v>
      </c>
      <c r="E1473" s="2">
        <v>0.63100000000000001</v>
      </c>
      <c r="F1473" s="2">
        <v>269.33300000000003</v>
      </c>
      <c r="G1473" s="2">
        <v>269.92200000000003</v>
      </c>
      <c r="H1473" s="2">
        <v>0.59</v>
      </c>
      <c r="I1473" s="2">
        <v>266.68400000000003</v>
      </c>
      <c r="J1473" s="2">
        <v>267.24299999999999</v>
      </c>
      <c r="K1473" s="15">
        <v>2.6789999999999998</v>
      </c>
      <c r="L1473" s="2">
        <v>16.866</v>
      </c>
      <c r="N1473" s="7">
        <f t="shared" si="195"/>
        <v>240</v>
      </c>
      <c r="O1473" s="1">
        <f t="shared" si="191"/>
        <v>131</v>
      </c>
      <c r="P1473" s="1" t="str">
        <f t="shared" si="193"/>
        <v>240,131</v>
      </c>
      <c r="Q1473" s="6" t="s">
        <v>10</v>
      </c>
      <c r="R1473" s="1">
        <v>90</v>
      </c>
      <c r="S1473" s="1">
        <v>2.5</v>
      </c>
      <c r="T1473" s="1" t="str">
        <f t="shared" si="192"/>
        <v>-text 240,131 2.5 90 267.243</v>
      </c>
    </row>
    <row r="1474" spans="1:20" x14ac:dyDescent="0.35">
      <c r="A1474" s="1">
        <v>280760</v>
      </c>
      <c r="B1474" s="7">
        <v>1170180.6000000001</v>
      </c>
      <c r="C1474" s="2">
        <v>270.01</v>
      </c>
      <c r="D1474" s="2">
        <v>270.64</v>
      </c>
      <c r="E1474" s="2">
        <v>0.63</v>
      </c>
      <c r="F1474" s="2">
        <v>269.33800000000002</v>
      </c>
      <c r="G1474" s="2">
        <v>269.92700000000002</v>
      </c>
      <c r="H1474" s="2">
        <v>0.58899999999999997</v>
      </c>
      <c r="I1474" s="2">
        <v>266.66899999999998</v>
      </c>
      <c r="J1474" s="2">
        <v>267.19099999999997</v>
      </c>
      <c r="K1474" s="15">
        <v>2.7360000000000002</v>
      </c>
      <c r="L1474" s="2">
        <v>16.827000000000002</v>
      </c>
      <c r="N1474" s="7">
        <f t="shared" si="195"/>
        <v>260</v>
      </c>
      <c r="O1474" s="1">
        <f t="shared" si="191"/>
        <v>131</v>
      </c>
      <c r="P1474" s="1" t="str">
        <f t="shared" si="193"/>
        <v>260,131</v>
      </c>
      <c r="Q1474" s="6" t="s">
        <v>10</v>
      </c>
      <c r="R1474" s="1">
        <v>90</v>
      </c>
      <c r="S1474" s="1">
        <v>2.5</v>
      </c>
      <c r="T1474" s="1" t="str">
        <f t="shared" si="192"/>
        <v>-text 260,131 2.5 90 267.191</v>
      </c>
    </row>
    <row r="1475" spans="1:20" x14ac:dyDescent="0.35">
      <c r="A1475" s="1">
        <v>280780</v>
      </c>
      <c r="B1475" s="7">
        <v>1170200.6000000001</v>
      </c>
      <c r="C1475" s="2">
        <v>270.03100000000001</v>
      </c>
      <c r="D1475" s="2">
        <v>270.64600000000002</v>
      </c>
      <c r="E1475" s="2">
        <v>0.61499999999999999</v>
      </c>
      <c r="F1475" s="2">
        <v>269.35899999999998</v>
      </c>
      <c r="G1475" s="2">
        <v>269.93299999999999</v>
      </c>
      <c r="H1475" s="2">
        <v>0.57399999999999995</v>
      </c>
      <c r="I1475" s="2">
        <v>266.73599999999999</v>
      </c>
      <c r="J1475" s="2">
        <v>267.14999999999998</v>
      </c>
      <c r="K1475" s="15">
        <v>2.7829999999999999</v>
      </c>
      <c r="L1475" s="2">
        <v>16.806000000000001</v>
      </c>
      <c r="N1475" s="7">
        <f t="shared" si="195"/>
        <v>280</v>
      </c>
      <c r="O1475" s="1">
        <f t="shared" si="191"/>
        <v>131</v>
      </c>
      <c r="P1475" s="1" t="str">
        <f t="shared" si="193"/>
        <v>280,131</v>
      </c>
      <c r="Q1475" s="6" t="s">
        <v>10</v>
      </c>
      <c r="R1475" s="1">
        <v>90</v>
      </c>
      <c r="S1475" s="1">
        <v>2.5</v>
      </c>
      <c r="T1475" s="1" t="str">
        <f t="shared" si="192"/>
        <v>-text 280,131 2.5 90 267.15</v>
      </c>
    </row>
    <row r="1476" spans="1:20" x14ac:dyDescent="0.35">
      <c r="A1476" s="1">
        <v>280800</v>
      </c>
      <c r="B1476" s="7">
        <v>1170220.6000000001</v>
      </c>
      <c r="C1476" s="2">
        <v>270.04199999999997</v>
      </c>
      <c r="D1476" s="2">
        <v>270.65100000000001</v>
      </c>
      <c r="E1476" s="2">
        <v>0.60799999999999998</v>
      </c>
      <c r="F1476" s="2">
        <v>269.37</v>
      </c>
      <c r="G1476" s="2">
        <v>269.93799999999999</v>
      </c>
      <c r="H1476" s="2">
        <v>0.56699999999999995</v>
      </c>
      <c r="I1476" s="2">
        <v>266.91699999999997</v>
      </c>
      <c r="J1476" s="2">
        <v>267.07499999999999</v>
      </c>
      <c r="K1476" s="15">
        <v>2.863</v>
      </c>
      <c r="L1476" s="2">
        <v>16.783000000000001</v>
      </c>
      <c r="N1476" s="7">
        <f t="shared" si="195"/>
        <v>300</v>
      </c>
      <c r="O1476" s="1">
        <f t="shared" si="191"/>
        <v>131</v>
      </c>
      <c r="P1476" s="1" t="str">
        <f t="shared" si="193"/>
        <v>300,131</v>
      </c>
      <c r="Q1476" s="6" t="s">
        <v>10</v>
      </c>
      <c r="R1476" s="1">
        <v>90</v>
      </c>
      <c r="S1476" s="1">
        <v>2.5</v>
      </c>
      <c r="T1476" s="1" t="str">
        <f t="shared" si="192"/>
        <v>-text 300,131 2.5 90 267.075</v>
      </c>
    </row>
    <row r="1477" spans="1:20" x14ac:dyDescent="0.35">
      <c r="A1477" s="1">
        <v>280820</v>
      </c>
      <c r="B1477" s="7">
        <v>1170240.6000000001</v>
      </c>
      <c r="C1477" s="2">
        <v>269.97199999999998</v>
      </c>
      <c r="D1477" s="2">
        <v>270.65600000000001</v>
      </c>
      <c r="E1477" s="2">
        <v>0.68300000000000005</v>
      </c>
      <c r="F1477" s="2">
        <v>269.3</v>
      </c>
      <c r="G1477" s="2">
        <v>269.94299999999998</v>
      </c>
      <c r="H1477" s="2">
        <v>0.64200000000000002</v>
      </c>
      <c r="I1477" s="2">
        <v>267.279</v>
      </c>
      <c r="J1477" s="2">
        <v>267.25099999999998</v>
      </c>
      <c r="K1477" s="15">
        <v>2.6920000000000002</v>
      </c>
      <c r="L1477" s="2">
        <v>16.745999999999999</v>
      </c>
      <c r="N1477" s="7">
        <f t="shared" si="195"/>
        <v>320</v>
      </c>
      <c r="O1477" s="1">
        <f t="shared" si="191"/>
        <v>131</v>
      </c>
      <c r="P1477" s="1" t="str">
        <f t="shared" si="193"/>
        <v>320,131</v>
      </c>
      <c r="Q1477" s="6" t="s">
        <v>10</v>
      </c>
      <c r="R1477" s="1">
        <v>90</v>
      </c>
      <c r="S1477" s="1">
        <v>2.5</v>
      </c>
      <c r="T1477" s="1" t="str">
        <f t="shared" si="192"/>
        <v>-text 320,131 2.5 90 267.251</v>
      </c>
    </row>
    <row r="1478" spans="1:20" x14ac:dyDescent="0.35">
      <c r="A1478" s="1">
        <v>280840</v>
      </c>
      <c r="B1478" s="7">
        <v>1170260.6000000001</v>
      </c>
      <c r="C1478" s="2">
        <v>269.98700000000002</v>
      </c>
      <c r="D1478" s="2">
        <v>270.661</v>
      </c>
      <c r="E1478" s="2">
        <v>0.67400000000000004</v>
      </c>
      <c r="F1478" s="2">
        <v>269.315</v>
      </c>
      <c r="G1478" s="2">
        <v>269.94799999999998</v>
      </c>
      <c r="H1478" s="2">
        <v>0.63300000000000001</v>
      </c>
      <c r="I1478" s="2">
        <v>267.387</v>
      </c>
      <c r="J1478" s="2">
        <v>267.298</v>
      </c>
      <c r="K1478" s="15">
        <v>2.65</v>
      </c>
      <c r="L1478" s="2">
        <v>16.739000000000001</v>
      </c>
      <c r="N1478" s="7">
        <f t="shared" si="195"/>
        <v>340</v>
      </c>
      <c r="O1478" s="1">
        <f t="shared" si="191"/>
        <v>131</v>
      </c>
      <c r="P1478" s="1" t="str">
        <f t="shared" si="193"/>
        <v>340,131</v>
      </c>
      <c r="Q1478" s="6" t="s">
        <v>10</v>
      </c>
      <c r="R1478" s="1">
        <v>90</v>
      </c>
      <c r="S1478" s="1">
        <v>2.5</v>
      </c>
      <c r="T1478" s="1" t="str">
        <f t="shared" si="192"/>
        <v>-text 340,131 2.5 90 267.298</v>
      </c>
    </row>
    <row r="1479" spans="1:20" x14ac:dyDescent="0.35">
      <c r="A1479" s="1">
        <v>280860</v>
      </c>
      <c r="B1479" s="7">
        <v>1170280.6000000001</v>
      </c>
      <c r="C1479" s="2">
        <v>270.03899999999999</v>
      </c>
      <c r="D1479" s="2">
        <v>270.666</v>
      </c>
      <c r="E1479" s="2">
        <v>0.627</v>
      </c>
      <c r="F1479" s="2">
        <v>269.36700000000002</v>
      </c>
      <c r="G1479" s="2">
        <v>269.95299999999997</v>
      </c>
      <c r="H1479" s="2">
        <v>0.58599999999999997</v>
      </c>
      <c r="I1479" s="2">
        <v>267.37900000000002</v>
      </c>
      <c r="J1479" s="2">
        <v>267.17200000000003</v>
      </c>
      <c r="K1479" s="15">
        <v>2.7810000000000001</v>
      </c>
      <c r="L1479" s="2">
        <v>16.744</v>
      </c>
      <c r="N1479" s="7">
        <f t="shared" si="195"/>
        <v>360</v>
      </c>
      <c r="O1479" s="1">
        <f t="shared" si="191"/>
        <v>131</v>
      </c>
      <c r="P1479" s="1" t="str">
        <f t="shared" si="193"/>
        <v>360,131</v>
      </c>
      <c r="Q1479" s="6" t="s">
        <v>10</v>
      </c>
      <c r="R1479" s="1">
        <v>90</v>
      </c>
      <c r="S1479" s="1">
        <v>2.5</v>
      </c>
      <c r="T1479" s="1" t="str">
        <f t="shared" si="192"/>
        <v>-text 360,131 2.5 90 267.172</v>
      </c>
    </row>
    <row r="1480" spans="1:20" x14ac:dyDescent="0.35">
      <c r="A1480" s="1">
        <v>280880</v>
      </c>
      <c r="B1480" s="7">
        <v>1170300.6000000001</v>
      </c>
      <c r="C1480" s="2">
        <v>270.08199999999999</v>
      </c>
      <c r="D1480" s="2">
        <v>270.67099999999999</v>
      </c>
      <c r="E1480" s="2">
        <v>0.58899999999999997</v>
      </c>
      <c r="F1480" s="2">
        <v>269.41000000000003</v>
      </c>
      <c r="G1480" s="2">
        <v>269.95800000000003</v>
      </c>
      <c r="H1480" s="2">
        <v>0.54800000000000004</v>
      </c>
      <c r="I1480" s="2">
        <v>267.47500000000002</v>
      </c>
      <c r="J1480" s="2">
        <v>267.44099999999997</v>
      </c>
      <c r="K1480" s="15">
        <v>2.5169999999999999</v>
      </c>
      <c r="L1480" s="2">
        <v>16.722000000000001</v>
      </c>
      <c r="N1480" s="7">
        <f t="shared" si="195"/>
        <v>380</v>
      </c>
      <c r="O1480" s="1">
        <f t="shared" si="191"/>
        <v>131</v>
      </c>
      <c r="P1480" s="1" t="str">
        <f t="shared" si="193"/>
        <v>380,131</v>
      </c>
      <c r="Q1480" s="6" t="s">
        <v>10</v>
      </c>
      <c r="R1480" s="1">
        <v>90</v>
      </c>
      <c r="S1480" s="1">
        <v>2.5</v>
      </c>
      <c r="T1480" s="1" t="str">
        <f t="shared" si="192"/>
        <v>-text 380,131 2.5 90 267.441</v>
      </c>
    </row>
    <row r="1481" spans="1:20" x14ac:dyDescent="0.35">
      <c r="A1481" s="1">
        <v>280900</v>
      </c>
      <c r="B1481" s="7">
        <v>1170320.6000000001</v>
      </c>
      <c r="C1481" s="2">
        <v>270.12299999999999</v>
      </c>
      <c r="D1481" s="2">
        <v>270.67599999999999</v>
      </c>
      <c r="E1481" s="2">
        <v>0.55300000000000005</v>
      </c>
      <c r="F1481" s="2">
        <v>269.45100000000002</v>
      </c>
      <c r="G1481" s="2">
        <v>269.96300000000002</v>
      </c>
      <c r="H1481" s="2">
        <v>0.51200000000000001</v>
      </c>
      <c r="I1481" s="2">
        <v>267.56299999999999</v>
      </c>
      <c r="J1481" s="2">
        <v>267.42599999999999</v>
      </c>
      <c r="K1481" s="15">
        <v>2.5369999999999999</v>
      </c>
      <c r="L1481" s="2">
        <v>16.692</v>
      </c>
      <c r="N1481" s="7">
        <f t="shared" si="195"/>
        <v>400</v>
      </c>
      <c r="O1481" s="1">
        <f t="shared" si="191"/>
        <v>131</v>
      </c>
      <c r="P1481" s="1" t="str">
        <f t="shared" si="193"/>
        <v>400,131</v>
      </c>
      <c r="Q1481" s="6" t="s">
        <v>10</v>
      </c>
      <c r="R1481" s="1">
        <v>90</v>
      </c>
      <c r="S1481" s="1">
        <v>2.5</v>
      </c>
      <c r="T1481" s="1" t="str">
        <f t="shared" si="192"/>
        <v>-text 400,131 2.5 90 267.426</v>
      </c>
    </row>
    <row r="1482" spans="1:20" x14ac:dyDescent="0.35">
      <c r="A1482" s="1">
        <v>280920</v>
      </c>
      <c r="B1482" s="7">
        <v>1170340.6000000001</v>
      </c>
      <c r="C1482" s="2">
        <v>270.161</v>
      </c>
      <c r="D1482" s="2">
        <v>270.68099999999998</v>
      </c>
      <c r="E1482" s="2">
        <v>0.52100000000000002</v>
      </c>
      <c r="F1482" s="2">
        <v>269.48899999999998</v>
      </c>
      <c r="G1482" s="2">
        <v>269.96800000000002</v>
      </c>
      <c r="H1482" s="2">
        <v>0.48</v>
      </c>
      <c r="I1482" s="2">
        <v>267.51900000000001</v>
      </c>
      <c r="J1482" s="2">
        <v>267.33</v>
      </c>
      <c r="K1482" s="15">
        <v>2.6389999999999998</v>
      </c>
      <c r="L1482" s="2">
        <v>16.64</v>
      </c>
      <c r="N1482" s="7">
        <f t="shared" si="195"/>
        <v>420</v>
      </c>
      <c r="O1482" s="1">
        <f t="shared" si="191"/>
        <v>131</v>
      </c>
      <c r="P1482" s="1" t="str">
        <f t="shared" si="193"/>
        <v>420,131</v>
      </c>
      <c r="Q1482" s="6" t="s">
        <v>10</v>
      </c>
      <c r="R1482" s="1">
        <v>90</v>
      </c>
      <c r="S1482" s="1">
        <v>2.5</v>
      </c>
      <c r="T1482" s="1" t="str">
        <f t="shared" si="192"/>
        <v>-text 420,131 2.5 90 267.33</v>
      </c>
    </row>
    <row r="1483" spans="1:20" x14ac:dyDescent="0.35">
      <c r="A1483" s="1">
        <v>280940</v>
      </c>
      <c r="B1483" s="7">
        <v>1170360.6000000001</v>
      </c>
      <c r="C1483" s="2">
        <v>270.19799999999998</v>
      </c>
      <c r="D1483" s="2">
        <v>270.68599999999998</v>
      </c>
      <c r="E1483" s="2">
        <v>0.48899999999999999</v>
      </c>
      <c r="F1483" s="2">
        <v>269.52600000000001</v>
      </c>
      <c r="G1483" s="2">
        <v>269.97300000000001</v>
      </c>
      <c r="H1483" s="2">
        <v>0.44800000000000001</v>
      </c>
      <c r="I1483" s="2">
        <v>267.64100000000002</v>
      </c>
      <c r="J1483" s="2">
        <v>267.65600000000001</v>
      </c>
      <c r="K1483" s="15">
        <v>2.3170000000000002</v>
      </c>
      <c r="L1483" s="2">
        <v>16.584</v>
      </c>
      <c r="N1483" s="7">
        <f t="shared" si="195"/>
        <v>440</v>
      </c>
      <c r="O1483" s="1">
        <f t="shared" si="191"/>
        <v>131</v>
      </c>
      <c r="P1483" s="1" t="str">
        <f t="shared" si="193"/>
        <v>440,131</v>
      </c>
      <c r="Q1483" s="6" t="s">
        <v>10</v>
      </c>
      <c r="R1483" s="1">
        <v>90</v>
      </c>
      <c r="S1483" s="1">
        <v>2.5</v>
      </c>
      <c r="T1483" s="1" t="str">
        <f t="shared" si="192"/>
        <v>-text 440,131 2.5 90 267.656</v>
      </c>
    </row>
    <row r="1484" spans="1:20" x14ac:dyDescent="0.35">
      <c r="A1484" s="1">
        <v>280960</v>
      </c>
      <c r="B1484" s="7">
        <v>1170380.6000000001</v>
      </c>
      <c r="C1484" s="2">
        <v>270.2</v>
      </c>
      <c r="D1484" s="2">
        <v>270.69200000000001</v>
      </c>
      <c r="E1484" s="2">
        <v>0.49199999999999999</v>
      </c>
      <c r="F1484" s="2">
        <v>269.52800000000002</v>
      </c>
      <c r="G1484" s="2">
        <v>269.97899999999998</v>
      </c>
      <c r="H1484" s="2">
        <v>0.45100000000000001</v>
      </c>
      <c r="I1484" s="2">
        <v>267.42700000000002</v>
      </c>
      <c r="J1484" s="2">
        <v>267.67700000000002</v>
      </c>
      <c r="K1484" s="15">
        <v>2.3010000000000002</v>
      </c>
      <c r="L1484" s="2">
        <v>16.556000000000001</v>
      </c>
      <c r="N1484" s="7">
        <f t="shared" si="195"/>
        <v>460</v>
      </c>
      <c r="O1484" s="1">
        <f t="shared" si="191"/>
        <v>131</v>
      </c>
      <c r="P1484" s="1" t="str">
        <f t="shared" si="193"/>
        <v>460,131</v>
      </c>
      <c r="Q1484" s="6" t="s">
        <v>10</v>
      </c>
      <c r="R1484" s="1">
        <v>90</v>
      </c>
      <c r="S1484" s="1">
        <v>2.5</v>
      </c>
      <c r="T1484" s="1" t="str">
        <f t="shared" si="192"/>
        <v>-text 460,131 2.5 90 267.677</v>
      </c>
    </row>
    <row r="1485" spans="1:20" x14ac:dyDescent="0.35">
      <c r="A1485" s="1">
        <v>280980</v>
      </c>
      <c r="B1485" s="7">
        <v>1170400.6000000001</v>
      </c>
      <c r="C1485" s="2">
        <v>270.19400000000002</v>
      </c>
      <c r="D1485" s="2">
        <v>270.697</v>
      </c>
      <c r="E1485" s="2">
        <v>0.503</v>
      </c>
      <c r="F1485" s="2">
        <v>269.52199999999999</v>
      </c>
      <c r="G1485" s="2">
        <v>269.98399999999998</v>
      </c>
      <c r="H1485" s="2">
        <v>0.46200000000000002</v>
      </c>
      <c r="I1485" s="2">
        <v>267.55200000000002</v>
      </c>
      <c r="J1485" s="2">
        <v>267.47000000000003</v>
      </c>
      <c r="K1485" s="15">
        <v>2.5129999999999999</v>
      </c>
      <c r="L1485" s="2">
        <v>16.536999999999999</v>
      </c>
      <c r="N1485" s="7">
        <f t="shared" si="195"/>
        <v>480</v>
      </c>
      <c r="O1485" s="1">
        <f t="shared" si="191"/>
        <v>131</v>
      </c>
      <c r="P1485" s="1" t="str">
        <f t="shared" si="193"/>
        <v>480,131</v>
      </c>
      <c r="Q1485" s="6" t="s">
        <v>10</v>
      </c>
      <c r="R1485" s="1">
        <v>90</v>
      </c>
      <c r="S1485" s="1">
        <v>2.5</v>
      </c>
      <c r="T1485" s="1" t="str">
        <f t="shared" si="192"/>
        <v>-text 480,131 2.5 90 267.47</v>
      </c>
    </row>
    <row r="1486" spans="1:20" x14ac:dyDescent="0.35">
      <c r="A1486" s="1">
        <v>280986.67406970001</v>
      </c>
      <c r="B1486" s="7">
        <v>1170407.3</v>
      </c>
      <c r="C1486" s="2">
        <v>270.19799999999998</v>
      </c>
      <c r="D1486" s="2">
        <v>270.69799999999998</v>
      </c>
      <c r="E1486" s="2">
        <v>0.501</v>
      </c>
      <c r="F1486" s="2">
        <v>269.52600000000001</v>
      </c>
      <c r="G1486" s="2">
        <v>269.98500000000001</v>
      </c>
      <c r="H1486" s="2">
        <v>0.46</v>
      </c>
      <c r="I1486" s="2">
        <v>267.57799999999997</v>
      </c>
      <c r="J1486" s="2">
        <v>267.38799999999998</v>
      </c>
      <c r="K1486" s="15">
        <v>2.5979999999999999</v>
      </c>
      <c r="L1486" s="2">
        <v>16.53</v>
      </c>
      <c r="N1486" s="7">
        <f t="shared" si="195"/>
        <v>486.69999999995343</v>
      </c>
      <c r="O1486" s="1">
        <f t="shared" si="191"/>
        <v>131</v>
      </c>
      <c r="P1486" s="1" t="str">
        <f t="shared" si="193"/>
        <v>486.699999999953,131</v>
      </c>
      <c r="Q1486" s="6" t="s">
        <v>10</v>
      </c>
      <c r="R1486" s="1">
        <v>90</v>
      </c>
      <c r="S1486" s="1">
        <v>2.5</v>
      </c>
      <c r="T1486" s="1" t="str">
        <f t="shared" si="192"/>
        <v>-text 486.699999999953,131 2.5 90 267.388</v>
      </c>
    </row>
    <row r="1487" spans="1:20" s="10" customFormat="1" x14ac:dyDescent="0.35">
      <c r="B1487" s="11"/>
      <c r="C1487" s="9"/>
      <c r="D1487" s="9"/>
      <c r="E1487" s="9"/>
      <c r="F1487" s="9"/>
      <c r="G1487" s="9"/>
      <c r="H1487" s="9"/>
      <c r="I1487" s="9"/>
      <c r="J1487" s="9"/>
      <c r="K1487" s="16"/>
      <c r="L1487" s="9"/>
      <c r="M1487" s="9"/>
      <c r="N1487" s="11"/>
      <c r="Q1487" s="12"/>
    </row>
    <row r="1488" spans="1:20" x14ac:dyDescent="0.35">
      <c r="A1488" s="1">
        <v>281000</v>
      </c>
      <c r="B1488" s="7">
        <v>1170407.3</v>
      </c>
      <c r="C1488" s="2">
        <v>270.19799999999998</v>
      </c>
      <c r="D1488" s="2">
        <v>270.69799999999998</v>
      </c>
      <c r="E1488" s="2">
        <v>0.501</v>
      </c>
      <c r="F1488" s="2">
        <v>269.52600000000001</v>
      </c>
      <c r="G1488" s="2">
        <v>269.98500000000001</v>
      </c>
      <c r="H1488" s="2">
        <v>0.46</v>
      </c>
      <c r="I1488" s="2">
        <v>267.57799999999997</v>
      </c>
      <c r="J1488" s="2">
        <v>267.38799999999998</v>
      </c>
      <c r="K1488" s="15">
        <v>2.5979999999999999</v>
      </c>
      <c r="L1488" s="2">
        <v>16.53</v>
      </c>
      <c r="N1488" s="7">
        <v>0</v>
      </c>
      <c r="O1488" s="1">
        <f t="shared" si="191"/>
        <v>131</v>
      </c>
      <c r="P1488" s="1" t="str">
        <f t="shared" si="193"/>
        <v>0,131</v>
      </c>
      <c r="Q1488" s="6" t="s">
        <v>10</v>
      </c>
      <c r="R1488" s="1">
        <v>90</v>
      </c>
      <c r="S1488" s="1">
        <v>2.5</v>
      </c>
      <c r="T1488" s="1" t="str">
        <f t="shared" si="192"/>
        <v>-text 0,131 2.5 90 267.388</v>
      </c>
    </row>
    <row r="1489" spans="1:20" x14ac:dyDescent="0.35">
      <c r="A1489" s="1">
        <v>281020</v>
      </c>
      <c r="B1489" s="7">
        <v>1170427.3</v>
      </c>
      <c r="C1489" s="2">
        <v>270.22800000000001</v>
      </c>
      <c r="D1489" s="2">
        <v>270.70400000000001</v>
      </c>
      <c r="E1489" s="2">
        <v>0.47499999999999998</v>
      </c>
      <c r="F1489" s="2">
        <v>269.55599999999998</v>
      </c>
      <c r="G1489" s="2">
        <v>269.99099999999999</v>
      </c>
      <c r="H1489" s="2">
        <v>0.434</v>
      </c>
      <c r="I1489" s="2">
        <v>267.40600000000001</v>
      </c>
      <c r="J1489" s="2">
        <v>267.44099999999997</v>
      </c>
      <c r="K1489" s="15">
        <v>2.5499999999999998</v>
      </c>
      <c r="L1489" s="2">
        <v>16.507999999999999</v>
      </c>
      <c r="N1489" s="7">
        <f t="shared" ref="N1489:N1513" si="196">N1488+(B1489-B1488)</f>
        <v>20</v>
      </c>
      <c r="O1489" s="1">
        <f t="shared" si="191"/>
        <v>131</v>
      </c>
      <c r="P1489" s="1" t="str">
        <f t="shared" si="193"/>
        <v>20,131</v>
      </c>
      <c r="Q1489" s="6" t="s">
        <v>10</v>
      </c>
      <c r="R1489" s="1">
        <v>90</v>
      </c>
      <c r="S1489" s="1">
        <v>2.5</v>
      </c>
      <c r="T1489" s="1" t="str">
        <f t="shared" si="192"/>
        <v>-text 20,131 2.5 90 267.441</v>
      </c>
    </row>
    <row r="1490" spans="1:20" x14ac:dyDescent="0.35">
      <c r="A1490" s="1">
        <v>281040</v>
      </c>
      <c r="B1490" s="7">
        <v>1170447.3</v>
      </c>
      <c r="C1490" s="2">
        <v>270.25799999999998</v>
      </c>
      <c r="D1490" s="2">
        <v>270.709</v>
      </c>
      <c r="E1490" s="2">
        <v>0.45100000000000001</v>
      </c>
      <c r="F1490" s="2">
        <v>269.58600000000001</v>
      </c>
      <c r="G1490" s="2">
        <v>269.99599999999998</v>
      </c>
      <c r="H1490" s="2">
        <v>0.41</v>
      </c>
      <c r="I1490" s="2">
        <v>267.02600000000001</v>
      </c>
      <c r="J1490" s="2">
        <v>267.45400000000001</v>
      </c>
      <c r="K1490" s="15">
        <v>2.5409999999999999</v>
      </c>
      <c r="L1490" s="2">
        <v>16.489000000000001</v>
      </c>
      <c r="N1490" s="7">
        <f t="shared" si="196"/>
        <v>40</v>
      </c>
      <c r="O1490" s="1">
        <f t="shared" si="191"/>
        <v>131</v>
      </c>
      <c r="P1490" s="1" t="str">
        <f t="shared" si="193"/>
        <v>40,131</v>
      </c>
      <c r="Q1490" s="6" t="s">
        <v>10</v>
      </c>
      <c r="R1490" s="1">
        <v>90</v>
      </c>
      <c r="S1490" s="1">
        <v>2.5</v>
      </c>
      <c r="T1490" s="1" t="str">
        <f t="shared" si="192"/>
        <v>-text 40,131 2.5 90 267.454</v>
      </c>
    </row>
    <row r="1491" spans="1:20" x14ac:dyDescent="0.35">
      <c r="A1491" s="1">
        <v>281060</v>
      </c>
      <c r="B1491" s="7">
        <v>1170467.3</v>
      </c>
      <c r="C1491" s="2">
        <v>270.28699999999998</v>
      </c>
      <c r="D1491" s="2">
        <v>270.714</v>
      </c>
      <c r="E1491" s="2">
        <v>0.42699999999999999</v>
      </c>
      <c r="F1491" s="2">
        <v>269.61500000000001</v>
      </c>
      <c r="G1491" s="2">
        <v>270.00099999999998</v>
      </c>
      <c r="H1491" s="2">
        <v>0.38600000000000001</v>
      </c>
      <c r="I1491" s="2">
        <v>265.83199999999999</v>
      </c>
      <c r="J1491" s="2">
        <v>267.577</v>
      </c>
      <c r="K1491" s="15">
        <v>2.4239999999999999</v>
      </c>
      <c r="L1491" s="2">
        <v>16.483000000000001</v>
      </c>
      <c r="N1491" s="7">
        <f t="shared" si="196"/>
        <v>60</v>
      </c>
      <c r="O1491" s="1">
        <f t="shared" si="191"/>
        <v>131</v>
      </c>
      <c r="P1491" s="1" t="str">
        <f t="shared" si="193"/>
        <v>60,131</v>
      </c>
      <c r="Q1491" s="6" t="s">
        <v>10</v>
      </c>
      <c r="R1491" s="1">
        <v>90</v>
      </c>
      <c r="S1491" s="1">
        <v>2.5</v>
      </c>
      <c r="T1491" s="1" t="str">
        <f t="shared" si="192"/>
        <v>-text 60,131 2.5 90 267.577</v>
      </c>
    </row>
    <row r="1492" spans="1:20" x14ac:dyDescent="0.35">
      <c r="A1492" s="1">
        <v>281080</v>
      </c>
      <c r="B1492" s="7">
        <v>1170487.3</v>
      </c>
      <c r="C1492" s="2">
        <v>270.31200000000001</v>
      </c>
      <c r="D1492" s="2">
        <v>270.71899999999999</v>
      </c>
      <c r="E1492" s="2">
        <v>0.40699999999999997</v>
      </c>
      <c r="F1492" s="2">
        <v>269.64</v>
      </c>
      <c r="G1492" s="2">
        <v>270.00599999999997</v>
      </c>
      <c r="H1492" s="2">
        <v>0.36599999999999999</v>
      </c>
      <c r="I1492" s="2">
        <v>265.60199999999998</v>
      </c>
      <c r="J1492" s="2">
        <v>267.33199999999999</v>
      </c>
      <c r="K1492" s="15">
        <v>2.6739999999999999</v>
      </c>
      <c r="L1492" s="2">
        <v>16.475000000000001</v>
      </c>
      <c r="N1492" s="7">
        <f t="shared" si="196"/>
        <v>80</v>
      </c>
      <c r="O1492" s="1">
        <f t="shared" si="191"/>
        <v>131</v>
      </c>
      <c r="P1492" s="1" t="str">
        <f t="shared" si="193"/>
        <v>80,131</v>
      </c>
      <c r="Q1492" s="6" t="s">
        <v>10</v>
      </c>
      <c r="R1492" s="1">
        <v>90</v>
      </c>
      <c r="S1492" s="1">
        <v>2.5</v>
      </c>
      <c r="T1492" s="1" t="str">
        <f t="shared" si="192"/>
        <v>-text 80,131 2.5 90 267.332</v>
      </c>
    </row>
    <row r="1493" spans="1:20" x14ac:dyDescent="0.35">
      <c r="A1493" s="1">
        <v>281100</v>
      </c>
      <c r="B1493" s="7">
        <v>1170507.3</v>
      </c>
      <c r="C1493" s="2">
        <v>270.31200000000001</v>
      </c>
      <c r="D1493" s="2">
        <v>270.72399999999999</v>
      </c>
      <c r="E1493" s="2">
        <v>0.41199999999999998</v>
      </c>
      <c r="F1493" s="2">
        <v>269.64</v>
      </c>
      <c r="G1493" s="2">
        <v>270.01100000000002</v>
      </c>
      <c r="H1493" s="2">
        <v>0.371</v>
      </c>
      <c r="I1493" s="2">
        <v>266.81400000000002</v>
      </c>
      <c r="J1493" s="2">
        <v>267.80099999999999</v>
      </c>
      <c r="K1493" s="15">
        <v>2.21</v>
      </c>
      <c r="L1493" s="2">
        <v>16.446000000000002</v>
      </c>
      <c r="N1493" s="7">
        <f t="shared" si="196"/>
        <v>100</v>
      </c>
      <c r="O1493" s="1">
        <f t="shared" si="191"/>
        <v>131</v>
      </c>
      <c r="P1493" s="1" t="str">
        <f t="shared" si="193"/>
        <v>100,131</v>
      </c>
      <c r="Q1493" s="6" t="s">
        <v>10</v>
      </c>
      <c r="R1493" s="1">
        <v>90</v>
      </c>
      <c r="S1493" s="1">
        <v>2.5</v>
      </c>
      <c r="T1493" s="1" t="str">
        <f t="shared" si="192"/>
        <v>-text 100,131 2.5 90 267.801</v>
      </c>
    </row>
    <row r="1494" spans="1:20" x14ac:dyDescent="0.35">
      <c r="A1494" s="1">
        <v>281120</v>
      </c>
      <c r="B1494" s="7">
        <v>1170527.2</v>
      </c>
      <c r="C1494" s="2">
        <v>270.30399999999997</v>
      </c>
      <c r="D1494" s="2">
        <v>270.72899999999998</v>
      </c>
      <c r="E1494" s="2">
        <v>0.42499999999999999</v>
      </c>
      <c r="F1494" s="2">
        <v>269.63200000000001</v>
      </c>
      <c r="G1494" s="2">
        <v>270.01600000000002</v>
      </c>
      <c r="H1494" s="2">
        <v>0.38400000000000001</v>
      </c>
      <c r="I1494" s="2">
        <v>267.67899999999997</v>
      </c>
      <c r="J1494" s="2">
        <v>267.44099999999997</v>
      </c>
      <c r="K1494" s="15">
        <v>2.5750000000000002</v>
      </c>
      <c r="L1494" s="2">
        <v>16.41</v>
      </c>
      <c r="N1494" s="7">
        <f t="shared" si="196"/>
        <v>119.89999999990687</v>
      </c>
      <c r="O1494" s="1">
        <f t="shared" si="191"/>
        <v>131</v>
      </c>
      <c r="P1494" s="1" t="str">
        <f t="shared" si="193"/>
        <v>119.899999999907,131</v>
      </c>
      <c r="Q1494" s="6" t="s">
        <v>10</v>
      </c>
      <c r="R1494" s="1">
        <v>90</v>
      </c>
      <c r="S1494" s="1">
        <v>2.5</v>
      </c>
      <c r="T1494" s="1" t="str">
        <f t="shared" si="192"/>
        <v>-text 119.899999999907,131 2.5 90 267.441</v>
      </c>
    </row>
    <row r="1495" spans="1:20" x14ac:dyDescent="0.35">
      <c r="A1495" s="1">
        <v>281140</v>
      </c>
      <c r="B1495" s="7">
        <v>1170547.2</v>
      </c>
      <c r="C1495" s="2">
        <v>270.26799999999997</v>
      </c>
      <c r="D1495" s="2">
        <v>270.73399999999998</v>
      </c>
      <c r="E1495" s="2">
        <v>0.46600000000000003</v>
      </c>
      <c r="F1495" s="2">
        <v>269.596</v>
      </c>
      <c r="G1495" s="2">
        <v>270.02100000000002</v>
      </c>
      <c r="H1495" s="2">
        <v>0.42499999999999999</v>
      </c>
      <c r="I1495" s="2">
        <v>267.45999999999998</v>
      </c>
      <c r="J1495" s="2">
        <v>267.40699999999998</v>
      </c>
      <c r="K1495" s="15">
        <v>2.6139999999999999</v>
      </c>
      <c r="L1495" s="2">
        <v>16.353999999999999</v>
      </c>
      <c r="N1495" s="7">
        <f t="shared" si="196"/>
        <v>139.89999999990687</v>
      </c>
      <c r="O1495" s="1">
        <f t="shared" si="191"/>
        <v>131</v>
      </c>
      <c r="P1495" s="1" t="str">
        <f t="shared" si="193"/>
        <v>139.899999999907,131</v>
      </c>
      <c r="Q1495" s="6" t="s">
        <v>10</v>
      </c>
      <c r="R1495" s="1">
        <v>90</v>
      </c>
      <c r="S1495" s="1">
        <v>2.5</v>
      </c>
      <c r="T1495" s="1" t="str">
        <f t="shared" si="192"/>
        <v>-text 139.899999999907,131 2.5 90 267.407</v>
      </c>
    </row>
    <row r="1496" spans="1:20" x14ac:dyDescent="0.35">
      <c r="A1496" s="1">
        <v>281160</v>
      </c>
      <c r="B1496" s="7">
        <v>1170567.3</v>
      </c>
      <c r="C1496" s="2">
        <v>270.24299999999999</v>
      </c>
      <c r="D1496" s="2">
        <v>270.73899999999998</v>
      </c>
      <c r="E1496" s="2">
        <v>0.496</v>
      </c>
      <c r="F1496" s="2">
        <v>269.57100000000003</v>
      </c>
      <c r="G1496" s="2">
        <v>270.02600000000001</v>
      </c>
      <c r="H1496" s="2">
        <v>0.45500000000000002</v>
      </c>
      <c r="I1496" s="2">
        <v>267.51799999999997</v>
      </c>
      <c r="J1496" s="2">
        <v>267.423</v>
      </c>
      <c r="K1496" s="15">
        <v>2.6040000000000001</v>
      </c>
      <c r="L1496" s="2">
        <v>16.302</v>
      </c>
      <c r="N1496" s="7">
        <f t="shared" si="196"/>
        <v>160</v>
      </c>
      <c r="O1496" s="1">
        <f t="shared" si="191"/>
        <v>131</v>
      </c>
      <c r="P1496" s="1" t="str">
        <f t="shared" si="193"/>
        <v>160,131</v>
      </c>
      <c r="Q1496" s="6" t="s">
        <v>10</v>
      </c>
      <c r="R1496" s="1">
        <v>90</v>
      </c>
      <c r="S1496" s="1">
        <v>2.5</v>
      </c>
      <c r="T1496" s="1" t="str">
        <f t="shared" si="192"/>
        <v>-text 160,131 2.5 90 267.423</v>
      </c>
    </row>
    <row r="1497" spans="1:20" x14ac:dyDescent="0.35">
      <c r="A1497" s="1">
        <v>281180</v>
      </c>
      <c r="B1497" s="7">
        <v>1170587.3</v>
      </c>
      <c r="C1497" s="2">
        <v>270.26</v>
      </c>
      <c r="D1497" s="2">
        <v>270.745</v>
      </c>
      <c r="E1497" s="2">
        <v>0.48499999999999999</v>
      </c>
      <c r="F1497" s="2">
        <v>269.58800000000002</v>
      </c>
      <c r="G1497" s="2">
        <v>270.03199999999998</v>
      </c>
      <c r="H1497" s="2">
        <v>0.44400000000000001</v>
      </c>
      <c r="I1497" s="2">
        <v>267.69099999999997</v>
      </c>
      <c r="J1497" s="2">
        <v>267.53800000000001</v>
      </c>
      <c r="K1497" s="15">
        <v>2.4929999999999999</v>
      </c>
      <c r="L1497" s="2">
        <v>16.263999999999999</v>
      </c>
      <c r="N1497" s="7">
        <f t="shared" si="196"/>
        <v>180</v>
      </c>
      <c r="O1497" s="1">
        <f t="shared" si="191"/>
        <v>131</v>
      </c>
      <c r="P1497" s="1" t="str">
        <f t="shared" si="193"/>
        <v>180,131</v>
      </c>
      <c r="Q1497" s="6" t="s">
        <v>10</v>
      </c>
      <c r="R1497" s="1">
        <v>90</v>
      </c>
      <c r="S1497" s="1">
        <v>2.5</v>
      </c>
      <c r="T1497" s="1" t="str">
        <f t="shared" si="192"/>
        <v>-text 180,131 2.5 90 267.538</v>
      </c>
    </row>
    <row r="1498" spans="1:20" x14ac:dyDescent="0.35">
      <c r="A1498" s="1">
        <v>281200</v>
      </c>
      <c r="B1498" s="7">
        <v>1170607.3</v>
      </c>
      <c r="C1498" s="2">
        <v>270.26400000000001</v>
      </c>
      <c r="D1498" s="2">
        <v>270.75</v>
      </c>
      <c r="E1498" s="2">
        <v>0.48499999999999999</v>
      </c>
      <c r="F1498" s="2">
        <v>269.59199999999998</v>
      </c>
      <c r="G1498" s="2">
        <v>270.03699999999998</v>
      </c>
      <c r="H1498" s="2">
        <v>0.44400000000000001</v>
      </c>
      <c r="I1498" s="2">
        <v>267.72399999999999</v>
      </c>
      <c r="J1498" s="2">
        <v>267.44299999999998</v>
      </c>
      <c r="K1498" s="15">
        <v>2.593</v>
      </c>
      <c r="L1498" s="2">
        <v>16.239000000000001</v>
      </c>
      <c r="N1498" s="7">
        <f t="shared" si="196"/>
        <v>200</v>
      </c>
      <c r="O1498" s="1">
        <f t="shared" si="191"/>
        <v>131</v>
      </c>
      <c r="P1498" s="1" t="str">
        <f t="shared" si="193"/>
        <v>200,131</v>
      </c>
      <c r="Q1498" s="6" t="s">
        <v>10</v>
      </c>
      <c r="R1498" s="1">
        <v>90</v>
      </c>
      <c r="S1498" s="1">
        <v>2.5</v>
      </c>
      <c r="T1498" s="1" t="str">
        <f t="shared" si="192"/>
        <v>-text 200,131 2.5 90 267.443</v>
      </c>
    </row>
    <row r="1499" spans="1:20" x14ac:dyDescent="0.35">
      <c r="A1499" s="1">
        <v>281220</v>
      </c>
      <c r="B1499" s="7">
        <v>1170627.3</v>
      </c>
      <c r="C1499" s="2">
        <v>270.23099999999999</v>
      </c>
      <c r="D1499" s="2">
        <v>270.755</v>
      </c>
      <c r="E1499" s="2">
        <v>0.52400000000000002</v>
      </c>
      <c r="F1499" s="2">
        <v>269.55900000000003</v>
      </c>
      <c r="G1499" s="2">
        <v>270.04199999999997</v>
      </c>
      <c r="H1499" s="2">
        <v>0.48299999999999998</v>
      </c>
      <c r="I1499" s="2">
        <v>267.77699999999999</v>
      </c>
      <c r="J1499" s="2">
        <v>267.57100000000003</v>
      </c>
      <c r="K1499" s="15">
        <v>2.4710000000000001</v>
      </c>
      <c r="L1499" s="2">
        <v>16.257999999999999</v>
      </c>
      <c r="N1499" s="7">
        <f t="shared" si="196"/>
        <v>220</v>
      </c>
      <c r="O1499" s="1">
        <f t="shared" si="191"/>
        <v>131</v>
      </c>
      <c r="P1499" s="1" t="str">
        <f t="shared" si="193"/>
        <v>220,131</v>
      </c>
      <c r="Q1499" s="6" t="s">
        <v>10</v>
      </c>
      <c r="R1499" s="1">
        <v>90</v>
      </c>
      <c r="S1499" s="1">
        <v>2.5</v>
      </c>
      <c r="T1499" s="1" t="str">
        <f t="shared" si="192"/>
        <v>-text 220,131 2.5 90 267.571</v>
      </c>
    </row>
    <row r="1500" spans="1:20" x14ac:dyDescent="0.35">
      <c r="A1500" s="1">
        <v>281240</v>
      </c>
      <c r="B1500" s="7">
        <v>1170647.3</v>
      </c>
      <c r="C1500" s="2">
        <v>270.19900000000001</v>
      </c>
      <c r="D1500" s="2">
        <v>270.76</v>
      </c>
      <c r="E1500" s="2">
        <v>0.56100000000000005</v>
      </c>
      <c r="F1500" s="2">
        <v>269.52699999999999</v>
      </c>
      <c r="G1500" s="2">
        <v>270.04700000000003</v>
      </c>
      <c r="H1500" s="2">
        <v>0.52</v>
      </c>
      <c r="I1500" s="2">
        <v>267.786</v>
      </c>
      <c r="J1500" s="2">
        <v>267.44400000000002</v>
      </c>
      <c r="K1500" s="15">
        <v>2.6030000000000002</v>
      </c>
      <c r="L1500" s="2">
        <v>16.277999999999999</v>
      </c>
      <c r="N1500" s="7">
        <f t="shared" si="196"/>
        <v>240</v>
      </c>
      <c r="O1500" s="1">
        <f t="shared" si="191"/>
        <v>131</v>
      </c>
      <c r="P1500" s="1" t="str">
        <f t="shared" si="193"/>
        <v>240,131</v>
      </c>
      <c r="Q1500" s="6" t="s">
        <v>10</v>
      </c>
      <c r="R1500" s="1">
        <v>90</v>
      </c>
      <c r="S1500" s="1">
        <v>2.5</v>
      </c>
      <c r="T1500" s="1" t="str">
        <f t="shared" si="192"/>
        <v>-text 240,131 2.5 90 267.444</v>
      </c>
    </row>
    <row r="1501" spans="1:20" x14ac:dyDescent="0.35">
      <c r="A1501" s="1">
        <v>281260</v>
      </c>
      <c r="B1501" s="7">
        <v>1170667.3</v>
      </c>
      <c r="C1501" s="2">
        <v>270.14400000000001</v>
      </c>
      <c r="D1501" s="2">
        <v>270.76499999999999</v>
      </c>
      <c r="E1501" s="2">
        <v>0.621</v>
      </c>
      <c r="F1501" s="2">
        <v>269.47199999999998</v>
      </c>
      <c r="G1501" s="2">
        <v>270.05200000000002</v>
      </c>
      <c r="H1501" s="2">
        <v>0.57999999999999996</v>
      </c>
      <c r="I1501" s="2">
        <v>267.803</v>
      </c>
      <c r="J1501" s="2">
        <v>267.459</v>
      </c>
      <c r="K1501" s="15">
        <v>2.593</v>
      </c>
      <c r="L1501" s="2">
        <v>16.260000000000002</v>
      </c>
      <c r="N1501" s="7">
        <f t="shared" si="196"/>
        <v>260</v>
      </c>
      <c r="O1501" s="1">
        <f t="shared" si="191"/>
        <v>131</v>
      </c>
      <c r="P1501" s="1" t="str">
        <f t="shared" si="193"/>
        <v>260,131</v>
      </c>
      <c r="Q1501" s="6" t="s">
        <v>10</v>
      </c>
      <c r="R1501" s="1">
        <v>90</v>
      </c>
      <c r="S1501" s="1">
        <v>2.5</v>
      </c>
      <c r="T1501" s="1" t="str">
        <f t="shared" si="192"/>
        <v>-text 260,131 2.5 90 267.459</v>
      </c>
    </row>
    <row r="1502" spans="1:20" x14ac:dyDescent="0.35">
      <c r="A1502" s="1">
        <v>281280</v>
      </c>
      <c r="B1502" s="7">
        <v>1170687.3</v>
      </c>
      <c r="C1502" s="2">
        <v>270.17500000000001</v>
      </c>
      <c r="D1502" s="2">
        <v>270.77</v>
      </c>
      <c r="E1502" s="2">
        <v>0.59499999999999997</v>
      </c>
      <c r="F1502" s="2">
        <v>269.50299999999999</v>
      </c>
      <c r="G1502" s="2">
        <v>270.05700000000002</v>
      </c>
      <c r="H1502" s="2">
        <v>0.55400000000000005</v>
      </c>
      <c r="I1502" s="2">
        <v>267.84699999999998</v>
      </c>
      <c r="J1502" s="2">
        <v>267.553</v>
      </c>
      <c r="K1502" s="15">
        <v>2.504</v>
      </c>
      <c r="L1502" s="2">
        <v>16.234999999999999</v>
      </c>
      <c r="N1502" s="7">
        <f t="shared" si="196"/>
        <v>280</v>
      </c>
      <c r="O1502" s="1">
        <f t="shared" si="191"/>
        <v>131</v>
      </c>
      <c r="P1502" s="1" t="str">
        <f t="shared" si="193"/>
        <v>280,131</v>
      </c>
      <c r="Q1502" s="6" t="s">
        <v>10</v>
      </c>
      <c r="R1502" s="1">
        <v>90</v>
      </c>
      <c r="S1502" s="1">
        <v>2.5</v>
      </c>
      <c r="T1502" s="1" t="str">
        <f t="shared" si="192"/>
        <v>-text 280,131 2.5 90 267.553</v>
      </c>
    </row>
    <row r="1503" spans="1:20" x14ac:dyDescent="0.35">
      <c r="A1503" s="1">
        <v>281300</v>
      </c>
      <c r="B1503" s="7">
        <v>1170707.3</v>
      </c>
      <c r="C1503" s="2">
        <v>270.178</v>
      </c>
      <c r="D1503" s="2">
        <v>270.77499999999998</v>
      </c>
      <c r="E1503" s="2">
        <v>0.59699999999999998</v>
      </c>
      <c r="F1503" s="2">
        <v>269.50599999999997</v>
      </c>
      <c r="G1503" s="2">
        <v>270.06200000000001</v>
      </c>
      <c r="H1503" s="2">
        <v>0.55600000000000005</v>
      </c>
      <c r="I1503" s="2">
        <v>268.13499999999999</v>
      </c>
      <c r="J1503" s="2">
        <v>268.01400000000001</v>
      </c>
      <c r="K1503" s="15">
        <v>2.048</v>
      </c>
      <c r="L1503" s="2">
        <v>16.257999999999999</v>
      </c>
      <c r="N1503" s="7">
        <f t="shared" si="196"/>
        <v>300</v>
      </c>
      <c r="O1503" s="1">
        <f t="shared" si="191"/>
        <v>131</v>
      </c>
      <c r="P1503" s="1" t="str">
        <f t="shared" si="193"/>
        <v>300,131</v>
      </c>
      <c r="Q1503" s="6" t="s">
        <v>10</v>
      </c>
      <c r="R1503" s="1">
        <v>90</v>
      </c>
      <c r="S1503" s="1">
        <v>2.5</v>
      </c>
      <c r="T1503" s="1" t="str">
        <f t="shared" si="192"/>
        <v>-text 300,131 2.5 90 268.014</v>
      </c>
    </row>
    <row r="1504" spans="1:20" x14ac:dyDescent="0.35">
      <c r="A1504" s="1">
        <v>281320</v>
      </c>
      <c r="B1504" s="7">
        <v>1170727.3</v>
      </c>
      <c r="C1504" s="2">
        <v>270.17899999999997</v>
      </c>
      <c r="D1504" s="2">
        <v>270.77999999999997</v>
      </c>
      <c r="E1504" s="2">
        <v>0.60099999999999998</v>
      </c>
      <c r="F1504" s="2">
        <v>269.50700000000001</v>
      </c>
      <c r="G1504" s="2">
        <v>270.06700000000001</v>
      </c>
      <c r="H1504" s="2">
        <v>0.56000000000000005</v>
      </c>
      <c r="I1504" s="2">
        <v>268.27999999999997</v>
      </c>
      <c r="J1504" s="2">
        <v>268.17599999999999</v>
      </c>
      <c r="K1504" s="15">
        <v>1.8919999999999999</v>
      </c>
      <c r="L1504" s="2">
        <v>16.277000000000001</v>
      </c>
      <c r="N1504" s="7">
        <f t="shared" si="196"/>
        <v>320</v>
      </c>
      <c r="O1504" s="1">
        <f t="shared" si="191"/>
        <v>131</v>
      </c>
      <c r="P1504" s="1" t="str">
        <f t="shared" si="193"/>
        <v>320,131</v>
      </c>
      <c r="Q1504" s="6" t="s">
        <v>10</v>
      </c>
      <c r="R1504" s="1">
        <v>90</v>
      </c>
      <c r="S1504" s="1">
        <v>2.5</v>
      </c>
      <c r="T1504" s="1" t="str">
        <f t="shared" si="192"/>
        <v>-text 320,131 2.5 90 268.176</v>
      </c>
    </row>
    <row r="1505" spans="1:20" x14ac:dyDescent="0.35">
      <c r="A1505" s="1">
        <v>281340</v>
      </c>
      <c r="B1505" s="7">
        <v>1170747.3</v>
      </c>
      <c r="C1505" s="2">
        <v>270.161</v>
      </c>
      <c r="D1505" s="2">
        <v>270.786</v>
      </c>
      <c r="E1505" s="2">
        <v>0.625</v>
      </c>
      <c r="F1505" s="2">
        <v>269.48899999999998</v>
      </c>
      <c r="G1505" s="2">
        <v>270.07299999999998</v>
      </c>
      <c r="H1505" s="2">
        <v>0.58399999999999996</v>
      </c>
      <c r="I1505" s="2">
        <v>268.43900000000002</v>
      </c>
      <c r="J1505" s="2">
        <v>268.31799999999998</v>
      </c>
      <c r="K1505" s="15">
        <v>1.7549999999999999</v>
      </c>
      <c r="L1505" s="2">
        <v>16.254000000000001</v>
      </c>
      <c r="N1505" s="7">
        <f t="shared" si="196"/>
        <v>340</v>
      </c>
      <c r="O1505" s="1">
        <f t="shared" si="191"/>
        <v>131</v>
      </c>
      <c r="P1505" s="1" t="str">
        <f t="shared" si="193"/>
        <v>340,131</v>
      </c>
      <c r="Q1505" s="6" t="s">
        <v>10</v>
      </c>
      <c r="R1505" s="1">
        <v>90</v>
      </c>
      <c r="S1505" s="1">
        <v>2.5</v>
      </c>
      <c r="T1505" s="1" t="str">
        <f t="shared" si="192"/>
        <v>-text 340,131 2.5 90 268.318</v>
      </c>
    </row>
    <row r="1506" spans="1:20" x14ac:dyDescent="0.35">
      <c r="A1506" s="1">
        <v>281360</v>
      </c>
      <c r="B1506" s="7">
        <v>1170767.3</v>
      </c>
      <c r="C1506" s="2">
        <v>270.14499999999998</v>
      </c>
      <c r="D1506" s="2">
        <v>270.791</v>
      </c>
      <c r="E1506" s="2">
        <v>0.64600000000000002</v>
      </c>
      <c r="F1506" s="2">
        <v>269.47300000000001</v>
      </c>
      <c r="G1506" s="2">
        <v>270.07799999999997</v>
      </c>
      <c r="H1506" s="2">
        <v>0.60499999999999998</v>
      </c>
      <c r="I1506" s="2">
        <v>268.49700000000001</v>
      </c>
      <c r="J1506" s="2">
        <v>268.42</v>
      </c>
      <c r="K1506" s="15">
        <v>1.657</v>
      </c>
      <c r="L1506" s="2">
        <v>16.233000000000001</v>
      </c>
      <c r="N1506" s="7">
        <f t="shared" si="196"/>
        <v>360</v>
      </c>
      <c r="O1506" s="1">
        <f t="shared" si="191"/>
        <v>131</v>
      </c>
      <c r="P1506" s="1" t="str">
        <f t="shared" si="193"/>
        <v>360,131</v>
      </c>
      <c r="Q1506" s="6" t="s">
        <v>10</v>
      </c>
      <c r="R1506" s="1">
        <v>90</v>
      </c>
      <c r="S1506" s="1">
        <v>2.5</v>
      </c>
      <c r="T1506" s="1" t="str">
        <f t="shared" si="192"/>
        <v>-text 360,131 2.5 90 268.42</v>
      </c>
    </row>
    <row r="1507" spans="1:20" x14ac:dyDescent="0.35">
      <c r="A1507" s="1">
        <v>281380</v>
      </c>
      <c r="B1507" s="7">
        <v>1170787.3</v>
      </c>
      <c r="C1507" s="2">
        <v>270.14</v>
      </c>
      <c r="D1507" s="2">
        <v>270.79599999999999</v>
      </c>
      <c r="E1507" s="2">
        <v>0.65500000000000003</v>
      </c>
      <c r="F1507" s="2">
        <v>269.46800000000002</v>
      </c>
      <c r="G1507" s="2">
        <v>270.08300000000003</v>
      </c>
      <c r="H1507" s="2">
        <v>0.61399999999999999</v>
      </c>
      <c r="I1507" s="2">
        <v>268.62400000000002</v>
      </c>
      <c r="J1507" s="2">
        <v>268.73099999999999</v>
      </c>
      <c r="K1507" s="15">
        <v>1.351</v>
      </c>
      <c r="L1507" s="2">
        <v>16.23</v>
      </c>
      <c r="N1507" s="7">
        <f t="shared" si="196"/>
        <v>380</v>
      </c>
      <c r="O1507" s="1">
        <f t="shared" si="191"/>
        <v>131</v>
      </c>
      <c r="P1507" s="1" t="str">
        <f t="shared" si="193"/>
        <v>380,131</v>
      </c>
      <c r="Q1507" s="6" t="s">
        <v>10</v>
      </c>
      <c r="R1507" s="1">
        <v>90</v>
      </c>
      <c r="S1507" s="1">
        <v>2.5</v>
      </c>
      <c r="T1507" s="1" t="str">
        <f t="shared" si="192"/>
        <v>-text 380,131 2.5 90 268.731</v>
      </c>
    </row>
    <row r="1508" spans="1:20" x14ac:dyDescent="0.35">
      <c r="A1508" s="1">
        <v>281400</v>
      </c>
      <c r="B1508" s="7">
        <v>1170807.3</v>
      </c>
      <c r="C1508" s="2">
        <v>270.13099999999997</v>
      </c>
      <c r="D1508" s="2">
        <v>270.80099999999999</v>
      </c>
      <c r="E1508" s="2">
        <v>0.66900000000000004</v>
      </c>
      <c r="F1508" s="2">
        <v>269.459</v>
      </c>
      <c r="G1508" s="2">
        <v>270.08800000000002</v>
      </c>
      <c r="H1508" s="2">
        <v>0.628</v>
      </c>
      <c r="I1508" s="2">
        <v>268.69799999999998</v>
      </c>
      <c r="J1508" s="2">
        <v>268.89600000000002</v>
      </c>
      <c r="K1508" s="15">
        <v>1.1919999999999999</v>
      </c>
      <c r="L1508" s="2">
        <v>16.224</v>
      </c>
      <c r="N1508" s="7">
        <f t="shared" si="196"/>
        <v>400</v>
      </c>
      <c r="O1508" s="1">
        <f t="shared" si="191"/>
        <v>131</v>
      </c>
      <c r="P1508" s="1" t="str">
        <f t="shared" si="193"/>
        <v>400,131</v>
      </c>
      <c r="Q1508" s="6" t="s">
        <v>10</v>
      </c>
      <c r="R1508" s="1">
        <v>90</v>
      </c>
      <c r="S1508" s="1">
        <v>2.5</v>
      </c>
      <c r="T1508" s="1" t="str">
        <f t="shared" si="192"/>
        <v>-text 400,131 2.5 90 268.896</v>
      </c>
    </row>
    <row r="1509" spans="1:20" x14ac:dyDescent="0.35">
      <c r="A1509" s="1">
        <v>281420</v>
      </c>
      <c r="B1509" s="7">
        <v>1170827.3</v>
      </c>
      <c r="C1509" s="2">
        <v>270.11799999999999</v>
      </c>
      <c r="D1509" s="2">
        <v>270.80599999999998</v>
      </c>
      <c r="E1509" s="2">
        <v>0.68799999999999994</v>
      </c>
      <c r="F1509" s="2">
        <v>269.44600000000003</v>
      </c>
      <c r="G1509" s="2">
        <v>270.09300000000002</v>
      </c>
      <c r="H1509" s="2">
        <v>0.64700000000000002</v>
      </c>
      <c r="I1509" s="2">
        <v>268.85700000000003</v>
      </c>
      <c r="J1509" s="2">
        <v>269.08499999999998</v>
      </c>
      <c r="K1509" s="15">
        <v>1.008</v>
      </c>
      <c r="L1509" s="2">
        <v>16.213999999999999</v>
      </c>
      <c r="N1509" s="7">
        <f t="shared" si="196"/>
        <v>420</v>
      </c>
      <c r="O1509" s="1">
        <f t="shared" si="191"/>
        <v>131</v>
      </c>
      <c r="P1509" s="1" t="str">
        <f t="shared" si="193"/>
        <v>420,131</v>
      </c>
      <c r="Q1509" s="6" t="s">
        <v>10</v>
      </c>
      <c r="R1509" s="1">
        <v>90</v>
      </c>
      <c r="S1509" s="1">
        <v>2.5</v>
      </c>
      <c r="T1509" s="1" t="str">
        <f t="shared" si="192"/>
        <v>-text 420,131 2.5 90 269.085</v>
      </c>
    </row>
    <row r="1510" spans="1:20" x14ac:dyDescent="0.35">
      <c r="A1510" s="1">
        <v>281440</v>
      </c>
      <c r="B1510" s="7">
        <v>1170847.3</v>
      </c>
      <c r="C1510" s="2">
        <v>270.10399999999998</v>
      </c>
      <c r="D1510" s="2">
        <v>270.81099999999998</v>
      </c>
      <c r="E1510" s="2">
        <v>0.70699999999999996</v>
      </c>
      <c r="F1510" s="2">
        <v>269.43200000000002</v>
      </c>
      <c r="G1510" s="2">
        <v>270.09800000000001</v>
      </c>
      <c r="H1510" s="2">
        <v>0.66600000000000004</v>
      </c>
      <c r="I1510" s="2">
        <v>268.77</v>
      </c>
      <c r="J1510" s="2">
        <v>268.99700000000001</v>
      </c>
      <c r="K1510" s="15">
        <v>1.101</v>
      </c>
      <c r="L1510" s="2">
        <v>16.21</v>
      </c>
      <c r="N1510" s="7">
        <f t="shared" si="196"/>
        <v>440</v>
      </c>
      <c r="O1510" s="1">
        <f t="shared" si="191"/>
        <v>131</v>
      </c>
      <c r="P1510" s="1" t="str">
        <f t="shared" si="193"/>
        <v>440,131</v>
      </c>
      <c r="Q1510" s="6" t="s">
        <v>10</v>
      </c>
      <c r="R1510" s="1">
        <v>90</v>
      </c>
      <c r="S1510" s="1">
        <v>2.5</v>
      </c>
      <c r="T1510" s="1" t="str">
        <f t="shared" si="192"/>
        <v>-text 440,131 2.5 90 268.997</v>
      </c>
    </row>
    <row r="1511" spans="1:20" x14ac:dyDescent="0.35">
      <c r="A1511" s="1">
        <v>281460</v>
      </c>
      <c r="B1511" s="7">
        <v>1170867.3</v>
      </c>
      <c r="C1511" s="2">
        <v>270.08800000000002</v>
      </c>
      <c r="D1511" s="2">
        <v>270.81599999999997</v>
      </c>
      <c r="E1511" s="2">
        <v>0.72799999999999998</v>
      </c>
      <c r="F1511" s="2">
        <v>269.416</v>
      </c>
      <c r="G1511" s="2">
        <v>270.10300000000001</v>
      </c>
      <c r="H1511" s="2">
        <v>0.68700000000000006</v>
      </c>
      <c r="I1511" s="2">
        <v>268.84199999999998</v>
      </c>
      <c r="J1511" s="2">
        <v>268.91399999999999</v>
      </c>
      <c r="K1511" s="15">
        <v>1.19</v>
      </c>
      <c r="L1511" s="2">
        <v>16.22</v>
      </c>
      <c r="N1511" s="7">
        <f t="shared" si="196"/>
        <v>460</v>
      </c>
      <c r="O1511" s="1">
        <f t="shared" si="191"/>
        <v>131</v>
      </c>
      <c r="P1511" s="1" t="str">
        <f t="shared" si="193"/>
        <v>460,131</v>
      </c>
      <c r="Q1511" s="6" t="s">
        <v>10</v>
      </c>
      <c r="R1511" s="1">
        <v>90</v>
      </c>
      <c r="S1511" s="1">
        <v>2.5</v>
      </c>
      <c r="T1511" s="1" t="str">
        <f t="shared" si="192"/>
        <v>-text 460,131 2.5 90 268.914</v>
      </c>
    </row>
    <row r="1512" spans="1:20" x14ac:dyDescent="0.35">
      <c r="A1512" s="1">
        <v>281480</v>
      </c>
      <c r="B1512" s="7">
        <v>1170887.3</v>
      </c>
      <c r="C1512" s="2">
        <v>270.07799999999997</v>
      </c>
      <c r="D1512" s="2">
        <v>270.82100000000003</v>
      </c>
      <c r="E1512" s="2">
        <v>0.74399999999999999</v>
      </c>
      <c r="F1512" s="2">
        <v>269.40600000000001</v>
      </c>
      <c r="G1512" s="2">
        <v>270.108</v>
      </c>
      <c r="H1512" s="2">
        <v>0.70299999999999996</v>
      </c>
      <c r="I1512" s="2">
        <v>268.67599999999999</v>
      </c>
      <c r="J1512" s="2">
        <v>268.81799999999998</v>
      </c>
      <c r="K1512" s="15">
        <v>1.2909999999999999</v>
      </c>
      <c r="L1512" s="2">
        <v>16.218</v>
      </c>
      <c r="N1512" s="7">
        <f t="shared" si="196"/>
        <v>480</v>
      </c>
      <c r="O1512" s="1">
        <f t="shared" si="191"/>
        <v>131</v>
      </c>
      <c r="P1512" s="1" t="str">
        <f t="shared" si="193"/>
        <v>480,131</v>
      </c>
      <c r="Q1512" s="6" t="s">
        <v>10</v>
      </c>
      <c r="R1512" s="1">
        <v>90</v>
      </c>
      <c r="S1512" s="1">
        <v>2.5</v>
      </c>
      <c r="T1512" s="1" t="str">
        <f t="shared" si="192"/>
        <v>-text 480,131 2.5 90 268.818</v>
      </c>
    </row>
    <row r="1513" spans="1:20" x14ac:dyDescent="0.35">
      <c r="A1513" s="1">
        <v>281500</v>
      </c>
      <c r="B1513" s="7">
        <v>1170907.3</v>
      </c>
      <c r="C1513" s="2">
        <v>270.072</v>
      </c>
      <c r="D1513" s="2">
        <v>270.82600000000002</v>
      </c>
      <c r="E1513" s="2">
        <v>0.754</v>
      </c>
      <c r="F1513" s="2">
        <v>269.39999999999998</v>
      </c>
      <c r="G1513" s="2">
        <v>270.113</v>
      </c>
      <c r="H1513" s="2">
        <v>0.71299999999999997</v>
      </c>
      <c r="I1513" s="2">
        <v>268.71100000000001</v>
      </c>
      <c r="J1513" s="2">
        <v>268.38400000000001</v>
      </c>
      <c r="K1513" s="15">
        <v>1.73</v>
      </c>
      <c r="L1513" s="2">
        <v>16.202000000000002</v>
      </c>
      <c r="N1513" s="7">
        <f t="shared" si="196"/>
        <v>500</v>
      </c>
      <c r="O1513" s="1">
        <f t="shared" si="191"/>
        <v>131</v>
      </c>
      <c r="P1513" s="1" t="str">
        <f t="shared" si="193"/>
        <v>500,131</v>
      </c>
      <c r="Q1513" s="6" t="s">
        <v>10</v>
      </c>
      <c r="R1513" s="1">
        <v>90</v>
      </c>
      <c r="S1513" s="1">
        <v>2.5</v>
      </c>
      <c r="T1513" s="1" t="str">
        <f t="shared" si="192"/>
        <v>-text 500,131 2.5 90 268.384</v>
      </c>
    </row>
    <row r="1514" spans="1:20" s="10" customFormat="1" x14ac:dyDescent="0.35">
      <c r="B1514" s="11"/>
      <c r="C1514" s="9"/>
      <c r="D1514" s="9"/>
      <c r="E1514" s="9"/>
      <c r="F1514" s="9"/>
      <c r="G1514" s="9"/>
      <c r="H1514" s="9"/>
      <c r="I1514" s="9"/>
      <c r="J1514" s="9"/>
      <c r="K1514" s="16"/>
      <c r="L1514" s="9"/>
      <c r="M1514" s="9"/>
      <c r="N1514" s="11"/>
      <c r="Q1514" s="12"/>
    </row>
    <row r="1515" spans="1:20" x14ac:dyDescent="0.35">
      <c r="A1515" s="1">
        <v>281500</v>
      </c>
      <c r="B1515" s="7">
        <v>1170907.3</v>
      </c>
      <c r="C1515" s="2">
        <v>270.072</v>
      </c>
      <c r="D1515" s="2">
        <v>270.82600000000002</v>
      </c>
      <c r="E1515" s="2">
        <v>0.754</v>
      </c>
      <c r="F1515" s="2">
        <v>269.39999999999998</v>
      </c>
      <c r="G1515" s="2">
        <v>270.113</v>
      </c>
      <c r="H1515" s="2">
        <v>0.71299999999999997</v>
      </c>
      <c r="I1515" s="2">
        <v>268.71100000000001</v>
      </c>
      <c r="J1515" s="2">
        <v>268.38400000000001</v>
      </c>
      <c r="K1515" s="15">
        <v>1.73</v>
      </c>
      <c r="L1515" s="2">
        <v>16.202000000000002</v>
      </c>
      <c r="N1515" s="7">
        <v>0</v>
      </c>
      <c r="O1515" s="1">
        <f t="shared" si="191"/>
        <v>131</v>
      </c>
      <c r="P1515" s="1" t="str">
        <f t="shared" ref="P1515" si="197">CONCATENATE(N1515,",",O1515)</f>
        <v>0,131</v>
      </c>
      <c r="Q1515" s="6" t="s">
        <v>10</v>
      </c>
      <c r="R1515" s="1">
        <v>90</v>
      </c>
      <c r="S1515" s="1">
        <v>2.5</v>
      </c>
      <c r="T1515" s="1" t="str">
        <f t="shared" si="192"/>
        <v>-text 0,131 2.5 90 268.384</v>
      </c>
    </row>
    <row r="1516" spans="1:20" x14ac:dyDescent="0.35">
      <c r="A1516" s="1">
        <v>281520</v>
      </c>
      <c r="B1516" s="7">
        <v>1170927.3</v>
      </c>
      <c r="C1516" s="2">
        <v>270.06099999999998</v>
      </c>
      <c r="D1516" s="2">
        <v>270.83199999999999</v>
      </c>
      <c r="E1516" s="2">
        <v>0.77100000000000002</v>
      </c>
      <c r="F1516" s="2">
        <v>269.38900000000001</v>
      </c>
      <c r="G1516" s="2">
        <v>270.11900000000003</v>
      </c>
      <c r="H1516" s="2">
        <v>0.73</v>
      </c>
      <c r="I1516" s="2">
        <v>269.66199999999998</v>
      </c>
      <c r="J1516" s="2">
        <v>268.33</v>
      </c>
      <c r="K1516" s="15">
        <v>1.7889999999999999</v>
      </c>
      <c r="L1516" s="2">
        <v>16.202999999999999</v>
      </c>
      <c r="N1516" s="7">
        <f t="shared" ref="N1516:N1540" si="198">N1515+(B1516-B1515)</f>
        <v>20</v>
      </c>
      <c r="O1516" s="1">
        <f t="shared" si="191"/>
        <v>131</v>
      </c>
      <c r="P1516" s="1" t="str">
        <f t="shared" si="193"/>
        <v>20,131</v>
      </c>
      <c r="Q1516" s="6" t="s">
        <v>10</v>
      </c>
      <c r="R1516" s="1">
        <v>90</v>
      </c>
      <c r="S1516" s="1">
        <v>2.5</v>
      </c>
      <c r="T1516" s="1" t="str">
        <f t="shared" si="192"/>
        <v>-text 20,131 2.5 90 268.33</v>
      </c>
    </row>
    <row r="1517" spans="1:20" x14ac:dyDescent="0.35">
      <c r="A1517" s="1">
        <v>281540</v>
      </c>
      <c r="B1517" s="7">
        <v>1170947.3</v>
      </c>
      <c r="C1517" s="2">
        <v>270.04599999999999</v>
      </c>
      <c r="D1517" s="2">
        <v>270.83699999999999</v>
      </c>
      <c r="E1517" s="2">
        <v>0.79100000000000004</v>
      </c>
      <c r="F1517" s="2">
        <v>269.37400000000002</v>
      </c>
      <c r="G1517" s="2">
        <v>270.12400000000002</v>
      </c>
      <c r="H1517" s="2">
        <v>0.75</v>
      </c>
      <c r="I1517" s="2">
        <v>269.762</v>
      </c>
      <c r="J1517" s="2">
        <v>268.536</v>
      </c>
      <c r="K1517" s="15">
        <v>1.5880000000000001</v>
      </c>
      <c r="L1517" s="2">
        <v>16.207000000000001</v>
      </c>
      <c r="N1517" s="7">
        <f t="shared" si="198"/>
        <v>40</v>
      </c>
      <c r="O1517" s="1">
        <f t="shared" si="191"/>
        <v>131</v>
      </c>
      <c r="P1517" s="1" t="str">
        <f t="shared" si="193"/>
        <v>40,131</v>
      </c>
      <c r="Q1517" s="6" t="s">
        <v>10</v>
      </c>
      <c r="R1517" s="1">
        <v>90</v>
      </c>
      <c r="S1517" s="1">
        <v>2.5</v>
      </c>
      <c r="T1517" s="1" t="str">
        <f t="shared" si="192"/>
        <v>-text 40,131 2.5 90 268.536</v>
      </c>
    </row>
    <row r="1518" spans="1:20" x14ac:dyDescent="0.35">
      <c r="A1518" s="1">
        <v>281560</v>
      </c>
      <c r="B1518" s="7">
        <v>1170967.3</v>
      </c>
      <c r="C1518" s="2">
        <v>270.01900000000001</v>
      </c>
      <c r="D1518" s="2">
        <v>270.84199999999998</v>
      </c>
      <c r="E1518" s="2">
        <v>0.82299999999999995</v>
      </c>
      <c r="F1518" s="2">
        <v>269.34699999999998</v>
      </c>
      <c r="G1518" s="2">
        <v>270.12900000000002</v>
      </c>
      <c r="H1518" s="2">
        <v>0.78200000000000003</v>
      </c>
      <c r="I1518" s="2">
        <v>269.77100000000002</v>
      </c>
      <c r="J1518" s="2">
        <v>268.90800000000002</v>
      </c>
      <c r="K1518" s="15">
        <v>1.2210000000000001</v>
      </c>
      <c r="L1518" s="2">
        <v>16.175999999999998</v>
      </c>
      <c r="N1518" s="7">
        <f t="shared" si="198"/>
        <v>60</v>
      </c>
      <c r="O1518" s="1">
        <f t="shared" ref="O1518:O1585" si="199">19+16+16+16+16+16+16+16</f>
        <v>131</v>
      </c>
      <c r="P1518" s="1" t="str">
        <f t="shared" si="193"/>
        <v>60,131</v>
      </c>
      <c r="Q1518" s="6" t="s">
        <v>10</v>
      </c>
      <c r="R1518" s="1">
        <v>90</v>
      </c>
      <c r="S1518" s="1">
        <v>2.5</v>
      </c>
      <c r="T1518" s="1" t="str">
        <f t="shared" ref="T1518:T1585" si="200">$Q1518&amp;" "&amp;$P1518&amp;" "&amp;$S1518&amp;" "&amp;$R1518&amp;" "&amp;$J1518</f>
        <v>-text 60,131 2.5 90 268.908</v>
      </c>
    </row>
    <row r="1519" spans="1:20" x14ac:dyDescent="0.35">
      <c r="A1519" s="1">
        <v>281580</v>
      </c>
      <c r="B1519" s="7">
        <v>1170987.5</v>
      </c>
      <c r="C1519" s="2">
        <v>269.99200000000002</v>
      </c>
      <c r="D1519" s="2">
        <v>270.84699999999998</v>
      </c>
      <c r="E1519" s="2">
        <v>0.85499999999999998</v>
      </c>
      <c r="F1519" s="2">
        <v>269.32</v>
      </c>
      <c r="G1519" s="2">
        <v>270.13400000000001</v>
      </c>
      <c r="H1519" s="2">
        <v>0.81399999999999995</v>
      </c>
      <c r="I1519" s="2">
        <v>269.67599999999999</v>
      </c>
      <c r="J1519" s="2">
        <v>269.03300000000002</v>
      </c>
      <c r="K1519" s="15">
        <v>1.101</v>
      </c>
      <c r="L1519" s="2">
        <v>16.158000000000001</v>
      </c>
      <c r="N1519" s="7">
        <f t="shared" si="198"/>
        <v>80.199999999953434</v>
      </c>
      <c r="O1519" s="1">
        <f t="shared" si="199"/>
        <v>131</v>
      </c>
      <c r="P1519" s="1" t="str">
        <f t="shared" si="193"/>
        <v>80.1999999999534,131</v>
      </c>
      <c r="Q1519" s="6" t="s">
        <v>10</v>
      </c>
      <c r="R1519" s="1">
        <v>90</v>
      </c>
      <c r="S1519" s="1">
        <v>2.5</v>
      </c>
      <c r="T1519" s="1" t="str">
        <f t="shared" si="200"/>
        <v>-text 80.1999999999534,131 2.5 90 269.033</v>
      </c>
    </row>
    <row r="1520" spans="1:20" x14ac:dyDescent="0.35">
      <c r="A1520" s="1">
        <v>281600</v>
      </c>
      <c r="B1520" s="7">
        <v>1171007.5</v>
      </c>
      <c r="C1520" s="2">
        <v>270.00599999999997</v>
      </c>
      <c r="D1520" s="2">
        <v>270.85199999999998</v>
      </c>
      <c r="E1520" s="2">
        <v>0.84599999999999997</v>
      </c>
      <c r="F1520" s="2">
        <v>269.334</v>
      </c>
      <c r="G1520" s="2">
        <v>270.13900000000001</v>
      </c>
      <c r="H1520" s="2">
        <v>0.80500000000000005</v>
      </c>
      <c r="I1520" s="2">
        <v>268.79199999999997</v>
      </c>
      <c r="J1520" s="2">
        <v>268.245</v>
      </c>
      <c r="K1520" s="15">
        <v>1.8939999999999999</v>
      </c>
      <c r="L1520" s="2">
        <v>16.405000000000001</v>
      </c>
      <c r="N1520" s="7">
        <f t="shared" si="198"/>
        <v>100.19999999995343</v>
      </c>
      <c r="O1520" s="1">
        <f t="shared" si="199"/>
        <v>131</v>
      </c>
      <c r="P1520" s="1" t="str">
        <f t="shared" ref="P1520:P1587" si="201">CONCATENATE(N1520,",",O1520)</f>
        <v>100.199999999953,131</v>
      </c>
      <c r="Q1520" s="6" t="s">
        <v>10</v>
      </c>
      <c r="R1520" s="1">
        <v>90</v>
      </c>
      <c r="S1520" s="1">
        <v>2.5</v>
      </c>
      <c r="T1520" s="1" t="str">
        <f t="shared" si="200"/>
        <v>-text 100.199999999953,131 2.5 90 268.245</v>
      </c>
    </row>
    <row r="1521" spans="1:20" x14ac:dyDescent="0.35">
      <c r="A1521" s="1">
        <v>281620</v>
      </c>
      <c r="B1521" s="7">
        <v>1171027.3</v>
      </c>
      <c r="C1521" s="2">
        <v>270.00400000000002</v>
      </c>
      <c r="D1521" s="2">
        <v>270.85700000000003</v>
      </c>
      <c r="E1521" s="2">
        <v>0.85299999999999998</v>
      </c>
      <c r="F1521" s="2">
        <v>269.33199999999999</v>
      </c>
      <c r="G1521" s="2">
        <v>270.14400000000001</v>
      </c>
      <c r="H1521" s="2">
        <v>0.81200000000000006</v>
      </c>
      <c r="I1521" s="2">
        <v>268.45</v>
      </c>
      <c r="J1521" s="2">
        <v>268.34899999999999</v>
      </c>
      <c r="K1521" s="15">
        <v>1.7949999999999999</v>
      </c>
      <c r="L1521" s="2">
        <v>16.585999999999999</v>
      </c>
      <c r="N1521" s="7">
        <f t="shared" si="198"/>
        <v>120</v>
      </c>
      <c r="O1521" s="1">
        <f t="shared" si="199"/>
        <v>131</v>
      </c>
      <c r="P1521" s="1" t="str">
        <f t="shared" si="201"/>
        <v>120,131</v>
      </c>
      <c r="Q1521" s="6" t="s">
        <v>10</v>
      </c>
      <c r="R1521" s="1">
        <v>90</v>
      </c>
      <c r="S1521" s="1">
        <v>2.5</v>
      </c>
      <c r="T1521" s="1" t="str">
        <f t="shared" si="200"/>
        <v>-text 120,131 2.5 90 268.349</v>
      </c>
    </row>
    <row r="1522" spans="1:20" x14ac:dyDescent="0.35">
      <c r="A1522" s="1">
        <v>281640</v>
      </c>
      <c r="B1522" s="7">
        <v>1171047.3</v>
      </c>
      <c r="C1522" s="2">
        <v>269.96199999999999</v>
      </c>
      <c r="D1522" s="2">
        <v>270.86200000000002</v>
      </c>
      <c r="E1522" s="2">
        <v>0.9</v>
      </c>
      <c r="F1522" s="2">
        <v>269.29000000000002</v>
      </c>
      <c r="G1522" s="2">
        <v>270.149</v>
      </c>
      <c r="H1522" s="2">
        <v>0.85899999999999999</v>
      </c>
      <c r="I1522" s="2">
        <v>268.512</v>
      </c>
      <c r="J1522" s="2">
        <v>268.483</v>
      </c>
      <c r="K1522" s="15">
        <v>1.6659999999999999</v>
      </c>
      <c r="L1522" s="2">
        <v>16.594000000000001</v>
      </c>
      <c r="N1522" s="7">
        <f t="shared" si="198"/>
        <v>140</v>
      </c>
      <c r="O1522" s="1">
        <f t="shared" si="199"/>
        <v>131</v>
      </c>
      <c r="P1522" s="1" t="str">
        <f t="shared" si="201"/>
        <v>140,131</v>
      </c>
      <c r="Q1522" s="6" t="s">
        <v>10</v>
      </c>
      <c r="R1522" s="1">
        <v>90</v>
      </c>
      <c r="S1522" s="1">
        <v>2.5</v>
      </c>
      <c r="T1522" s="1" t="str">
        <f t="shared" si="200"/>
        <v>-text 140,131 2.5 90 268.483</v>
      </c>
    </row>
    <row r="1523" spans="1:20" x14ac:dyDescent="0.35">
      <c r="A1523" s="1">
        <v>281660</v>
      </c>
      <c r="B1523" s="7">
        <v>1171067.3</v>
      </c>
      <c r="C1523" s="2">
        <v>269.93700000000001</v>
      </c>
      <c r="D1523" s="2">
        <v>270.86700000000002</v>
      </c>
      <c r="E1523" s="2">
        <v>0.93</v>
      </c>
      <c r="F1523" s="2">
        <v>269.26499999999999</v>
      </c>
      <c r="G1523" s="2">
        <v>270.154</v>
      </c>
      <c r="H1523" s="2">
        <v>0.88900000000000001</v>
      </c>
      <c r="I1523" s="2">
        <v>268.49599999999998</v>
      </c>
      <c r="J1523" s="2">
        <v>268.48</v>
      </c>
      <c r="K1523" s="15">
        <v>1.6739999999999999</v>
      </c>
      <c r="L1523" s="2">
        <v>16.600000000000001</v>
      </c>
      <c r="N1523" s="7">
        <f t="shared" si="198"/>
        <v>160</v>
      </c>
      <c r="O1523" s="1">
        <f t="shared" si="199"/>
        <v>131</v>
      </c>
      <c r="P1523" s="1" t="str">
        <f t="shared" si="201"/>
        <v>160,131</v>
      </c>
      <c r="Q1523" s="6" t="s">
        <v>10</v>
      </c>
      <c r="R1523" s="1">
        <v>90</v>
      </c>
      <c r="S1523" s="1">
        <v>2.5</v>
      </c>
      <c r="T1523" s="1" t="str">
        <f t="shared" si="200"/>
        <v>-text 160,131 2.5 90 268.48</v>
      </c>
    </row>
    <row r="1524" spans="1:20" x14ac:dyDescent="0.35">
      <c r="A1524" s="1">
        <v>281680</v>
      </c>
      <c r="B1524" s="7">
        <v>1171087.3</v>
      </c>
      <c r="C1524" s="2">
        <v>269.94600000000003</v>
      </c>
      <c r="D1524" s="2">
        <v>270.87299999999999</v>
      </c>
      <c r="E1524" s="2">
        <v>0.92700000000000005</v>
      </c>
      <c r="F1524" s="2">
        <v>269.274</v>
      </c>
      <c r="G1524" s="2">
        <v>270.16000000000003</v>
      </c>
      <c r="H1524" s="2">
        <v>0.88600000000000001</v>
      </c>
      <c r="I1524" s="2">
        <v>268.48399999999998</v>
      </c>
      <c r="J1524" s="2">
        <v>268.45600000000002</v>
      </c>
      <c r="K1524" s="15">
        <v>1.7030000000000001</v>
      </c>
      <c r="L1524" s="2">
        <v>16.600000000000001</v>
      </c>
      <c r="N1524" s="7">
        <f t="shared" si="198"/>
        <v>180</v>
      </c>
      <c r="O1524" s="1">
        <f t="shared" si="199"/>
        <v>131</v>
      </c>
      <c r="P1524" s="1" t="str">
        <f t="shared" si="201"/>
        <v>180,131</v>
      </c>
      <c r="Q1524" s="6" t="s">
        <v>10</v>
      </c>
      <c r="R1524" s="1">
        <v>90</v>
      </c>
      <c r="S1524" s="1">
        <v>2.5</v>
      </c>
      <c r="T1524" s="1" t="str">
        <f t="shared" si="200"/>
        <v>-text 180,131 2.5 90 268.456</v>
      </c>
    </row>
    <row r="1525" spans="1:20" x14ac:dyDescent="0.35">
      <c r="A1525" s="1">
        <v>281700</v>
      </c>
      <c r="B1525" s="7">
        <v>1171107.3</v>
      </c>
      <c r="C1525" s="2">
        <v>269.96699999999998</v>
      </c>
      <c r="D1525" s="2">
        <v>270.87799999999999</v>
      </c>
      <c r="E1525" s="2">
        <v>0.91</v>
      </c>
      <c r="F1525" s="2">
        <v>269.29500000000002</v>
      </c>
      <c r="G1525" s="2">
        <v>270.16500000000002</v>
      </c>
      <c r="H1525" s="2">
        <v>0.86899999999999999</v>
      </c>
      <c r="I1525" s="2">
        <v>268.52300000000002</v>
      </c>
      <c r="J1525" s="2">
        <v>268.51299999999998</v>
      </c>
      <c r="K1525" s="15">
        <v>1.651</v>
      </c>
      <c r="L1525" s="2">
        <v>16.606999999999999</v>
      </c>
      <c r="N1525" s="7">
        <f t="shared" si="198"/>
        <v>200</v>
      </c>
      <c r="O1525" s="1">
        <f t="shared" si="199"/>
        <v>131</v>
      </c>
      <c r="P1525" s="1" t="str">
        <f t="shared" si="201"/>
        <v>200,131</v>
      </c>
      <c r="Q1525" s="6" t="s">
        <v>10</v>
      </c>
      <c r="R1525" s="1">
        <v>90</v>
      </c>
      <c r="S1525" s="1">
        <v>2.5</v>
      </c>
      <c r="T1525" s="1" t="str">
        <f t="shared" si="200"/>
        <v>-text 200,131 2.5 90 268.513</v>
      </c>
    </row>
    <row r="1526" spans="1:20" x14ac:dyDescent="0.35">
      <c r="A1526" s="1">
        <v>281720</v>
      </c>
      <c r="B1526" s="7">
        <v>1171127.3</v>
      </c>
      <c r="C1526" s="2">
        <v>269.99799999999999</v>
      </c>
      <c r="D1526" s="2">
        <v>270.88299999999998</v>
      </c>
      <c r="E1526" s="2">
        <v>0.88500000000000001</v>
      </c>
      <c r="F1526" s="2">
        <v>269.32600000000002</v>
      </c>
      <c r="G1526" s="2">
        <v>270.17</v>
      </c>
      <c r="H1526" s="2">
        <v>0.84399999999999997</v>
      </c>
      <c r="I1526" s="2">
        <v>268.61700000000002</v>
      </c>
      <c r="J1526" s="2">
        <v>268.62599999999998</v>
      </c>
      <c r="K1526" s="15">
        <v>1.544</v>
      </c>
      <c r="L1526" s="2">
        <v>16.617999999999999</v>
      </c>
      <c r="N1526" s="7">
        <f t="shared" si="198"/>
        <v>220</v>
      </c>
      <c r="O1526" s="1">
        <f t="shared" si="199"/>
        <v>131</v>
      </c>
      <c r="P1526" s="1" t="str">
        <f t="shared" si="201"/>
        <v>220,131</v>
      </c>
      <c r="Q1526" s="6" t="s">
        <v>10</v>
      </c>
      <c r="R1526" s="1">
        <v>90</v>
      </c>
      <c r="S1526" s="1">
        <v>2.5</v>
      </c>
      <c r="T1526" s="1" t="str">
        <f t="shared" si="200"/>
        <v>-text 220,131 2.5 90 268.626</v>
      </c>
    </row>
    <row r="1527" spans="1:20" x14ac:dyDescent="0.35">
      <c r="A1527" s="1">
        <v>281740</v>
      </c>
      <c r="B1527" s="7">
        <v>1171147.3</v>
      </c>
      <c r="C1527" s="2">
        <v>270.01600000000002</v>
      </c>
      <c r="D1527" s="2">
        <v>270.88799999999998</v>
      </c>
      <c r="E1527" s="2">
        <v>0.872</v>
      </c>
      <c r="F1527" s="2">
        <v>269.34399999999999</v>
      </c>
      <c r="G1527" s="2">
        <v>270.17500000000001</v>
      </c>
      <c r="H1527" s="2">
        <v>0.83099999999999996</v>
      </c>
      <c r="I1527" s="2">
        <v>268.74700000000001</v>
      </c>
      <c r="J1527" s="2">
        <v>268.81900000000002</v>
      </c>
      <c r="K1527" s="15">
        <v>1.3560000000000001</v>
      </c>
      <c r="L1527" s="2">
        <v>16.637</v>
      </c>
      <c r="N1527" s="7">
        <f t="shared" si="198"/>
        <v>240</v>
      </c>
      <c r="O1527" s="1">
        <f t="shared" si="199"/>
        <v>131</v>
      </c>
      <c r="P1527" s="1" t="str">
        <f t="shared" si="201"/>
        <v>240,131</v>
      </c>
      <c r="Q1527" s="6" t="s">
        <v>10</v>
      </c>
      <c r="R1527" s="1">
        <v>90</v>
      </c>
      <c r="S1527" s="1">
        <v>2.5</v>
      </c>
      <c r="T1527" s="1" t="str">
        <f t="shared" si="200"/>
        <v>-text 240,131 2.5 90 268.819</v>
      </c>
    </row>
    <row r="1528" spans="1:20" x14ac:dyDescent="0.35">
      <c r="A1528" s="1">
        <v>281760</v>
      </c>
      <c r="B1528" s="7">
        <v>1171167.3</v>
      </c>
      <c r="C1528" s="2">
        <v>270.03500000000003</v>
      </c>
      <c r="D1528" s="2">
        <v>270.89299999999997</v>
      </c>
      <c r="E1528" s="2">
        <v>0.85799999999999998</v>
      </c>
      <c r="F1528" s="2">
        <v>269.363</v>
      </c>
      <c r="G1528" s="2">
        <v>270.18</v>
      </c>
      <c r="H1528" s="2">
        <v>0.81699999999999995</v>
      </c>
      <c r="I1528" s="2">
        <v>268.59699999999998</v>
      </c>
      <c r="J1528" s="2">
        <v>268.69499999999999</v>
      </c>
      <c r="K1528" s="15">
        <v>1.4850000000000001</v>
      </c>
      <c r="L1528" s="2">
        <v>16.652000000000001</v>
      </c>
      <c r="N1528" s="7">
        <f t="shared" si="198"/>
        <v>260</v>
      </c>
      <c r="O1528" s="1">
        <f t="shared" si="199"/>
        <v>131</v>
      </c>
      <c r="P1528" s="1" t="str">
        <f t="shared" si="201"/>
        <v>260,131</v>
      </c>
      <c r="Q1528" s="6" t="s">
        <v>10</v>
      </c>
      <c r="R1528" s="1">
        <v>90</v>
      </c>
      <c r="S1528" s="1">
        <v>2.5</v>
      </c>
      <c r="T1528" s="1" t="str">
        <f t="shared" si="200"/>
        <v>-text 260,131 2.5 90 268.695</v>
      </c>
    </row>
    <row r="1529" spans="1:20" x14ac:dyDescent="0.35">
      <c r="A1529" s="1">
        <v>281780</v>
      </c>
      <c r="B1529" s="7">
        <v>1171187.3</v>
      </c>
      <c r="C1529" s="2">
        <v>270.06</v>
      </c>
      <c r="D1529" s="2">
        <v>270.89800000000002</v>
      </c>
      <c r="E1529" s="2">
        <v>0.83799999999999997</v>
      </c>
      <c r="F1529" s="2">
        <v>269.38799999999998</v>
      </c>
      <c r="G1529" s="2">
        <v>270.185</v>
      </c>
      <c r="H1529" s="2">
        <v>0.79700000000000004</v>
      </c>
      <c r="I1529" s="2">
        <v>268.23</v>
      </c>
      <c r="J1529" s="2">
        <v>267.976</v>
      </c>
      <c r="K1529" s="15">
        <v>2.2090000000000001</v>
      </c>
      <c r="L1529" s="2">
        <v>16.658000000000001</v>
      </c>
      <c r="N1529" s="7">
        <f t="shared" si="198"/>
        <v>280</v>
      </c>
      <c r="O1529" s="1">
        <f t="shared" si="199"/>
        <v>131</v>
      </c>
      <c r="P1529" s="1" t="str">
        <f t="shared" si="201"/>
        <v>280,131</v>
      </c>
      <c r="Q1529" s="6" t="s">
        <v>10</v>
      </c>
      <c r="R1529" s="1">
        <v>90</v>
      </c>
      <c r="S1529" s="1">
        <v>2.5</v>
      </c>
      <c r="T1529" s="1" t="str">
        <f t="shared" si="200"/>
        <v>-text 280,131 2.5 90 267.976</v>
      </c>
    </row>
    <row r="1530" spans="1:20" x14ac:dyDescent="0.35">
      <c r="A1530" s="1">
        <v>281800</v>
      </c>
      <c r="B1530" s="7">
        <v>1171207.2</v>
      </c>
      <c r="C1530" s="2">
        <v>270.05</v>
      </c>
      <c r="D1530" s="2">
        <v>270.90300000000002</v>
      </c>
      <c r="E1530" s="2">
        <v>0.85299999999999998</v>
      </c>
      <c r="F1530" s="2">
        <v>269.37799999999999</v>
      </c>
      <c r="G1530" s="2">
        <v>270.19</v>
      </c>
      <c r="H1530" s="2">
        <v>0.81200000000000006</v>
      </c>
      <c r="I1530" s="2">
        <v>268.16899999999998</v>
      </c>
      <c r="J1530" s="2">
        <v>268.53699999999998</v>
      </c>
      <c r="K1530" s="15">
        <v>1.653</v>
      </c>
      <c r="L1530" s="2">
        <v>16.616</v>
      </c>
      <c r="N1530" s="7">
        <f t="shared" si="198"/>
        <v>299.89999999990687</v>
      </c>
      <c r="O1530" s="1">
        <f t="shared" si="199"/>
        <v>131</v>
      </c>
      <c r="P1530" s="1" t="str">
        <f t="shared" si="201"/>
        <v>299.899999999907,131</v>
      </c>
      <c r="Q1530" s="6" t="s">
        <v>10</v>
      </c>
      <c r="R1530" s="1">
        <v>90</v>
      </c>
      <c r="S1530" s="1">
        <v>2.5</v>
      </c>
      <c r="T1530" s="1" t="str">
        <f t="shared" si="200"/>
        <v>-text 299.899999999907,131 2.5 90 268.537</v>
      </c>
    </row>
    <row r="1531" spans="1:20" x14ac:dyDescent="0.35">
      <c r="A1531" s="1">
        <v>281820</v>
      </c>
      <c r="B1531" s="7">
        <v>1171227.3</v>
      </c>
      <c r="C1531" s="2">
        <v>270.02199999999999</v>
      </c>
      <c r="D1531" s="2">
        <v>270.90800000000002</v>
      </c>
      <c r="E1531" s="2">
        <v>0.88700000000000001</v>
      </c>
      <c r="F1531" s="2">
        <v>269.35000000000002</v>
      </c>
      <c r="G1531" s="2">
        <v>270.19499999999999</v>
      </c>
      <c r="H1531" s="2">
        <v>0.84599999999999997</v>
      </c>
      <c r="I1531" s="2">
        <v>268.065</v>
      </c>
      <c r="J1531" s="2">
        <v>268.40199999999999</v>
      </c>
      <c r="K1531" s="15">
        <v>1.794</v>
      </c>
      <c r="L1531" s="2">
        <v>16.55</v>
      </c>
      <c r="N1531" s="7">
        <f t="shared" si="198"/>
        <v>320</v>
      </c>
      <c r="O1531" s="1">
        <f t="shared" si="199"/>
        <v>131</v>
      </c>
      <c r="P1531" s="1" t="str">
        <f t="shared" si="201"/>
        <v>320,131</v>
      </c>
      <c r="Q1531" s="6" t="s">
        <v>10</v>
      </c>
      <c r="R1531" s="1">
        <v>90</v>
      </c>
      <c r="S1531" s="1">
        <v>2.5</v>
      </c>
      <c r="T1531" s="1" t="str">
        <f t="shared" si="200"/>
        <v>-text 320,131 2.5 90 268.402</v>
      </c>
    </row>
    <row r="1532" spans="1:20" x14ac:dyDescent="0.35">
      <c r="A1532" s="1">
        <v>281840</v>
      </c>
      <c r="B1532" s="7">
        <v>1171247.3</v>
      </c>
      <c r="C1532" s="2">
        <v>270.05399999999997</v>
      </c>
      <c r="D1532" s="2">
        <v>270.91399999999999</v>
      </c>
      <c r="E1532" s="2">
        <v>0.86</v>
      </c>
      <c r="F1532" s="2">
        <v>269.38200000000001</v>
      </c>
      <c r="G1532" s="2">
        <v>270.20100000000002</v>
      </c>
      <c r="H1532" s="2">
        <v>0.81899999999999995</v>
      </c>
      <c r="I1532" s="2">
        <v>267.82299999999998</v>
      </c>
      <c r="J1532" s="2">
        <v>268.01799999999997</v>
      </c>
      <c r="K1532" s="15">
        <v>2.1829999999999998</v>
      </c>
      <c r="L1532" s="2">
        <v>16.574999999999999</v>
      </c>
      <c r="N1532" s="7">
        <f t="shared" si="198"/>
        <v>340</v>
      </c>
      <c r="O1532" s="1">
        <f t="shared" si="199"/>
        <v>131</v>
      </c>
      <c r="P1532" s="1" t="str">
        <f t="shared" si="201"/>
        <v>340,131</v>
      </c>
      <c r="Q1532" s="6" t="s">
        <v>10</v>
      </c>
      <c r="R1532" s="1">
        <v>90</v>
      </c>
      <c r="S1532" s="1">
        <v>2.5</v>
      </c>
      <c r="T1532" s="1" t="str">
        <f t="shared" si="200"/>
        <v>-text 340,131 2.5 90 268.018</v>
      </c>
    </row>
    <row r="1533" spans="1:20" x14ac:dyDescent="0.35">
      <c r="A1533" s="1">
        <v>281860</v>
      </c>
      <c r="B1533" s="7">
        <v>1171267.3</v>
      </c>
      <c r="C1533" s="2">
        <v>270.08100000000002</v>
      </c>
      <c r="D1533" s="2">
        <v>270.91899999999998</v>
      </c>
      <c r="E1533" s="2">
        <v>0.83799999999999997</v>
      </c>
      <c r="F1533" s="2">
        <v>269.40899999999999</v>
      </c>
      <c r="G1533" s="2">
        <v>270.20600000000002</v>
      </c>
      <c r="H1533" s="2">
        <v>0.79700000000000004</v>
      </c>
      <c r="I1533" s="2">
        <v>267.88299999999998</v>
      </c>
      <c r="J1533" s="2">
        <v>268.04899999999998</v>
      </c>
      <c r="K1533" s="15">
        <v>2.157</v>
      </c>
      <c r="L1533" s="2">
        <v>16.594000000000001</v>
      </c>
      <c r="N1533" s="7">
        <f t="shared" si="198"/>
        <v>360</v>
      </c>
      <c r="O1533" s="1">
        <f t="shared" si="199"/>
        <v>131</v>
      </c>
      <c r="P1533" s="1" t="str">
        <f t="shared" si="201"/>
        <v>360,131</v>
      </c>
      <c r="Q1533" s="6" t="s">
        <v>10</v>
      </c>
      <c r="R1533" s="1">
        <v>90</v>
      </c>
      <c r="S1533" s="1">
        <v>2.5</v>
      </c>
      <c r="T1533" s="1" t="str">
        <f t="shared" si="200"/>
        <v>-text 360,131 2.5 90 268.049</v>
      </c>
    </row>
    <row r="1534" spans="1:20" x14ac:dyDescent="0.35">
      <c r="A1534" s="1">
        <v>281880</v>
      </c>
      <c r="B1534" s="7">
        <v>1171287.3</v>
      </c>
      <c r="C1534" s="2">
        <v>270.07400000000001</v>
      </c>
      <c r="D1534" s="2">
        <v>270.92399999999998</v>
      </c>
      <c r="E1534" s="2">
        <v>0.85</v>
      </c>
      <c r="F1534" s="2">
        <v>269.40199999999999</v>
      </c>
      <c r="G1534" s="2">
        <v>270.21100000000001</v>
      </c>
      <c r="H1534" s="2">
        <v>0.80900000000000005</v>
      </c>
      <c r="I1534" s="2">
        <v>267.98399999999998</v>
      </c>
      <c r="J1534" s="2">
        <v>268.19200000000001</v>
      </c>
      <c r="K1534" s="15">
        <v>2.0190000000000001</v>
      </c>
      <c r="L1534" s="2">
        <v>16.582999999999998</v>
      </c>
      <c r="N1534" s="7">
        <f t="shared" si="198"/>
        <v>380</v>
      </c>
      <c r="O1534" s="1">
        <f t="shared" si="199"/>
        <v>131</v>
      </c>
      <c r="P1534" s="1" t="str">
        <f t="shared" si="201"/>
        <v>380,131</v>
      </c>
      <c r="Q1534" s="6" t="s">
        <v>10</v>
      </c>
      <c r="R1534" s="1">
        <v>90</v>
      </c>
      <c r="S1534" s="1">
        <v>2.5</v>
      </c>
      <c r="T1534" s="1" t="str">
        <f t="shared" si="200"/>
        <v>-text 380,131 2.5 90 268.192</v>
      </c>
    </row>
    <row r="1535" spans="1:20" x14ac:dyDescent="0.35">
      <c r="A1535" s="1">
        <v>281900</v>
      </c>
      <c r="B1535" s="7">
        <v>1171307.3</v>
      </c>
      <c r="C1535" s="2">
        <v>270.09199999999998</v>
      </c>
      <c r="D1535" s="2">
        <v>270.92899999999997</v>
      </c>
      <c r="E1535" s="2">
        <v>0.83699999999999997</v>
      </c>
      <c r="F1535" s="2">
        <v>269.42</v>
      </c>
      <c r="G1535" s="2">
        <v>270.21600000000001</v>
      </c>
      <c r="H1535" s="2">
        <v>0.79600000000000004</v>
      </c>
      <c r="I1535" s="2">
        <v>268.12599999999998</v>
      </c>
      <c r="J1535" s="2">
        <v>268.15800000000002</v>
      </c>
      <c r="K1535" s="15">
        <v>2.0579999999999998</v>
      </c>
      <c r="L1535" s="2">
        <v>16.577000000000002</v>
      </c>
      <c r="N1535" s="7">
        <f t="shared" si="198"/>
        <v>400</v>
      </c>
      <c r="O1535" s="1">
        <f t="shared" si="199"/>
        <v>131</v>
      </c>
      <c r="P1535" s="1" t="str">
        <f t="shared" si="201"/>
        <v>400,131</v>
      </c>
      <c r="Q1535" s="6" t="s">
        <v>10</v>
      </c>
      <c r="R1535" s="1">
        <v>90</v>
      </c>
      <c r="S1535" s="1">
        <v>2.5</v>
      </c>
      <c r="T1535" s="1" t="str">
        <f t="shared" si="200"/>
        <v>-text 400,131 2.5 90 268.158</v>
      </c>
    </row>
    <row r="1536" spans="1:20" x14ac:dyDescent="0.35">
      <c r="A1536" s="1">
        <v>281920</v>
      </c>
      <c r="B1536" s="7">
        <v>1171327.3</v>
      </c>
      <c r="C1536" s="2">
        <v>270.12900000000002</v>
      </c>
      <c r="D1536" s="2">
        <v>270.93400000000003</v>
      </c>
      <c r="E1536" s="2">
        <v>0.80500000000000005</v>
      </c>
      <c r="F1536" s="2">
        <v>269.45699999999999</v>
      </c>
      <c r="G1536" s="2">
        <v>270.221</v>
      </c>
      <c r="H1536" s="2">
        <v>0.76400000000000001</v>
      </c>
      <c r="I1536" s="2">
        <v>268.38200000000001</v>
      </c>
      <c r="J1536" s="2">
        <v>268.18299999999999</v>
      </c>
      <c r="K1536" s="15">
        <v>2.0379999999999998</v>
      </c>
      <c r="L1536" s="2">
        <v>16.574000000000002</v>
      </c>
      <c r="N1536" s="7">
        <f t="shared" si="198"/>
        <v>420</v>
      </c>
      <c r="O1536" s="1">
        <f t="shared" si="199"/>
        <v>131</v>
      </c>
      <c r="P1536" s="1" t="str">
        <f t="shared" si="201"/>
        <v>420,131</v>
      </c>
      <c r="Q1536" s="6" t="s">
        <v>10</v>
      </c>
      <c r="R1536" s="1">
        <v>90</v>
      </c>
      <c r="S1536" s="1">
        <v>2.5</v>
      </c>
      <c r="T1536" s="1" t="str">
        <f t="shared" si="200"/>
        <v>-text 420,131 2.5 90 268.183</v>
      </c>
    </row>
    <row r="1537" spans="1:20" x14ac:dyDescent="0.35">
      <c r="A1537" s="1">
        <v>281940</v>
      </c>
      <c r="B1537" s="7">
        <v>1171347.3</v>
      </c>
      <c r="C1537" s="2">
        <v>270.14400000000001</v>
      </c>
      <c r="D1537" s="2">
        <v>270.93900000000002</v>
      </c>
      <c r="E1537" s="2">
        <v>0.79500000000000004</v>
      </c>
      <c r="F1537" s="2">
        <v>269.47199999999998</v>
      </c>
      <c r="G1537" s="2">
        <v>270.226</v>
      </c>
      <c r="H1537" s="2">
        <v>0.754</v>
      </c>
      <c r="I1537" s="2">
        <v>268.45400000000001</v>
      </c>
      <c r="J1537" s="2">
        <v>268.39699999999999</v>
      </c>
      <c r="K1537" s="15">
        <v>1.83</v>
      </c>
      <c r="L1537" s="2">
        <v>16.587</v>
      </c>
      <c r="N1537" s="7">
        <f t="shared" si="198"/>
        <v>440</v>
      </c>
      <c r="O1537" s="1">
        <f t="shared" si="199"/>
        <v>131</v>
      </c>
      <c r="P1537" s="1" t="str">
        <f t="shared" si="201"/>
        <v>440,131</v>
      </c>
      <c r="Q1537" s="6" t="s">
        <v>10</v>
      </c>
      <c r="R1537" s="1">
        <v>90</v>
      </c>
      <c r="S1537" s="1">
        <v>2.5</v>
      </c>
      <c r="T1537" s="1" t="str">
        <f t="shared" si="200"/>
        <v>-text 440,131 2.5 90 268.397</v>
      </c>
    </row>
    <row r="1538" spans="1:20" x14ac:dyDescent="0.35">
      <c r="A1538" s="1">
        <v>281960</v>
      </c>
      <c r="B1538" s="7">
        <v>1171367.3</v>
      </c>
      <c r="C1538" s="2">
        <v>270.15800000000002</v>
      </c>
      <c r="D1538" s="2">
        <v>270.94400000000002</v>
      </c>
      <c r="E1538" s="2">
        <v>0.78700000000000003</v>
      </c>
      <c r="F1538" s="2">
        <v>269.48599999999999</v>
      </c>
      <c r="G1538" s="2">
        <v>270.23099999999999</v>
      </c>
      <c r="H1538" s="2">
        <v>0.746</v>
      </c>
      <c r="I1538" s="2">
        <v>268.43200000000002</v>
      </c>
      <c r="J1538" s="2">
        <v>268.43900000000002</v>
      </c>
      <c r="K1538" s="15">
        <v>1.792</v>
      </c>
      <c r="L1538" s="2">
        <v>16.606000000000002</v>
      </c>
      <c r="N1538" s="7">
        <f t="shared" si="198"/>
        <v>460</v>
      </c>
      <c r="O1538" s="1">
        <f t="shared" si="199"/>
        <v>131</v>
      </c>
      <c r="P1538" s="1" t="str">
        <f t="shared" si="201"/>
        <v>460,131</v>
      </c>
      <c r="Q1538" s="6" t="s">
        <v>10</v>
      </c>
      <c r="R1538" s="1">
        <v>90</v>
      </c>
      <c r="S1538" s="1">
        <v>2.5</v>
      </c>
      <c r="T1538" s="1" t="str">
        <f t="shared" si="200"/>
        <v>-text 460,131 2.5 90 268.439</v>
      </c>
    </row>
    <row r="1539" spans="1:20" x14ac:dyDescent="0.35">
      <c r="A1539" s="1">
        <v>281980</v>
      </c>
      <c r="B1539" s="7">
        <v>1171387.3</v>
      </c>
      <c r="C1539" s="2">
        <v>270.17</v>
      </c>
      <c r="D1539" s="2">
        <v>270.94900000000001</v>
      </c>
      <c r="E1539" s="2">
        <v>0.77900000000000003</v>
      </c>
      <c r="F1539" s="2">
        <v>269.49799999999999</v>
      </c>
      <c r="G1539" s="2">
        <v>270.23599999999999</v>
      </c>
      <c r="H1539" s="2">
        <v>0.73799999999999999</v>
      </c>
      <c r="I1539" s="2">
        <v>268.44600000000003</v>
      </c>
      <c r="J1539" s="2">
        <v>268.40199999999999</v>
      </c>
      <c r="K1539" s="15">
        <v>1.835</v>
      </c>
      <c r="L1539" s="2">
        <v>16.638999999999999</v>
      </c>
      <c r="N1539" s="7">
        <f t="shared" si="198"/>
        <v>480</v>
      </c>
      <c r="O1539" s="1">
        <f t="shared" si="199"/>
        <v>131</v>
      </c>
      <c r="P1539" s="1" t="str">
        <f t="shared" si="201"/>
        <v>480,131</v>
      </c>
      <c r="Q1539" s="6" t="s">
        <v>10</v>
      </c>
      <c r="R1539" s="1">
        <v>90</v>
      </c>
      <c r="S1539" s="1">
        <v>2.5</v>
      </c>
      <c r="T1539" s="1" t="str">
        <f t="shared" si="200"/>
        <v>-text 480,131 2.5 90 268.402</v>
      </c>
    </row>
    <row r="1540" spans="1:20" x14ac:dyDescent="0.35">
      <c r="A1540" s="1">
        <v>282000</v>
      </c>
      <c r="B1540" s="7">
        <v>1171407.3</v>
      </c>
      <c r="C1540" s="2">
        <v>270.17399999999998</v>
      </c>
      <c r="D1540" s="2">
        <v>270.95499999999998</v>
      </c>
      <c r="E1540" s="2">
        <v>0.78</v>
      </c>
      <c r="F1540" s="2">
        <v>269.50200000000001</v>
      </c>
      <c r="G1540" s="2">
        <v>270.24200000000002</v>
      </c>
      <c r="H1540" s="2">
        <v>0.73899999999999999</v>
      </c>
      <c r="I1540" s="2">
        <v>268.35899999999998</v>
      </c>
      <c r="J1540" s="2">
        <v>268.27999999999997</v>
      </c>
      <c r="K1540" s="15">
        <v>1.962</v>
      </c>
      <c r="L1540" s="2">
        <v>16.669</v>
      </c>
      <c r="N1540" s="7">
        <f t="shared" si="198"/>
        <v>500</v>
      </c>
      <c r="O1540" s="1">
        <f t="shared" si="199"/>
        <v>131</v>
      </c>
      <c r="P1540" s="1" t="str">
        <f t="shared" si="201"/>
        <v>500,131</v>
      </c>
      <c r="Q1540" s="6" t="s">
        <v>10</v>
      </c>
      <c r="R1540" s="1">
        <v>90</v>
      </c>
      <c r="S1540" s="1">
        <v>2.5</v>
      </c>
      <c r="T1540" s="1" t="str">
        <f t="shared" si="200"/>
        <v>-text 500,131 2.5 90 268.28</v>
      </c>
    </row>
    <row r="1541" spans="1:20" s="10" customFormat="1" x14ac:dyDescent="0.35">
      <c r="B1541" s="11"/>
      <c r="C1541" s="9"/>
      <c r="D1541" s="9"/>
      <c r="E1541" s="9"/>
      <c r="F1541" s="9"/>
      <c r="G1541" s="9"/>
      <c r="H1541" s="9"/>
      <c r="I1541" s="9"/>
      <c r="J1541" s="9"/>
      <c r="K1541" s="16"/>
      <c r="L1541" s="9"/>
      <c r="M1541" s="9"/>
      <c r="N1541" s="11"/>
      <c r="Q1541" s="12"/>
    </row>
    <row r="1542" spans="1:20" x14ac:dyDescent="0.35">
      <c r="A1542" s="1">
        <v>282000</v>
      </c>
      <c r="B1542" s="7">
        <v>1171407.3</v>
      </c>
      <c r="C1542" s="2">
        <v>270.17399999999998</v>
      </c>
      <c r="D1542" s="2">
        <v>270.95499999999998</v>
      </c>
      <c r="E1542" s="2">
        <v>0.78</v>
      </c>
      <c r="F1542" s="2">
        <v>269.50200000000001</v>
      </c>
      <c r="G1542" s="2">
        <v>270.24200000000002</v>
      </c>
      <c r="H1542" s="2">
        <v>0.73899999999999999</v>
      </c>
      <c r="I1542" s="2">
        <v>268.35899999999998</v>
      </c>
      <c r="J1542" s="2">
        <v>268.27999999999997</v>
      </c>
      <c r="K1542" s="15">
        <v>1.962</v>
      </c>
      <c r="L1542" s="2">
        <v>16.669</v>
      </c>
      <c r="N1542" s="7">
        <v>0</v>
      </c>
      <c r="O1542" s="1">
        <f t="shared" si="199"/>
        <v>131</v>
      </c>
      <c r="P1542" s="1" t="str">
        <f t="shared" ref="P1542" si="202">CONCATENATE(N1542,",",O1542)</f>
        <v>0,131</v>
      </c>
      <c r="Q1542" s="6" t="s">
        <v>10</v>
      </c>
      <c r="R1542" s="1">
        <v>90</v>
      </c>
      <c r="S1542" s="1">
        <v>2.5</v>
      </c>
      <c r="T1542" s="1" t="str">
        <f t="shared" si="200"/>
        <v>-text 0,131 2.5 90 268.28</v>
      </c>
    </row>
    <row r="1543" spans="1:20" x14ac:dyDescent="0.35">
      <c r="A1543" s="1">
        <v>282020</v>
      </c>
      <c r="B1543" s="7">
        <v>1171427.3</v>
      </c>
      <c r="C1543" s="2">
        <v>270.16800000000001</v>
      </c>
      <c r="D1543" s="2">
        <v>270.95999999999998</v>
      </c>
      <c r="E1543" s="2">
        <v>0.79100000000000004</v>
      </c>
      <c r="F1543" s="2">
        <v>269.49599999999998</v>
      </c>
      <c r="G1543" s="2">
        <v>270.24700000000001</v>
      </c>
      <c r="H1543" s="2">
        <v>0.75</v>
      </c>
      <c r="I1543" s="2">
        <v>268.339</v>
      </c>
      <c r="J1543" s="2">
        <v>268.47199999999998</v>
      </c>
      <c r="K1543" s="15">
        <v>1.7749999999999999</v>
      </c>
      <c r="L1543" s="2">
        <v>16.695</v>
      </c>
      <c r="N1543" s="7">
        <f t="shared" ref="N1543:N1567" si="203">N1542+(B1543-B1542)</f>
        <v>20</v>
      </c>
      <c r="O1543" s="1">
        <f t="shared" si="199"/>
        <v>131</v>
      </c>
      <c r="P1543" s="1" t="str">
        <f t="shared" si="201"/>
        <v>20,131</v>
      </c>
      <c r="Q1543" s="6" t="s">
        <v>10</v>
      </c>
      <c r="R1543" s="1">
        <v>90</v>
      </c>
      <c r="S1543" s="1">
        <v>2.5</v>
      </c>
      <c r="T1543" s="1" t="str">
        <f t="shared" si="200"/>
        <v>-text 20,131 2.5 90 268.472</v>
      </c>
    </row>
    <row r="1544" spans="1:20" x14ac:dyDescent="0.35">
      <c r="A1544" s="1">
        <v>282040</v>
      </c>
      <c r="B1544" s="7">
        <v>1171447.3</v>
      </c>
      <c r="C1544" s="2">
        <v>270.17700000000002</v>
      </c>
      <c r="D1544" s="2">
        <v>270.96499999999997</v>
      </c>
      <c r="E1544" s="2">
        <v>0.78800000000000003</v>
      </c>
      <c r="F1544" s="2">
        <v>269.505</v>
      </c>
      <c r="G1544" s="2">
        <v>270.25200000000001</v>
      </c>
      <c r="H1544" s="2">
        <v>0.747</v>
      </c>
      <c r="I1544" s="2">
        <v>268.20499999999998</v>
      </c>
      <c r="J1544" s="2">
        <v>268.37299999999999</v>
      </c>
      <c r="K1544" s="15">
        <v>1.879</v>
      </c>
      <c r="L1544" s="2">
        <v>16.716999999999999</v>
      </c>
      <c r="N1544" s="7">
        <f t="shared" si="203"/>
        <v>40</v>
      </c>
      <c r="O1544" s="1">
        <f t="shared" si="199"/>
        <v>131</v>
      </c>
      <c r="P1544" s="1" t="str">
        <f t="shared" si="201"/>
        <v>40,131</v>
      </c>
      <c r="Q1544" s="6" t="s">
        <v>10</v>
      </c>
      <c r="R1544" s="1">
        <v>90</v>
      </c>
      <c r="S1544" s="1">
        <v>2.5</v>
      </c>
      <c r="T1544" s="1" t="str">
        <f t="shared" si="200"/>
        <v>-text 40,131 2.5 90 268.373</v>
      </c>
    </row>
    <row r="1545" spans="1:20" x14ac:dyDescent="0.35">
      <c r="A1545" s="1">
        <v>282060</v>
      </c>
      <c r="B1545" s="7">
        <v>1171467.3</v>
      </c>
      <c r="C1545" s="2">
        <v>270.19400000000002</v>
      </c>
      <c r="D1545" s="2">
        <v>270.97000000000003</v>
      </c>
      <c r="E1545" s="2">
        <v>0.77600000000000002</v>
      </c>
      <c r="F1545" s="2">
        <v>269.52199999999999</v>
      </c>
      <c r="G1545" s="2">
        <v>270.25700000000001</v>
      </c>
      <c r="H1545" s="2">
        <v>0.73499999999999999</v>
      </c>
      <c r="I1545" s="2">
        <v>268.072</v>
      </c>
      <c r="J1545" s="2">
        <v>268.12099999999998</v>
      </c>
      <c r="K1545" s="15">
        <v>2.1360000000000001</v>
      </c>
      <c r="L1545" s="2">
        <v>16.739000000000001</v>
      </c>
      <c r="N1545" s="7">
        <f t="shared" si="203"/>
        <v>60</v>
      </c>
      <c r="O1545" s="1">
        <f t="shared" si="199"/>
        <v>131</v>
      </c>
      <c r="P1545" s="1" t="str">
        <f t="shared" si="201"/>
        <v>60,131</v>
      </c>
      <c r="Q1545" s="6" t="s">
        <v>10</v>
      </c>
      <c r="R1545" s="1">
        <v>90</v>
      </c>
      <c r="S1545" s="1">
        <v>2.5</v>
      </c>
      <c r="T1545" s="1" t="str">
        <f t="shared" si="200"/>
        <v>-text 60,131 2.5 90 268.121</v>
      </c>
    </row>
    <row r="1546" spans="1:20" x14ac:dyDescent="0.35">
      <c r="A1546" s="1">
        <v>282080</v>
      </c>
      <c r="B1546" s="7">
        <v>1171487.3</v>
      </c>
      <c r="C1546" s="2">
        <v>270.23700000000002</v>
      </c>
      <c r="D1546" s="2">
        <v>270.98200000000003</v>
      </c>
      <c r="E1546" s="2">
        <v>0.746</v>
      </c>
      <c r="F1546" s="2">
        <v>269.565</v>
      </c>
      <c r="G1546" s="2">
        <v>270.26900000000001</v>
      </c>
      <c r="H1546" s="2">
        <v>0.70499999999999996</v>
      </c>
      <c r="I1546" s="2">
        <v>268.18400000000003</v>
      </c>
      <c r="J1546" s="2">
        <v>268.15699999999998</v>
      </c>
      <c r="K1546" s="15">
        <v>2.1120000000000001</v>
      </c>
      <c r="L1546" s="2">
        <v>16.762</v>
      </c>
      <c r="N1546" s="7">
        <f t="shared" si="203"/>
        <v>80</v>
      </c>
      <c r="O1546" s="1">
        <f t="shared" si="199"/>
        <v>131</v>
      </c>
      <c r="P1546" s="1" t="str">
        <f t="shared" si="201"/>
        <v>80,131</v>
      </c>
      <c r="Q1546" s="6" t="s">
        <v>10</v>
      </c>
      <c r="R1546" s="1">
        <v>90</v>
      </c>
      <c r="S1546" s="1">
        <v>2.5</v>
      </c>
      <c r="T1546" s="1" t="str">
        <f t="shared" si="200"/>
        <v>-text 80,131 2.5 90 268.157</v>
      </c>
    </row>
    <row r="1547" spans="1:20" x14ac:dyDescent="0.35">
      <c r="A1547" s="1">
        <v>282100</v>
      </c>
      <c r="B1547" s="7">
        <v>1171507.3</v>
      </c>
      <c r="C1547" s="2">
        <v>270.27499999999998</v>
      </c>
      <c r="D1547" s="2">
        <v>270.995</v>
      </c>
      <c r="E1547" s="2">
        <v>0.72</v>
      </c>
      <c r="F1547" s="2">
        <v>269.60300000000001</v>
      </c>
      <c r="G1547" s="2">
        <v>270.28199999999998</v>
      </c>
      <c r="H1547" s="2">
        <v>0.67900000000000005</v>
      </c>
      <c r="I1547" s="2">
        <v>268.33300000000003</v>
      </c>
      <c r="J1547" s="2">
        <v>268.22699999999998</v>
      </c>
      <c r="K1547" s="15">
        <v>2.0550000000000002</v>
      </c>
      <c r="L1547" s="2">
        <v>16.773</v>
      </c>
      <c r="N1547" s="7">
        <f t="shared" si="203"/>
        <v>100</v>
      </c>
      <c r="O1547" s="1">
        <f t="shared" si="199"/>
        <v>131</v>
      </c>
      <c r="P1547" s="1" t="str">
        <f t="shared" si="201"/>
        <v>100,131</v>
      </c>
      <c r="Q1547" s="6" t="s">
        <v>10</v>
      </c>
      <c r="R1547" s="1">
        <v>90</v>
      </c>
      <c r="S1547" s="1">
        <v>2.5</v>
      </c>
      <c r="T1547" s="1" t="str">
        <f t="shared" si="200"/>
        <v>-text 100,131 2.5 90 268.227</v>
      </c>
    </row>
    <row r="1548" spans="1:20" x14ac:dyDescent="0.35">
      <c r="A1548" s="1">
        <v>282120</v>
      </c>
      <c r="B1548" s="7">
        <v>1171527.3</v>
      </c>
      <c r="C1548" s="2">
        <v>270.30599999999998</v>
      </c>
      <c r="D1548" s="2">
        <v>271.00799999999998</v>
      </c>
      <c r="E1548" s="2">
        <v>0.70099999999999996</v>
      </c>
      <c r="F1548" s="2">
        <v>269.63400000000001</v>
      </c>
      <c r="G1548" s="2">
        <v>270.29500000000002</v>
      </c>
      <c r="H1548" s="2">
        <v>0.66</v>
      </c>
      <c r="I1548" s="2">
        <v>268.33</v>
      </c>
      <c r="J1548" s="2">
        <v>268.07799999999997</v>
      </c>
      <c r="K1548" s="15">
        <v>2.2170000000000001</v>
      </c>
      <c r="L1548" s="2">
        <v>16.773</v>
      </c>
      <c r="N1548" s="7">
        <f t="shared" si="203"/>
        <v>120</v>
      </c>
      <c r="O1548" s="1">
        <f t="shared" si="199"/>
        <v>131</v>
      </c>
      <c r="P1548" s="1" t="str">
        <f t="shared" si="201"/>
        <v>120,131</v>
      </c>
      <c r="Q1548" s="6" t="s">
        <v>10</v>
      </c>
      <c r="R1548" s="1">
        <v>90</v>
      </c>
      <c r="S1548" s="1">
        <v>2.5</v>
      </c>
      <c r="T1548" s="1" t="str">
        <f t="shared" si="200"/>
        <v>-text 120,131 2.5 90 268.078</v>
      </c>
    </row>
    <row r="1549" spans="1:20" x14ac:dyDescent="0.35">
      <c r="A1549" s="1">
        <v>282140</v>
      </c>
      <c r="B1549" s="7">
        <v>1171547.3</v>
      </c>
      <c r="C1549" s="2">
        <v>270.33499999999998</v>
      </c>
      <c r="D1549" s="2">
        <v>271.02</v>
      </c>
      <c r="E1549" s="2">
        <v>0.68500000000000005</v>
      </c>
      <c r="F1549" s="2">
        <v>269.66300000000001</v>
      </c>
      <c r="G1549" s="2">
        <v>270.30700000000002</v>
      </c>
      <c r="H1549" s="2">
        <v>0.64400000000000002</v>
      </c>
      <c r="I1549" s="2">
        <v>268.19900000000001</v>
      </c>
      <c r="J1549" s="2">
        <v>268.07499999999999</v>
      </c>
      <c r="K1549" s="15">
        <v>2.2320000000000002</v>
      </c>
      <c r="L1549" s="2">
        <v>16.791</v>
      </c>
      <c r="N1549" s="7">
        <f t="shared" si="203"/>
        <v>140</v>
      </c>
      <c r="O1549" s="1">
        <f t="shared" si="199"/>
        <v>131</v>
      </c>
      <c r="P1549" s="1" t="str">
        <f t="shared" si="201"/>
        <v>140,131</v>
      </c>
      <c r="Q1549" s="6" t="s">
        <v>10</v>
      </c>
      <c r="R1549" s="1">
        <v>90</v>
      </c>
      <c r="S1549" s="1">
        <v>2.5</v>
      </c>
      <c r="T1549" s="1" t="str">
        <f t="shared" si="200"/>
        <v>-text 140,131 2.5 90 268.075</v>
      </c>
    </row>
    <row r="1550" spans="1:20" x14ac:dyDescent="0.35">
      <c r="A1550" s="1">
        <v>282160</v>
      </c>
      <c r="B1550" s="7">
        <v>1171567.3</v>
      </c>
      <c r="C1550" s="2">
        <v>270.36200000000002</v>
      </c>
      <c r="D1550" s="2">
        <v>271.03300000000002</v>
      </c>
      <c r="E1550" s="2">
        <v>0.67100000000000004</v>
      </c>
      <c r="F1550" s="2">
        <v>269.69</v>
      </c>
      <c r="G1550" s="2">
        <v>270.32</v>
      </c>
      <c r="H1550" s="2">
        <v>0.63</v>
      </c>
      <c r="I1550" s="2">
        <v>267.97899999999998</v>
      </c>
      <c r="J1550" s="2">
        <v>267.59899999999999</v>
      </c>
      <c r="K1550" s="15">
        <v>2.7210000000000001</v>
      </c>
      <c r="L1550" s="2">
        <v>16.814</v>
      </c>
      <c r="N1550" s="7">
        <f t="shared" si="203"/>
        <v>160</v>
      </c>
      <c r="O1550" s="1">
        <f t="shared" si="199"/>
        <v>131</v>
      </c>
      <c r="P1550" s="1" t="str">
        <f t="shared" si="201"/>
        <v>160,131</v>
      </c>
      <c r="Q1550" s="6" t="s">
        <v>10</v>
      </c>
      <c r="R1550" s="1">
        <v>90</v>
      </c>
      <c r="S1550" s="1">
        <v>2.5</v>
      </c>
      <c r="T1550" s="1" t="str">
        <f t="shared" si="200"/>
        <v>-text 160,131 2.5 90 267.599</v>
      </c>
    </row>
    <row r="1551" spans="1:20" x14ac:dyDescent="0.35">
      <c r="A1551" s="1">
        <v>282180</v>
      </c>
      <c r="B1551" s="7">
        <v>1171587.3</v>
      </c>
      <c r="C1551" s="2">
        <v>270.37299999999999</v>
      </c>
      <c r="D1551" s="2">
        <v>271.04599999999999</v>
      </c>
      <c r="E1551" s="2">
        <v>0.67200000000000004</v>
      </c>
      <c r="F1551" s="2">
        <v>269.70100000000002</v>
      </c>
      <c r="G1551" s="2">
        <v>270.33300000000003</v>
      </c>
      <c r="H1551" s="2">
        <v>0.63100000000000001</v>
      </c>
      <c r="I1551" s="2">
        <v>268.27600000000001</v>
      </c>
      <c r="J1551" s="2">
        <v>268.39299999999997</v>
      </c>
      <c r="K1551" s="15">
        <v>1.94</v>
      </c>
      <c r="L1551" s="2">
        <v>16.829000000000001</v>
      </c>
      <c r="N1551" s="7">
        <f t="shared" si="203"/>
        <v>180</v>
      </c>
      <c r="O1551" s="1">
        <f t="shared" si="199"/>
        <v>131</v>
      </c>
      <c r="P1551" s="1" t="str">
        <f t="shared" si="201"/>
        <v>180,131</v>
      </c>
      <c r="Q1551" s="6" t="s">
        <v>10</v>
      </c>
      <c r="R1551" s="1">
        <v>90</v>
      </c>
      <c r="S1551" s="1">
        <v>2.5</v>
      </c>
      <c r="T1551" s="1" t="str">
        <f t="shared" si="200"/>
        <v>-text 180,131 2.5 90 268.393</v>
      </c>
    </row>
    <row r="1552" spans="1:20" x14ac:dyDescent="0.35">
      <c r="A1552" s="1">
        <v>282200</v>
      </c>
      <c r="B1552" s="7">
        <v>1171607.3</v>
      </c>
      <c r="C1552" s="2">
        <v>270.34500000000003</v>
      </c>
      <c r="D1552" s="2">
        <v>271.05799999999999</v>
      </c>
      <c r="E1552" s="2">
        <v>0.71299999999999997</v>
      </c>
      <c r="F1552" s="2">
        <v>269.673</v>
      </c>
      <c r="G1552" s="2">
        <v>270.34500000000003</v>
      </c>
      <c r="H1552" s="2">
        <v>0.67200000000000004</v>
      </c>
      <c r="I1552" s="2">
        <v>269.20600000000002</v>
      </c>
      <c r="J1552" s="2">
        <v>269.85300000000001</v>
      </c>
      <c r="K1552" s="15">
        <v>0.49199999999999999</v>
      </c>
      <c r="L1552" s="2">
        <v>16.829999999999998</v>
      </c>
      <c r="N1552" s="7">
        <f t="shared" si="203"/>
        <v>200</v>
      </c>
      <c r="O1552" s="1">
        <f t="shared" si="199"/>
        <v>131</v>
      </c>
      <c r="P1552" s="1" t="str">
        <f t="shared" si="201"/>
        <v>200,131</v>
      </c>
      <c r="Q1552" s="6" t="s">
        <v>10</v>
      </c>
      <c r="R1552" s="1">
        <v>90</v>
      </c>
      <c r="S1552" s="1">
        <v>2.5</v>
      </c>
      <c r="T1552" s="1" t="str">
        <f t="shared" si="200"/>
        <v>-text 200,131 2.5 90 269.853</v>
      </c>
    </row>
    <row r="1553" spans="1:20" x14ac:dyDescent="0.35">
      <c r="A1553" s="1">
        <v>282220</v>
      </c>
      <c r="B1553" s="7">
        <v>1171627.3</v>
      </c>
      <c r="C1553" s="2">
        <v>270.28300000000002</v>
      </c>
      <c r="D1553" s="2">
        <v>271.07100000000003</v>
      </c>
      <c r="E1553" s="2">
        <v>0.78800000000000003</v>
      </c>
      <c r="F1553" s="2">
        <v>269.61099999999999</v>
      </c>
      <c r="G1553" s="2">
        <v>270.358</v>
      </c>
      <c r="H1553" s="2">
        <v>0.747</v>
      </c>
      <c r="I1553" s="2">
        <v>267.947</v>
      </c>
      <c r="J1553" s="2">
        <v>268.65300000000002</v>
      </c>
      <c r="K1553" s="15">
        <v>1.7050000000000001</v>
      </c>
      <c r="L1553" s="2">
        <v>16.82</v>
      </c>
      <c r="N1553" s="7">
        <f t="shared" si="203"/>
        <v>220</v>
      </c>
      <c r="O1553" s="1">
        <f t="shared" si="199"/>
        <v>131</v>
      </c>
      <c r="P1553" s="1" t="str">
        <f t="shared" si="201"/>
        <v>220,131</v>
      </c>
      <c r="Q1553" s="6" t="s">
        <v>10</v>
      </c>
      <c r="R1553" s="1">
        <v>90</v>
      </c>
      <c r="S1553" s="1">
        <v>2.5</v>
      </c>
      <c r="T1553" s="1" t="str">
        <f t="shared" si="200"/>
        <v>-text 220,131 2.5 90 268.653</v>
      </c>
    </row>
    <row r="1554" spans="1:20" x14ac:dyDescent="0.35">
      <c r="A1554" s="1">
        <v>282240</v>
      </c>
      <c r="B1554" s="7">
        <v>1171647.3</v>
      </c>
      <c r="C1554" s="2">
        <v>270.25299999999999</v>
      </c>
      <c r="D1554" s="2">
        <v>271.084</v>
      </c>
      <c r="E1554" s="2">
        <v>0.83099999999999996</v>
      </c>
      <c r="F1554" s="2">
        <v>269.58100000000002</v>
      </c>
      <c r="G1554" s="2">
        <v>270.37099999999998</v>
      </c>
      <c r="H1554" s="2">
        <v>0.79</v>
      </c>
      <c r="I1554" s="2">
        <v>267.52999999999997</v>
      </c>
      <c r="J1554" s="2">
        <v>267.48399999999998</v>
      </c>
      <c r="K1554" s="15">
        <v>2.887</v>
      </c>
      <c r="L1554" s="2">
        <v>16.815999999999999</v>
      </c>
      <c r="N1554" s="7">
        <f t="shared" si="203"/>
        <v>240</v>
      </c>
      <c r="O1554" s="1">
        <f t="shared" si="199"/>
        <v>131</v>
      </c>
      <c r="P1554" s="1" t="str">
        <f t="shared" si="201"/>
        <v>240,131</v>
      </c>
      <c r="Q1554" s="6" t="s">
        <v>10</v>
      </c>
      <c r="R1554" s="1">
        <v>90</v>
      </c>
      <c r="S1554" s="1">
        <v>2.5</v>
      </c>
      <c r="T1554" s="1" t="str">
        <f t="shared" si="200"/>
        <v>-text 240,131 2.5 90 267.484</v>
      </c>
    </row>
    <row r="1555" spans="1:20" x14ac:dyDescent="0.35">
      <c r="A1555" s="1">
        <v>282260</v>
      </c>
      <c r="B1555" s="7">
        <v>1171667.3</v>
      </c>
      <c r="C1555" s="2">
        <v>270.22300000000001</v>
      </c>
      <c r="D1555" s="2">
        <v>271.096</v>
      </c>
      <c r="E1555" s="2">
        <v>0.873</v>
      </c>
      <c r="F1555" s="2">
        <v>269.55099999999999</v>
      </c>
      <c r="G1555" s="2">
        <v>270.38299999999998</v>
      </c>
      <c r="H1555" s="2">
        <v>0.83199999999999996</v>
      </c>
      <c r="I1555" s="2">
        <v>267.42399999999998</v>
      </c>
      <c r="J1555" s="2">
        <v>267.62700000000001</v>
      </c>
      <c r="K1555" s="15">
        <v>2.7559999999999998</v>
      </c>
      <c r="L1555" s="2">
        <v>16.812999999999999</v>
      </c>
      <c r="N1555" s="7">
        <f t="shared" si="203"/>
        <v>260</v>
      </c>
      <c r="O1555" s="1">
        <f t="shared" si="199"/>
        <v>131</v>
      </c>
      <c r="P1555" s="1" t="str">
        <f t="shared" si="201"/>
        <v>260,131</v>
      </c>
      <c r="Q1555" s="6" t="s">
        <v>10</v>
      </c>
      <c r="R1555" s="1">
        <v>90</v>
      </c>
      <c r="S1555" s="1">
        <v>2.5</v>
      </c>
      <c r="T1555" s="1" t="str">
        <f t="shared" si="200"/>
        <v>-text 260,131 2.5 90 267.627</v>
      </c>
    </row>
    <row r="1556" spans="1:20" x14ac:dyDescent="0.35">
      <c r="A1556" s="1">
        <v>282280</v>
      </c>
      <c r="B1556" s="7">
        <v>1171687.3</v>
      </c>
      <c r="C1556" s="2">
        <v>270.19099999999997</v>
      </c>
      <c r="D1556" s="2">
        <v>271.10899999999998</v>
      </c>
      <c r="E1556" s="2">
        <v>0.91800000000000004</v>
      </c>
      <c r="F1556" s="2">
        <v>269.51900000000001</v>
      </c>
      <c r="G1556" s="2">
        <v>270.39600000000002</v>
      </c>
      <c r="H1556" s="2">
        <v>0.877</v>
      </c>
      <c r="I1556" s="2">
        <v>267.33600000000001</v>
      </c>
      <c r="J1556" s="2">
        <v>267.50099999999998</v>
      </c>
      <c r="K1556" s="15">
        <v>2.8959999999999999</v>
      </c>
      <c r="L1556" s="2">
        <v>16.815999999999999</v>
      </c>
      <c r="N1556" s="7">
        <f t="shared" si="203"/>
        <v>280</v>
      </c>
      <c r="O1556" s="1">
        <f t="shared" si="199"/>
        <v>131</v>
      </c>
      <c r="P1556" s="1" t="str">
        <f t="shared" si="201"/>
        <v>280,131</v>
      </c>
      <c r="Q1556" s="6" t="s">
        <v>10</v>
      </c>
      <c r="R1556" s="1">
        <v>90</v>
      </c>
      <c r="S1556" s="1">
        <v>2.5</v>
      </c>
      <c r="T1556" s="1" t="str">
        <f t="shared" si="200"/>
        <v>-text 280,131 2.5 90 267.501</v>
      </c>
    </row>
    <row r="1557" spans="1:20" x14ac:dyDescent="0.35">
      <c r="A1557" s="1">
        <v>282300</v>
      </c>
      <c r="B1557" s="7">
        <v>1171707.3</v>
      </c>
      <c r="C1557" s="2">
        <v>270.15899999999999</v>
      </c>
      <c r="D1557" s="2">
        <v>271.12200000000001</v>
      </c>
      <c r="E1557" s="2">
        <v>0.96199999999999997</v>
      </c>
      <c r="F1557" s="2">
        <v>269.48700000000002</v>
      </c>
      <c r="G1557" s="2">
        <v>270.40899999999999</v>
      </c>
      <c r="H1557" s="2">
        <v>0.92100000000000004</v>
      </c>
      <c r="I1557" s="2">
        <v>267.00599999999997</v>
      </c>
      <c r="J1557" s="2">
        <v>267.06700000000001</v>
      </c>
      <c r="K1557" s="15">
        <v>3.3420000000000001</v>
      </c>
      <c r="L1557" s="2">
        <v>16.82</v>
      </c>
      <c r="N1557" s="7">
        <f t="shared" si="203"/>
        <v>300</v>
      </c>
      <c r="O1557" s="1">
        <f t="shared" si="199"/>
        <v>131</v>
      </c>
      <c r="P1557" s="1" t="str">
        <f t="shared" si="201"/>
        <v>300,131</v>
      </c>
      <c r="Q1557" s="6" t="s">
        <v>10</v>
      </c>
      <c r="R1557" s="1">
        <v>90</v>
      </c>
      <c r="S1557" s="1">
        <v>2.5</v>
      </c>
      <c r="T1557" s="1" t="str">
        <f t="shared" si="200"/>
        <v>-text 300,131 2.5 90 267.067</v>
      </c>
    </row>
    <row r="1558" spans="1:20" x14ac:dyDescent="0.35">
      <c r="A1558" s="1">
        <v>282320</v>
      </c>
      <c r="B1558" s="7">
        <v>1171727.3</v>
      </c>
      <c r="C1558" s="2">
        <v>270.15300000000002</v>
      </c>
      <c r="D1558" s="2">
        <v>271.13400000000001</v>
      </c>
      <c r="E1558" s="2">
        <v>0.98199999999999998</v>
      </c>
      <c r="F1558" s="2">
        <v>269.48099999999999</v>
      </c>
      <c r="G1558" s="2">
        <v>270.42099999999999</v>
      </c>
      <c r="H1558" s="2">
        <v>0.94099999999999995</v>
      </c>
      <c r="I1558" s="2">
        <v>266.64800000000002</v>
      </c>
      <c r="J1558" s="2">
        <v>266.88400000000001</v>
      </c>
      <c r="K1558" s="15">
        <v>3.5369999999999999</v>
      </c>
      <c r="L1558" s="2">
        <v>16.821999999999999</v>
      </c>
      <c r="N1558" s="7">
        <f t="shared" si="203"/>
        <v>320</v>
      </c>
      <c r="O1558" s="1">
        <f t="shared" si="199"/>
        <v>131</v>
      </c>
      <c r="P1558" s="1" t="str">
        <f t="shared" si="201"/>
        <v>320,131</v>
      </c>
      <c r="Q1558" s="6" t="s">
        <v>10</v>
      </c>
      <c r="R1558" s="1">
        <v>90</v>
      </c>
      <c r="S1558" s="1">
        <v>2.5</v>
      </c>
      <c r="T1558" s="1" t="str">
        <f t="shared" si="200"/>
        <v>-text 320,131 2.5 90 266.884</v>
      </c>
    </row>
    <row r="1559" spans="1:20" x14ac:dyDescent="0.35">
      <c r="A1559" s="1">
        <v>282340</v>
      </c>
      <c r="B1559" s="7">
        <v>1171747.3</v>
      </c>
      <c r="C1559" s="2">
        <v>270.15199999999999</v>
      </c>
      <c r="D1559" s="2">
        <v>271.14699999999999</v>
      </c>
      <c r="E1559" s="2">
        <v>0.995</v>
      </c>
      <c r="F1559" s="2">
        <v>269.48</v>
      </c>
      <c r="G1559" s="2">
        <v>270.43400000000003</v>
      </c>
      <c r="H1559" s="2">
        <v>0.95399999999999996</v>
      </c>
      <c r="I1559" s="2">
        <v>266.63900000000001</v>
      </c>
      <c r="J1559" s="2">
        <v>267.24900000000002</v>
      </c>
      <c r="K1559" s="15">
        <v>3.1850000000000001</v>
      </c>
      <c r="L1559" s="2">
        <v>16.847000000000001</v>
      </c>
      <c r="N1559" s="7">
        <f t="shared" si="203"/>
        <v>340</v>
      </c>
      <c r="O1559" s="1">
        <f t="shared" si="199"/>
        <v>131</v>
      </c>
      <c r="P1559" s="1" t="str">
        <f t="shared" si="201"/>
        <v>340,131</v>
      </c>
      <c r="Q1559" s="6" t="s">
        <v>10</v>
      </c>
      <c r="R1559" s="1">
        <v>90</v>
      </c>
      <c r="S1559" s="1">
        <v>2.5</v>
      </c>
      <c r="T1559" s="1" t="str">
        <f t="shared" si="200"/>
        <v>-text 340,131 2.5 90 267.249</v>
      </c>
    </row>
    <row r="1560" spans="1:20" x14ac:dyDescent="0.35">
      <c r="A1560" s="1">
        <v>282360</v>
      </c>
      <c r="B1560" s="7">
        <v>1171767.2</v>
      </c>
      <c r="C1560" s="2">
        <v>270.14499999999998</v>
      </c>
      <c r="D1560" s="2">
        <v>271.16000000000003</v>
      </c>
      <c r="E1560" s="2">
        <v>1.0149999999999999</v>
      </c>
      <c r="F1560" s="2">
        <v>269.47300000000001</v>
      </c>
      <c r="G1560" s="2">
        <v>270.447</v>
      </c>
      <c r="H1560" s="2">
        <v>0.97399999999999998</v>
      </c>
      <c r="I1560" s="2">
        <v>266.59100000000001</v>
      </c>
      <c r="J1560" s="2">
        <v>267.04500000000002</v>
      </c>
      <c r="K1560" s="15">
        <v>3.4020000000000001</v>
      </c>
      <c r="L1560" s="2">
        <v>16.847000000000001</v>
      </c>
      <c r="N1560" s="7">
        <f t="shared" si="203"/>
        <v>359.89999999990687</v>
      </c>
      <c r="O1560" s="1">
        <f t="shared" si="199"/>
        <v>131</v>
      </c>
      <c r="P1560" s="1" t="str">
        <f t="shared" si="201"/>
        <v>359.899999999907,131</v>
      </c>
      <c r="Q1560" s="6" t="s">
        <v>10</v>
      </c>
      <c r="R1560" s="1">
        <v>90</v>
      </c>
      <c r="S1560" s="1">
        <v>2.5</v>
      </c>
      <c r="T1560" s="1" t="str">
        <f t="shared" si="200"/>
        <v>-text 359.899999999907,131 2.5 90 267.045</v>
      </c>
    </row>
    <row r="1561" spans="1:20" x14ac:dyDescent="0.35">
      <c r="A1561" s="1">
        <v>282380</v>
      </c>
      <c r="B1561" s="7">
        <v>1171787.2</v>
      </c>
      <c r="C1561" s="2">
        <v>270.12599999999998</v>
      </c>
      <c r="D1561" s="2">
        <v>271.173</v>
      </c>
      <c r="E1561" s="2">
        <v>1.046</v>
      </c>
      <c r="F1561" s="2">
        <v>269.45400000000001</v>
      </c>
      <c r="G1561" s="2">
        <v>270.45999999999998</v>
      </c>
      <c r="H1561" s="2">
        <v>1.0049999999999999</v>
      </c>
      <c r="I1561" s="2">
        <v>266.46600000000001</v>
      </c>
      <c r="J1561" s="2">
        <v>266.52800000000002</v>
      </c>
      <c r="K1561" s="15">
        <v>3.931</v>
      </c>
      <c r="L1561" s="2">
        <v>16.795000000000002</v>
      </c>
      <c r="N1561" s="7">
        <f t="shared" si="203"/>
        <v>379.89999999990687</v>
      </c>
      <c r="O1561" s="1">
        <f t="shared" si="199"/>
        <v>131</v>
      </c>
      <c r="P1561" s="1" t="str">
        <f t="shared" si="201"/>
        <v>379.899999999907,131</v>
      </c>
      <c r="Q1561" s="6" t="s">
        <v>10</v>
      </c>
      <c r="R1561" s="1">
        <v>90</v>
      </c>
      <c r="S1561" s="1">
        <v>2.5</v>
      </c>
      <c r="T1561" s="1" t="str">
        <f t="shared" si="200"/>
        <v>-text 379.899999999907,131 2.5 90 266.528</v>
      </c>
    </row>
    <row r="1562" spans="1:20" x14ac:dyDescent="0.35">
      <c r="A1562" s="1">
        <v>282400</v>
      </c>
      <c r="B1562" s="7">
        <v>1171807.2</v>
      </c>
      <c r="C1562" s="2">
        <v>270.12299999999999</v>
      </c>
      <c r="D1562" s="2">
        <v>271.185</v>
      </c>
      <c r="E1562" s="2">
        <v>1.0620000000000001</v>
      </c>
      <c r="F1562" s="2">
        <v>269.45100000000002</v>
      </c>
      <c r="G1562" s="2">
        <v>270.47199999999998</v>
      </c>
      <c r="H1562" s="2">
        <v>1.0209999999999999</v>
      </c>
      <c r="I1562" s="2">
        <v>266.52100000000002</v>
      </c>
      <c r="J1562" s="2">
        <v>266.483</v>
      </c>
      <c r="K1562" s="15">
        <v>3.9889999999999999</v>
      </c>
      <c r="L1562" s="2">
        <v>16.756</v>
      </c>
      <c r="N1562" s="7">
        <f t="shared" si="203"/>
        <v>399.89999999990687</v>
      </c>
      <c r="O1562" s="1">
        <f t="shared" si="199"/>
        <v>131</v>
      </c>
      <c r="P1562" s="1" t="str">
        <f t="shared" si="201"/>
        <v>399.899999999907,131</v>
      </c>
      <c r="Q1562" s="6" t="s">
        <v>10</v>
      </c>
      <c r="R1562" s="1">
        <v>90</v>
      </c>
      <c r="S1562" s="1">
        <v>2.5</v>
      </c>
      <c r="T1562" s="1" t="str">
        <f t="shared" si="200"/>
        <v>-text 399.899999999907,131 2.5 90 266.483</v>
      </c>
    </row>
    <row r="1563" spans="1:20" x14ac:dyDescent="0.35">
      <c r="A1563" s="1">
        <v>282420</v>
      </c>
      <c r="B1563" s="7">
        <v>1171827.3</v>
      </c>
      <c r="C1563" s="2">
        <v>270.12400000000002</v>
      </c>
      <c r="D1563" s="2">
        <v>271.19799999999998</v>
      </c>
      <c r="E1563" s="2">
        <v>1.0740000000000001</v>
      </c>
      <c r="F1563" s="2">
        <v>269.452</v>
      </c>
      <c r="G1563" s="2">
        <v>270.48500000000001</v>
      </c>
      <c r="H1563" s="2">
        <v>1.0329999999999999</v>
      </c>
      <c r="I1563" s="2">
        <v>266.834</v>
      </c>
      <c r="J1563" s="2">
        <v>266.97300000000001</v>
      </c>
      <c r="K1563" s="15">
        <v>3.512</v>
      </c>
      <c r="L1563" s="2">
        <v>16.728999999999999</v>
      </c>
      <c r="N1563" s="7">
        <f t="shared" si="203"/>
        <v>420</v>
      </c>
      <c r="O1563" s="1">
        <f t="shared" si="199"/>
        <v>131</v>
      </c>
      <c r="P1563" s="1" t="str">
        <f t="shared" si="201"/>
        <v>420,131</v>
      </c>
      <c r="Q1563" s="6" t="s">
        <v>10</v>
      </c>
      <c r="R1563" s="1">
        <v>90</v>
      </c>
      <c r="S1563" s="1">
        <v>2.5</v>
      </c>
      <c r="T1563" s="1" t="str">
        <f t="shared" si="200"/>
        <v>-text 420,131 2.5 90 266.973</v>
      </c>
    </row>
    <row r="1564" spans="1:20" x14ac:dyDescent="0.35">
      <c r="A1564" s="1">
        <v>282440</v>
      </c>
      <c r="B1564" s="7">
        <v>1171847.3</v>
      </c>
      <c r="C1564" s="2">
        <v>270.08999999999997</v>
      </c>
      <c r="D1564" s="2">
        <v>271.21100000000001</v>
      </c>
      <c r="E1564" s="2">
        <v>1.121</v>
      </c>
      <c r="F1564" s="2">
        <v>269.41800000000001</v>
      </c>
      <c r="G1564" s="2">
        <v>270.49799999999999</v>
      </c>
      <c r="H1564" s="2">
        <v>1.08</v>
      </c>
      <c r="I1564" s="2">
        <v>266.97300000000001</v>
      </c>
      <c r="J1564" s="2">
        <v>267.04700000000003</v>
      </c>
      <c r="K1564" s="15">
        <v>3.45</v>
      </c>
      <c r="L1564" s="2">
        <v>16.754999999999999</v>
      </c>
      <c r="N1564" s="7">
        <f t="shared" si="203"/>
        <v>440</v>
      </c>
      <c r="O1564" s="1">
        <f t="shared" si="199"/>
        <v>131</v>
      </c>
      <c r="P1564" s="1" t="str">
        <f t="shared" si="201"/>
        <v>440,131</v>
      </c>
      <c r="Q1564" s="6" t="s">
        <v>10</v>
      </c>
      <c r="R1564" s="1">
        <v>90</v>
      </c>
      <c r="S1564" s="1">
        <v>2.5</v>
      </c>
      <c r="T1564" s="1" t="str">
        <f t="shared" si="200"/>
        <v>-text 440,131 2.5 90 267.047</v>
      </c>
    </row>
    <row r="1565" spans="1:20" x14ac:dyDescent="0.35">
      <c r="A1565" s="1">
        <v>282460</v>
      </c>
      <c r="B1565" s="7">
        <v>1171867.3</v>
      </c>
      <c r="C1565" s="2">
        <v>270.06400000000002</v>
      </c>
      <c r="D1565" s="2">
        <v>271.22300000000001</v>
      </c>
      <c r="E1565" s="2">
        <v>1.159</v>
      </c>
      <c r="F1565" s="2">
        <v>269.392</v>
      </c>
      <c r="G1565" s="2">
        <v>270.51</v>
      </c>
      <c r="H1565" s="2">
        <v>1.1180000000000001</v>
      </c>
      <c r="I1565" s="2">
        <v>267.08999999999997</v>
      </c>
      <c r="J1565" s="2">
        <v>267.17700000000002</v>
      </c>
      <c r="K1565" s="15">
        <v>3.3340000000000001</v>
      </c>
      <c r="L1565" s="2">
        <v>16.777999999999999</v>
      </c>
      <c r="N1565" s="7">
        <f t="shared" si="203"/>
        <v>460</v>
      </c>
      <c r="O1565" s="1">
        <f t="shared" si="199"/>
        <v>131</v>
      </c>
      <c r="P1565" s="1" t="str">
        <f t="shared" si="201"/>
        <v>460,131</v>
      </c>
      <c r="Q1565" s="6" t="s">
        <v>10</v>
      </c>
      <c r="R1565" s="1">
        <v>90</v>
      </c>
      <c r="S1565" s="1">
        <v>2.5</v>
      </c>
      <c r="T1565" s="1" t="str">
        <f t="shared" si="200"/>
        <v>-text 460,131 2.5 90 267.177</v>
      </c>
    </row>
    <row r="1566" spans="1:20" x14ac:dyDescent="0.35">
      <c r="A1566" s="1">
        <v>282480</v>
      </c>
      <c r="B1566" s="7">
        <v>1171887.3</v>
      </c>
      <c r="C1566" s="2">
        <v>270.048</v>
      </c>
      <c r="D1566" s="2">
        <v>271.23599999999999</v>
      </c>
      <c r="E1566" s="2">
        <v>1.1879999999999999</v>
      </c>
      <c r="F1566" s="2">
        <v>269.37599999999998</v>
      </c>
      <c r="G1566" s="2">
        <v>270.52300000000002</v>
      </c>
      <c r="H1566" s="2">
        <v>1.147</v>
      </c>
      <c r="I1566" s="2">
        <v>267.30799999999999</v>
      </c>
      <c r="J1566" s="2">
        <v>267.452</v>
      </c>
      <c r="K1566" s="15">
        <v>3.0710000000000002</v>
      </c>
      <c r="L1566" s="2">
        <v>16.798999999999999</v>
      </c>
      <c r="N1566" s="7">
        <f t="shared" si="203"/>
        <v>480</v>
      </c>
      <c r="O1566" s="1">
        <f t="shared" si="199"/>
        <v>131</v>
      </c>
      <c r="P1566" s="1" t="str">
        <f t="shared" si="201"/>
        <v>480,131</v>
      </c>
      <c r="Q1566" s="6" t="s">
        <v>10</v>
      </c>
      <c r="R1566" s="1">
        <v>90</v>
      </c>
      <c r="S1566" s="1">
        <v>2.5</v>
      </c>
      <c r="T1566" s="1" t="str">
        <f t="shared" si="200"/>
        <v>-text 480,131 2.5 90 267.452</v>
      </c>
    </row>
    <row r="1567" spans="1:20" x14ac:dyDescent="0.35">
      <c r="A1567" s="1">
        <v>282500</v>
      </c>
      <c r="B1567" s="7">
        <v>1171907.3</v>
      </c>
      <c r="C1567" s="2">
        <v>270.05099999999999</v>
      </c>
      <c r="D1567" s="2">
        <v>271.24900000000002</v>
      </c>
      <c r="E1567" s="2">
        <v>1.1970000000000001</v>
      </c>
      <c r="F1567" s="2">
        <v>269.37900000000002</v>
      </c>
      <c r="G1567" s="2">
        <v>270.536</v>
      </c>
      <c r="H1567" s="2">
        <v>1.1559999999999999</v>
      </c>
      <c r="I1567" s="2">
        <v>267.60500000000002</v>
      </c>
      <c r="J1567" s="2">
        <v>267.31599999999997</v>
      </c>
      <c r="K1567" s="15">
        <v>3.22</v>
      </c>
      <c r="L1567" s="2">
        <v>16.814</v>
      </c>
      <c r="N1567" s="7">
        <f t="shared" si="203"/>
        <v>500</v>
      </c>
      <c r="O1567" s="1">
        <f t="shared" si="199"/>
        <v>131</v>
      </c>
      <c r="P1567" s="1" t="str">
        <f t="shared" ref="P1567" si="204">CONCATENATE(N1567,",",O1567)</f>
        <v>500,131</v>
      </c>
      <c r="Q1567" s="6" t="s">
        <v>10</v>
      </c>
      <c r="R1567" s="1">
        <v>90</v>
      </c>
      <c r="S1567" s="1">
        <v>2.5</v>
      </c>
      <c r="T1567" s="1" t="str">
        <f t="shared" si="200"/>
        <v>-text 500,131 2.5 90 267.316</v>
      </c>
    </row>
    <row r="1568" spans="1:20" s="10" customFormat="1" x14ac:dyDescent="0.35">
      <c r="B1568" s="11"/>
      <c r="C1568" s="9"/>
      <c r="D1568" s="9"/>
      <c r="E1568" s="9"/>
      <c r="F1568" s="9"/>
      <c r="G1568" s="9"/>
      <c r="H1568" s="9"/>
      <c r="I1568" s="9"/>
      <c r="J1568" s="9"/>
      <c r="K1568" s="16"/>
      <c r="L1568" s="9"/>
      <c r="M1568" s="9"/>
      <c r="N1568" s="11"/>
      <c r="Q1568" s="12"/>
    </row>
    <row r="1569" spans="1:20" x14ac:dyDescent="0.35">
      <c r="A1569" s="1">
        <v>282500</v>
      </c>
      <c r="B1569" s="7">
        <v>1171907.3</v>
      </c>
      <c r="C1569" s="2">
        <v>270.05099999999999</v>
      </c>
      <c r="D1569" s="2">
        <v>271.24900000000002</v>
      </c>
      <c r="E1569" s="2">
        <v>1.1970000000000001</v>
      </c>
      <c r="F1569" s="2">
        <v>269.37900000000002</v>
      </c>
      <c r="G1569" s="2">
        <v>270.536</v>
      </c>
      <c r="H1569" s="2">
        <v>1.1559999999999999</v>
      </c>
      <c r="I1569" s="2">
        <v>267.60500000000002</v>
      </c>
      <c r="J1569" s="2">
        <v>267.31599999999997</v>
      </c>
      <c r="K1569" s="15">
        <v>3.22</v>
      </c>
      <c r="L1569" s="2">
        <v>16.814</v>
      </c>
      <c r="N1569" s="7">
        <v>0</v>
      </c>
      <c r="O1569" s="1">
        <f t="shared" si="199"/>
        <v>131</v>
      </c>
      <c r="P1569" s="1" t="str">
        <f t="shared" si="201"/>
        <v>0,131</v>
      </c>
      <c r="Q1569" s="6" t="s">
        <v>10</v>
      </c>
      <c r="R1569" s="1">
        <v>90</v>
      </c>
      <c r="S1569" s="1">
        <v>2.5</v>
      </c>
      <c r="T1569" s="1" t="str">
        <f t="shared" si="200"/>
        <v>-text 0,131 2.5 90 267.316</v>
      </c>
    </row>
    <row r="1570" spans="1:20" x14ac:dyDescent="0.35">
      <c r="A1570" s="1">
        <v>282520</v>
      </c>
      <c r="B1570" s="7">
        <v>1171927.3</v>
      </c>
      <c r="C1570" s="2">
        <v>270.05799999999999</v>
      </c>
      <c r="D1570" s="2">
        <v>271.26100000000002</v>
      </c>
      <c r="E1570" s="2">
        <v>1.204</v>
      </c>
      <c r="F1570" s="2">
        <v>269.38600000000002</v>
      </c>
      <c r="G1570" s="2">
        <v>270.548</v>
      </c>
      <c r="H1570" s="2">
        <v>1.163</v>
      </c>
      <c r="I1570" s="2">
        <v>267.86599999999999</v>
      </c>
      <c r="J1570" s="2">
        <v>267.81099999999998</v>
      </c>
      <c r="K1570" s="15">
        <v>2.7370000000000001</v>
      </c>
      <c r="L1570" s="2">
        <v>16.821999999999999</v>
      </c>
      <c r="N1570" s="7">
        <f t="shared" ref="N1570:N1594" si="205">N1569+(B1570-B1569)</f>
        <v>20</v>
      </c>
      <c r="O1570" s="1">
        <f t="shared" si="199"/>
        <v>131</v>
      </c>
      <c r="P1570" s="1" t="str">
        <f t="shared" si="201"/>
        <v>20,131</v>
      </c>
      <c r="Q1570" s="6" t="s">
        <v>10</v>
      </c>
      <c r="R1570" s="1">
        <v>90</v>
      </c>
      <c r="S1570" s="1">
        <v>2.5</v>
      </c>
      <c r="T1570" s="1" t="str">
        <f t="shared" si="200"/>
        <v>-text 20,131 2.5 90 267.811</v>
      </c>
    </row>
    <row r="1571" spans="1:20" x14ac:dyDescent="0.35">
      <c r="A1571" s="1">
        <v>282540</v>
      </c>
      <c r="B1571" s="7">
        <v>1171947.3</v>
      </c>
      <c r="C1571" s="2">
        <v>270.05099999999999</v>
      </c>
      <c r="D1571" s="2">
        <v>271.274</v>
      </c>
      <c r="E1571" s="2">
        <v>1.2230000000000001</v>
      </c>
      <c r="F1571" s="2">
        <v>269.37900000000002</v>
      </c>
      <c r="G1571" s="2">
        <v>270.56099999999998</v>
      </c>
      <c r="H1571" s="2">
        <v>1.1819999999999999</v>
      </c>
      <c r="I1571" s="2">
        <v>268.02100000000002</v>
      </c>
      <c r="J1571" s="2">
        <v>267.791</v>
      </c>
      <c r="K1571" s="15">
        <v>2.77</v>
      </c>
      <c r="L1571" s="2">
        <v>16.818000000000001</v>
      </c>
      <c r="N1571" s="7">
        <f t="shared" si="205"/>
        <v>40</v>
      </c>
      <c r="O1571" s="1">
        <f t="shared" si="199"/>
        <v>131</v>
      </c>
      <c r="P1571" s="1" t="str">
        <f t="shared" si="201"/>
        <v>40,131</v>
      </c>
      <c r="Q1571" s="6" t="s">
        <v>10</v>
      </c>
      <c r="R1571" s="1">
        <v>90</v>
      </c>
      <c r="S1571" s="1">
        <v>2.5</v>
      </c>
      <c r="T1571" s="1" t="str">
        <f t="shared" si="200"/>
        <v>-text 40,131 2.5 90 267.791</v>
      </c>
    </row>
    <row r="1572" spans="1:20" x14ac:dyDescent="0.35">
      <c r="A1572" s="1">
        <v>282560</v>
      </c>
      <c r="B1572" s="7">
        <v>1171967.3</v>
      </c>
      <c r="C1572" s="2">
        <v>270.05099999999999</v>
      </c>
      <c r="D1572" s="2">
        <v>271.28699999999998</v>
      </c>
      <c r="E1572" s="2">
        <v>1.236</v>
      </c>
      <c r="F1572" s="2">
        <v>269.37900000000002</v>
      </c>
      <c r="G1572" s="2">
        <v>270.57400000000001</v>
      </c>
      <c r="H1572" s="2">
        <v>1.1950000000000001</v>
      </c>
      <c r="I1572" s="2">
        <v>267.84500000000003</v>
      </c>
      <c r="J1572" s="2">
        <v>266.714</v>
      </c>
      <c r="K1572" s="15">
        <v>3.86</v>
      </c>
      <c r="L1572" s="2">
        <v>16.829000000000001</v>
      </c>
      <c r="N1572" s="7">
        <f t="shared" si="205"/>
        <v>60</v>
      </c>
      <c r="O1572" s="1">
        <f t="shared" si="199"/>
        <v>131</v>
      </c>
      <c r="P1572" s="1" t="str">
        <f t="shared" si="201"/>
        <v>60,131</v>
      </c>
      <c r="Q1572" s="6" t="s">
        <v>10</v>
      </c>
      <c r="R1572" s="1">
        <v>90</v>
      </c>
      <c r="S1572" s="1">
        <v>2.5</v>
      </c>
      <c r="T1572" s="1" t="str">
        <f t="shared" si="200"/>
        <v>-text 60,131 2.5 90 266.714</v>
      </c>
    </row>
    <row r="1573" spans="1:20" x14ac:dyDescent="0.35">
      <c r="A1573" s="1">
        <v>282580</v>
      </c>
      <c r="B1573" s="7">
        <v>1171987.3</v>
      </c>
      <c r="C1573" s="2">
        <v>270.053</v>
      </c>
      <c r="D1573" s="2">
        <v>271.29899999999998</v>
      </c>
      <c r="E1573" s="2">
        <v>1.246</v>
      </c>
      <c r="F1573" s="2">
        <v>269.38099999999997</v>
      </c>
      <c r="G1573" s="2">
        <v>270.58600000000001</v>
      </c>
      <c r="H1573" s="2">
        <v>1.2050000000000001</v>
      </c>
      <c r="I1573" s="2">
        <v>268.00700000000001</v>
      </c>
      <c r="J1573" s="2">
        <v>267.11099999999999</v>
      </c>
      <c r="K1573" s="15">
        <v>3.4750000000000001</v>
      </c>
      <c r="L1573" s="2">
        <v>16.846</v>
      </c>
      <c r="N1573" s="7">
        <f t="shared" si="205"/>
        <v>80</v>
      </c>
      <c r="O1573" s="1">
        <f t="shared" si="199"/>
        <v>131</v>
      </c>
      <c r="P1573" s="1" t="str">
        <f t="shared" si="201"/>
        <v>80,131</v>
      </c>
      <c r="Q1573" s="6" t="s">
        <v>10</v>
      </c>
      <c r="R1573" s="1">
        <v>90</v>
      </c>
      <c r="S1573" s="1">
        <v>2.5</v>
      </c>
      <c r="T1573" s="1" t="str">
        <f t="shared" si="200"/>
        <v>-text 80,131 2.5 90 267.111</v>
      </c>
    </row>
    <row r="1574" spans="1:20" x14ac:dyDescent="0.35">
      <c r="A1574" s="1">
        <v>282600</v>
      </c>
      <c r="B1574" s="7">
        <v>1172007.2</v>
      </c>
      <c r="C1574" s="2">
        <v>269.983</v>
      </c>
      <c r="D1574" s="2">
        <v>271.31200000000001</v>
      </c>
      <c r="E1574" s="2">
        <v>1.329</v>
      </c>
      <c r="F1574" s="2">
        <v>269.31099999999998</v>
      </c>
      <c r="G1574" s="2">
        <v>270.59899999999999</v>
      </c>
      <c r="H1574" s="2">
        <v>1.288</v>
      </c>
      <c r="I1574" s="2">
        <v>267.81599999999997</v>
      </c>
      <c r="J1574" s="2">
        <v>266.97500000000002</v>
      </c>
      <c r="K1574" s="15">
        <v>3.6240000000000001</v>
      </c>
      <c r="L1574" s="2">
        <v>16.72</v>
      </c>
      <c r="N1574" s="7">
        <f t="shared" si="205"/>
        <v>99.899999999906868</v>
      </c>
      <c r="O1574" s="1">
        <f t="shared" si="199"/>
        <v>131</v>
      </c>
      <c r="P1574" s="1" t="str">
        <f t="shared" si="201"/>
        <v>99.8999999999069,131</v>
      </c>
      <c r="Q1574" s="6" t="s">
        <v>10</v>
      </c>
      <c r="R1574" s="1">
        <v>90</v>
      </c>
      <c r="S1574" s="1">
        <v>2.5</v>
      </c>
      <c r="T1574" s="1" t="str">
        <f t="shared" si="200"/>
        <v>-text 99.8999999999069,131 2.5 90 266.975</v>
      </c>
    </row>
    <row r="1575" spans="1:20" x14ac:dyDescent="0.35">
      <c r="A1575" s="1">
        <v>282620</v>
      </c>
      <c r="B1575" s="7">
        <v>1172027.3</v>
      </c>
      <c r="C1575" s="2">
        <v>269.91000000000003</v>
      </c>
      <c r="D1575" s="2">
        <v>271.327</v>
      </c>
      <c r="E1575" s="2">
        <v>1.417</v>
      </c>
      <c r="F1575" s="2">
        <v>269.238</v>
      </c>
      <c r="G1575" s="2">
        <v>270.61399999999998</v>
      </c>
      <c r="H1575" s="2">
        <v>1.3759999999999999</v>
      </c>
      <c r="I1575" s="2">
        <v>267.887</v>
      </c>
      <c r="J1575" s="2">
        <v>266.77199999999999</v>
      </c>
      <c r="K1575" s="15">
        <v>3.843</v>
      </c>
      <c r="L1575" s="2">
        <v>16.581</v>
      </c>
      <c r="N1575" s="7">
        <f t="shared" si="205"/>
        <v>120</v>
      </c>
      <c r="O1575" s="1">
        <f t="shared" si="199"/>
        <v>131</v>
      </c>
      <c r="P1575" s="1" t="str">
        <f t="shared" si="201"/>
        <v>120,131</v>
      </c>
      <c r="Q1575" s="6" t="s">
        <v>10</v>
      </c>
      <c r="R1575" s="1">
        <v>90</v>
      </c>
      <c r="S1575" s="1">
        <v>2.5</v>
      </c>
      <c r="T1575" s="1" t="str">
        <f t="shared" si="200"/>
        <v>-text 120,131 2.5 90 266.772</v>
      </c>
    </row>
    <row r="1576" spans="1:20" x14ac:dyDescent="0.35">
      <c r="A1576" s="1">
        <v>282640</v>
      </c>
      <c r="B1576" s="7">
        <v>1172047.3</v>
      </c>
      <c r="C1576" s="2">
        <v>269.94</v>
      </c>
      <c r="D1576" s="2">
        <v>271.34399999999999</v>
      </c>
      <c r="E1576" s="2">
        <v>1.4039999999999999</v>
      </c>
      <c r="F1576" s="2">
        <v>269.26799999999997</v>
      </c>
      <c r="G1576" s="2">
        <v>270.63099999999997</v>
      </c>
      <c r="H1576" s="2">
        <v>1.363</v>
      </c>
      <c r="I1576" s="2">
        <v>267.71199999999999</v>
      </c>
      <c r="J1576" s="2">
        <v>266.88099999999997</v>
      </c>
      <c r="K1576" s="15">
        <v>3.75</v>
      </c>
      <c r="L1576" s="2">
        <v>16.63</v>
      </c>
      <c r="N1576" s="7">
        <f t="shared" si="205"/>
        <v>140</v>
      </c>
      <c r="O1576" s="1">
        <f t="shared" si="199"/>
        <v>131</v>
      </c>
      <c r="P1576" s="1" t="str">
        <f t="shared" si="201"/>
        <v>140,131</v>
      </c>
      <c r="Q1576" s="6" t="s">
        <v>10</v>
      </c>
      <c r="R1576" s="1">
        <v>90</v>
      </c>
      <c r="S1576" s="1">
        <v>2.5</v>
      </c>
      <c r="T1576" s="1" t="str">
        <f t="shared" si="200"/>
        <v>-text 140,131 2.5 90 266.881</v>
      </c>
    </row>
    <row r="1577" spans="1:20" x14ac:dyDescent="0.35">
      <c r="A1577" s="1">
        <v>282660</v>
      </c>
      <c r="B1577" s="7">
        <v>1172067.3</v>
      </c>
      <c r="C1577" s="2">
        <v>269.971</v>
      </c>
      <c r="D1577" s="2">
        <v>271.36099999999999</v>
      </c>
      <c r="E1577" s="2">
        <v>1.39</v>
      </c>
      <c r="F1577" s="2">
        <v>269.29899999999998</v>
      </c>
      <c r="G1577" s="2">
        <v>270.64800000000002</v>
      </c>
      <c r="H1577" s="2">
        <v>1.349</v>
      </c>
      <c r="I1577" s="2">
        <v>267.81299999999999</v>
      </c>
      <c r="J1577" s="2">
        <v>266.79899999999998</v>
      </c>
      <c r="K1577" s="15">
        <v>3.8490000000000002</v>
      </c>
      <c r="L1577" s="2">
        <v>16.670000000000002</v>
      </c>
      <c r="N1577" s="7">
        <f t="shared" si="205"/>
        <v>160</v>
      </c>
      <c r="O1577" s="1">
        <f t="shared" si="199"/>
        <v>131</v>
      </c>
      <c r="P1577" s="1" t="str">
        <f t="shared" si="201"/>
        <v>160,131</v>
      </c>
      <c r="Q1577" s="6" t="s">
        <v>10</v>
      </c>
      <c r="R1577" s="1">
        <v>90</v>
      </c>
      <c r="S1577" s="1">
        <v>2.5</v>
      </c>
      <c r="T1577" s="1" t="str">
        <f t="shared" si="200"/>
        <v>-text 160,131 2.5 90 266.799</v>
      </c>
    </row>
    <row r="1578" spans="1:20" x14ac:dyDescent="0.35">
      <c r="A1578" s="1">
        <v>282680</v>
      </c>
      <c r="B1578" s="7">
        <v>1172087.3</v>
      </c>
      <c r="C1578" s="2">
        <v>270</v>
      </c>
      <c r="D1578" s="2">
        <v>271.37799999999999</v>
      </c>
      <c r="E1578" s="2">
        <v>1.3779999999999999</v>
      </c>
      <c r="F1578" s="2">
        <v>269.32799999999997</v>
      </c>
      <c r="G1578" s="2">
        <v>270.66500000000002</v>
      </c>
      <c r="H1578" s="2">
        <v>1.337</v>
      </c>
      <c r="I1578" s="2">
        <v>267.48700000000002</v>
      </c>
      <c r="J1578" s="2">
        <v>266.73099999999999</v>
      </c>
      <c r="K1578" s="15">
        <v>3.9340000000000002</v>
      </c>
      <c r="L1578" s="2">
        <v>16.675000000000001</v>
      </c>
      <c r="N1578" s="7">
        <f t="shared" si="205"/>
        <v>180</v>
      </c>
      <c r="O1578" s="1">
        <f t="shared" si="199"/>
        <v>131</v>
      </c>
      <c r="P1578" s="1" t="str">
        <f t="shared" si="201"/>
        <v>180,131</v>
      </c>
      <c r="Q1578" s="6" t="s">
        <v>10</v>
      </c>
      <c r="R1578" s="1">
        <v>90</v>
      </c>
      <c r="S1578" s="1">
        <v>2.5</v>
      </c>
      <c r="T1578" s="1" t="str">
        <f t="shared" si="200"/>
        <v>-text 180,131 2.5 90 266.731</v>
      </c>
    </row>
    <row r="1579" spans="1:20" x14ac:dyDescent="0.35">
      <c r="A1579" s="1">
        <v>282700</v>
      </c>
      <c r="B1579" s="7">
        <v>1172107.3</v>
      </c>
      <c r="C1579" s="2">
        <v>270.029</v>
      </c>
      <c r="D1579" s="2">
        <v>271.39499999999998</v>
      </c>
      <c r="E1579" s="2">
        <v>1.3660000000000001</v>
      </c>
      <c r="F1579" s="2">
        <v>269.35700000000003</v>
      </c>
      <c r="G1579" s="2">
        <v>270.68200000000002</v>
      </c>
      <c r="H1579" s="2">
        <v>1.325</v>
      </c>
      <c r="I1579" s="2">
        <v>267.58499999999998</v>
      </c>
      <c r="J1579" s="2">
        <v>266.84199999999998</v>
      </c>
      <c r="K1579" s="15">
        <v>3.84</v>
      </c>
      <c r="L1579" s="2">
        <v>16.687999999999999</v>
      </c>
      <c r="N1579" s="7">
        <f t="shared" si="205"/>
        <v>200</v>
      </c>
      <c r="O1579" s="1">
        <f t="shared" si="199"/>
        <v>131</v>
      </c>
      <c r="P1579" s="1" t="str">
        <f t="shared" si="201"/>
        <v>200,131</v>
      </c>
      <c r="Q1579" s="6" t="s">
        <v>10</v>
      </c>
      <c r="R1579" s="1">
        <v>90</v>
      </c>
      <c r="S1579" s="1">
        <v>2.5</v>
      </c>
      <c r="T1579" s="1" t="str">
        <f t="shared" si="200"/>
        <v>-text 200,131 2.5 90 266.842</v>
      </c>
    </row>
    <row r="1580" spans="1:20" x14ac:dyDescent="0.35">
      <c r="A1580" s="1">
        <v>282720</v>
      </c>
      <c r="B1580" s="7">
        <v>1172127.3</v>
      </c>
      <c r="C1580" s="2">
        <v>270.05900000000003</v>
      </c>
      <c r="D1580" s="2">
        <v>271.41199999999998</v>
      </c>
      <c r="E1580" s="2">
        <v>1.353</v>
      </c>
      <c r="F1580" s="2">
        <v>269.387</v>
      </c>
      <c r="G1580" s="2">
        <v>270.69900000000001</v>
      </c>
      <c r="H1580" s="2">
        <v>1.3120000000000001</v>
      </c>
      <c r="I1580" s="2">
        <v>268.16199999999998</v>
      </c>
      <c r="J1580" s="2">
        <v>267.214</v>
      </c>
      <c r="K1580" s="15">
        <v>3.4849999999999999</v>
      </c>
      <c r="L1580" s="2">
        <v>16.707999999999998</v>
      </c>
      <c r="N1580" s="7">
        <f t="shared" si="205"/>
        <v>220</v>
      </c>
      <c r="O1580" s="1">
        <f t="shared" si="199"/>
        <v>131</v>
      </c>
      <c r="P1580" s="1" t="str">
        <f t="shared" si="201"/>
        <v>220,131</v>
      </c>
      <c r="Q1580" s="6" t="s">
        <v>10</v>
      </c>
      <c r="R1580" s="1">
        <v>90</v>
      </c>
      <c r="S1580" s="1">
        <v>2.5</v>
      </c>
      <c r="T1580" s="1" t="str">
        <f t="shared" si="200"/>
        <v>-text 220,131 2.5 90 267.214</v>
      </c>
    </row>
    <row r="1581" spans="1:20" x14ac:dyDescent="0.35">
      <c r="A1581" s="1">
        <v>282740</v>
      </c>
      <c r="B1581" s="7">
        <v>1172147.3</v>
      </c>
      <c r="C1581" s="2">
        <v>270.08300000000003</v>
      </c>
      <c r="D1581" s="2">
        <v>271.42899999999997</v>
      </c>
      <c r="E1581" s="2">
        <v>1.3460000000000001</v>
      </c>
      <c r="F1581" s="2">
        <v>269.411</v>
      </c>
      <c r="G1581" s="2">
        <v>270.71600000000001</v>
      </c>
      <c r="H1581" s="2">
        <v>1.3049999999999999</v>
      </c>
      <c r="I1581" s="2">
        <v>268.22199999999998</v>
      </c>
      <c r="J1581" s="2">
        <v>267.30200000000002</v>
      </c>
      <c r="K1581" s="15">
        <v>3.4140000000000001</v>
      </c>
      <c r="L1581" s="2">
        <v>16.707000000000001</v>
      </c>
      <c r="N1581" s="7">
        <f t="shared" si="205"/>
        <v>240</v>
      </c>
      <c r="O1581" s="1">
        <f t="shared" si="199"/>
        <v>131</v>
      </c>
      <c r="P1581" s="1" t="str">
        <f t="shared" si="201"/>
        <v>240,131</v>
      </c>
      <c r="Q1581" s="6" t="s">
        <v>10</v>
      </c>
      <c r="R1581" s="1">
        <v>90</v>
      </c>
      <c r="S1581" s="1">
        <v>2.5</v>
      </c>
      <c r="T1581" s="1" t="str">
        <f t="shared" si="200"/>
        <v>-text 240,131 2.5 90 267.302</v>
      </c>
    </row>
    <row r="1582" spans="1:20" x14ac:dyDescent="0.35">
      <c r="A1582" s="1">
        <v>282760</v>
      </c>
      <c r="B1582" s="7">
        <v>1172167.3</v>
      </c>
      <c r="C1582" s="2">
        <v>270.10599999999999</v>
      </c>
      <c r="D1582" s="2">
        <v>271.44600000000003</v>
      </c>
      <c r="E1582" s="2">
        <v>1.34</v>
      </c>
      <c r="F1582" s="2">
        <v>269.43400000000003</v>
      </c>
      <c r="G1582" s="2">
        <v>270.733</v>
      </c>
      <c r="H1582" s="2">
        <v>1.2989999999999999</v>
      </c>
      <c r="I1582" s="2">
        <v>268.06299999999999</v>
      </c>
      <c r="J1582" s="2">
        <v>267.22000000000003</v>
      </c>
      <c r="K1582" s="15">
        <v>3.5129999999999999</v>
      </c>
      <c r="L1582" s="2">
        <v>16.698</v>
      </c>
      <c r="N1582" s="7">
        <f t="shared" si="205"/>
        <v>260</v>
      </c>
      <c r="O1582" s="1">
        <f t="shared" si="199"/>
        <v>131</v>
      </c>
      <c r="P1582" s="1" t="str">
        <f t="shared" si="201"/>
        <v>260,131</v>
      </c>
      <c r="Q1582" s="6" t="s">
        <v>10</v>
      </c>
      <c r="R1582" s="1">
        <v>90</v>
      </c>
      <c r="S1582" s="1">
        <v>2.5</v>
      </c>
      <c r="T1582" s="1" t="str">
        <f t="shared" si="200"/>
        <v>-text 260,131 2.5 90 267.22</v>
      </c>
    </row>
    <row r="1583" spans="1:20" x14ac:dyDescent="0.35">
      <c r="A1583" s="1">
        <v>282780</v>
      </c>
      <c r="B1583" s="7">
        <v>1172187.3</v>
      </c>
      <c r="C1583" s="2">
        <v>270.11799999999999</v>
      </c>
      <c r="D1583" s="2">
        <v>271.46300000000002</v>
      </c>
      <c r="E1583" s="2">
        <v>1.345</v>
      </c>
      <c r="F1583" s="2">
        <v>269.44600000000003</v>
      </c>
      <c r="G1583" s="2">
        <v>270.75</v>
      </c>
      <c r="H1583" s="2">
        <v>1.304</v>
      </c>
      <c r="I1583" s="2">
        <v>267.90899999999999</v>
      </c>
      <c r="J1583" s="2">
        <v>267.20499999999998</v>
      </c>
      <c r="K1583" s="15">
        <v>3.5449999999999999</v>
      </c>
      <c r="L1583" s="2">
        <v>16.712</v>
      </c>
      <c r="N1583" s="7">
        <f t="shared" si="205"/>
        <v>280</v>
      </c>
      <c r="O1583" s="1">
        <f t="shared" si="199"/>
        <v>131</v>
      </c>
      <c r="P1583" s="1" t="str">
        <f t="shared" si="201"/>
        <v>280,131</v>
      </c>
      <c r="Q1583" s="6" t="s">
        <v>10</v>
      </c>
      <c r="R1583" s="1">
        <v>90</v>
      </c>
      <c r="S1583" s="1">
        <v>2.5</v>
      </c>
      <c r="T1583" s="1" t="str">
        <f t="shared" si="200"/>
        <v>-text 280,131 2.5 90 267.205</v>
      </c>
    </row>
    <row r="1584" spans="1:20" x14ac:dyDescent="0.35">
      <c r="A1584" s="1">
        <v>282800</v>
      </c>
      <c r="B1584" s="7">
        <v>1172207.3</v>
      </c>
      <c r="C1584" s="2">
        <v>270.137</v>
      </c>
      <c r="D1584" s="2">
        <v>271.47899999999998</v>
      </c>
      <c r="E1584" s="2">
        <v>1.343</v>
      </c>
      <c r="F1584" s="2">
        <v>269.46499999999997</v>
      </c>
      <c r="G1584" s="2">
        <v>270.76600000000002</v>
      </c>
      <c r="H1584" s="2">
        <v>1.302</v>
      </c>
      <c r="I1584" s="2">
        <v>267.82799999999997</v>
      </c>
      <c r="J1584" s="2">
        <v>267.26299999999998</v>
      </c>
      <c r="K1584" s="15">
        <v>3.504</v>
      </c>
      <c r="L1584" s="2">
        <v>16.722999999999999</v>
      </c>
      <c r="N1584" s="7">
        <f t="shared" si="205"/>
        <v>300</v>
      </c>
      <c r="O1584" s="1">
        <f t="shared" si="199"/>
        <v>131</v>
      </c>
      <c r="P1584" s="1" t="str">
        <f t="shared" si="201"/>
        <v>300,131</v>
      </c>
      <c r="Q1584" s="6" t="s">
        <v>10</v>
      </c>
      <c r="R1584" s="1">
        <v>90</v>
      </c>
      <c r="S1584" s="1">
        <v>2.5</v>
      </c>
      <c r="T1584" s="1" t="str">
        <f t="shared" si="200"/>
        <v>-text 300,131 2.5 90 267.263</v>
      </c>
    </row>
    <row r="1585" spans="1:20" x14ac:dyDescent="0.35">
      <c r="A1585" s="1">
        <v>282820</v>
      </c>
      <c r="B1585" s="7">
        <v>1172227.3</v>
      </c>
      <c r="C1585" s="2">
        <v>270.17399999999998</v>
      </c>
      <c r="D1585" s="2">
        <v>271.49599999999998</v>
      </c>
      <c r="E1585" s="2">
        <v>1.323</v>
      </c>
      <c r="F1585" s="2">
        <v>269.50200000000001</v>
      </c>
      <c r="G1585" s="2">
        <v>270.78300000000002</v>
      </c>
      <c r="H1585" s="2">
        <v>1.282</v>
      </c>
      <c r="I1585" s="2">
        <v>267.702</v>
      </c>
      <c r="J1585" s="2">
        <v>266.851</v>
      </c>
      <c r="K1585" s="15">
        <v>3.9319999999999999</v>
      </c>
      <c r="L1585" s="2">
        <v>16.722999999999999</v>
      </c>
      <c r="N1585" s="7">
        <f t="shared" si="205"/>
        <v>320</v>
      </c>
      <c r="O1585" s="1">
        <f t="shared" si="199"/>
        <v>131</v>
      </c>
      <c r="P1585" s="1" t="str">
        <f t="shared" si="201"/>
        <v>320,131</v>
      </c>
      <c r="Q1585" s="6" t="s">
        <v>10</v>
      </c>
      <c r="R1585" s="1">
        <v>90</v>
      </c>
      <c r="S1585" s="1">
        <v>2.5</v>
      </c>
      <c r="T1585" s="1" t="str">
        <f t="shared" si="200"/>
        <v>-text 320,131 2.5 90 266.851</v>
      </c>
    </row>
    <row r="1586" spans="1:20" x14ac:dyDescent="0.35">
      <c r="A1586" s="1">
        <v>282840</v>
      </c>
      <c r="B1586" s="7">
        <v>1172247.3</v>
      </c>
      <c r="C1586" s="2">
        <v>270.19600000000003</v>
      </c>
      <c r="D1586" s="2">
        <v>271.51299999999998</v>
      </c>
      <c r="E1586" s="2">
        <v>1.3169999999999999</v>
      </c>
      <c r="F1586" s="2">
        <v>269.524</v>
      </c>
      <c r="G1586" s="2">
        <v>270.8</v>
      </c>
      <c r="H1586" s="2">
        <v>1.276</v>
      </c>
      <c r="I1586" s="2">
        <v>267.49</v>
      </c>
      <c r="J1586" s="2">
        <v>267.15100000000001</v>
      </c>
      <c r="K1586" s="15">
        <v>3.649</v>
      </c>
      <c r="L1586" s="2">
        <v>16.727</v>
      </c>
      <c r="N1586" s="7">
        <f t="shared" si="205"/>
        <v>340</v>
      </c>
      <c r="O1586" s="1">
        <f t="shared" ref="O1586:O1654" si="206">19+16+16+16+16+16+16+16</f>
        <v>131</v>
      </c>
      <c r="P1586" s="1" t="str">
        <f t="shared" si="201"/>
        <v>340,131</v>
      </c>
      <c r="Q1586" s="6" t="s">
        <v>10</v>
      </c>
      <c r="R1586" s="1">
        <v>90</v>
      </c>
      <c r="S1586" s="1">
        <v>2.5</v>
      </c>
      <c r="T1586" s="1" t="str">
        <f t="shared" ref="T1586:T1654" si="207">$Q1586&amp;" "&amp;$P1586&amp;" "&amp;$S1586&amp;" "&amp;$R1586&amp;" "&amp;$J1586</f>
        <v>-text 340,131 2.5 90 267.151</v>
      </c>
    </row>
    <row r="1587" spans="1:20" x14ac:dyDescent="0.35">
      <c r="A1587" s="1">
        <v>282860</v>
      </c>
      <c r="B1587" s="7">
        <v>1172267.3</v>
      </c>
      <c r="C1587" s="2">
        <v>270.20600000000002</v>
      </c>
      <c r="D1587" s="2">
        <v>271.52999999999997</v>
      </c>
      <c r="E1587" s="2">
        <v>1.3240000000000001</v>
      </c>
      <c r="F1587" s="2">
        <v>269.53399999999999</v>
      </c>
      <c r="G1587" s="2">
        <v>270.81700000000001</v>
      </c>
      <c r="H1587" s="2">
        <v>1.2829999999999999</v>
      </c>
      <c r="I1587" s="2">
        <v>267.42700000000002</v>
      </c>
      <c r="J1587" s="2">
        <v>267.38200000000001</v>
      </c>
      <c r="K1587" s="15">
        <v>3.4350000000000001</v>
      </c>
      <c r="L1587" s="2">
        <v>16.734999999999999</v>
      </c>
      <c r="N1587" s="7">
        <f t="shared" si="205"/>
        <v>360</v>
      </c>
      <c r="O1587" s="1">
        <f t="shared" si="206"/>
        <v>131</v>
      </c>
      <c r="P1587" s="1" t="str">
        <f t="shared" si="201"/>
        <v>360,131</v>
      </c>
      <c r="Q1587" s="6" t="s">
        <v>10</v>
      </c>
      <c r="R1587" s="1">
        <v>90</v>
      </c>
      <c r="S1587" s="1">
        <v>2.5</v>
      </c>
      <c r="T1587" s="1" t="str">
        <f t="shared" si="207"/>
        <v>-text 360,131 2.5 90 267.382</v>
      </c>
    </row>
    <row r="1588" spans="1:20" x14ac:dyDescent="0.35">
      <c r="A1588" s="1">
        <v>282880</v>
      </c>
      <c r="B1588" s="7">
        <v>1172287.3</v>
      </c>
      <c r="C1588" s="2">
        <v>270.21800000000002</v>
      </c>
      <c r="D1588" s="2">
        <v>271.54700000000003</v>
      </c>
      <c r="E1588" s="2">
        <v>1.33</v>
      </c>
      <c r="F1588" s="2">
        <v>269.54599999999999</v>
      </c>
      <c r="G1588" s="2">
        <v>270.834</v>
      </c>
      <c r="H1588" s="2">
        <v>1.2889999999999999</v>
      </c>
      <c r="I1588" s="2">
        <v>267.51900000000001</v>
      </c>
      <c r="J1588" s="2">
        <v>267.15499999999997</v>
      </c>
      <c r="K1588" s="15">
        <v>3.6789999999999998</v>
      </c>
      <c r="L1588" s="2">
        <v>16.731999999999999</v>
      </c>
      <c r="N1588" s="7">
        <f t="shared" si="205"/>
        <v>380</v>
      </c>
      <c r="O1588" s="1">
        <f t="shared" si="206"/>
        <v>131</v>
      </c>
      <c r="P1588" s="1" t="str">
        <f t="shared" ref="P1588:P1656" si="208">CONCATENATE(N1588,",",O1588)</f>
        <v>380,131</v>
      </c>
      <c r="Q1588" s="6" t="s">
        <v>10</v>
      </c>
      <c r="R1588" s="1">
        <v>90</v>
      </c>
      <c r="S1588" s="1">
        <v>2.5</v>
      </c>
      <c r="T1588" s="1" t="str">
        <f t="shared" si="207"/>
        <v>-text 380,131 2.5 90 267.155</v>
      </c>
    </row>
    <row r="1589" spans="1:20" x14ac:dyDescent="0.35">
      <c r="A1589" s="1">
        <v>282900</v>
      </c>
      <c r="B1589" s="7">
        <v>1172307.3</v>
      </c>
      <c r="C1589" s="2">
        <v>270.23</v>
      </c>
      <c r="D1589" s="2">
        <v>271.56400000000002</v>
      </c>
      <c r="E1589" s="2">
        <v>1.3340000000000001</v>
      </c>
      <c r="F1589" s="2">
        <v>269.55799999999999</v>
      </c>
      <c r="G1589" s="2">
        <v>270.851</v>
      </c>
      <c r="H1589" s="2">
        <v>1.2929999999999999</v>
      </c>
      <c r="I1589" s="2">
        <v>267.52</v>
      </c>
      <c r="J1589" s="2">
        <v>266.76900000000001</v>
      </c>
      <c r="K1589" s="15">
        <v>4.0819999999999999</v>
      </c>
      <c r="L1589" s="2">
        <v>16.728000000000002</v>
      </c>
      <c r="N1589" s="7">
        <f t="shared" si="205"/>
        <v>400</v>
      </c>
      <c r="O1589" s="1">
        <f t="shared" si="206"/>
        <v>131</v>
      </c>
      <c r="P1589" s="1" t="str">
        <f t="shared" si="208"/>
        <v>400,131</v>
      </c>
      <c r="Q1589" s="6" t="s">
        <v>10</v>
      </c>
      <c r="R1589" s="1">
        <v>90</v>
      </c>
      <c r="S1589" s="1">
        <v>2.5</v>
      </c>
      <c r="T1589" s="1" t="str">
        <f t="shared" si="207"/>
        <v>-text 400,131 2.5 90 266.769</v>
      </c>
    </row>
    <row r="1590" spans="1:20" x14ac:dyDescent="0.35">
      <c r="A1590" s="1">
        <v>282920</v>
      </c>
      <c r="B1590" s="7">
        <v>1172327.3</v>
      </c>
      <c r="C1590" s="2">
        <v>270.24200000000002</v>
      </c>
      <c r="D1590" s="2">
        <v>271.58100000000002</v>
      </c>
      <c r="E1590" s="2">
        <v>1.339</v>
      </c>
      <c r="F1590" s="2">
        <v>269.57</v>
      </c>
      <c r="G1590" s="2">
        <v>270.86799999999999</v>
      </c>
      <c r="H1590" s="2">
        <v>1.298</v>
      </c>
      <c r="I1590" s="2">
        <v>267.49299999999999</v>
      </c>
      <c r="J1590" s="2">
        <v>266.98700000000002</v>
      </c>
      <c r="K1590" s="15">
        <v>3.8809999999999998</v>
      </c>
      <c r="L1590" s="2">
        <v>16.753</v>
      </c>
      <c r="N1590" s="7">
        <f t="shared" si="205"/>
        <v>420</v>
      </c>
      <c r="O1590" s="1">
        <f t="shared" si="206"/>
        <v>131</v>
      </c>
      <c r="P1590" s="1" t="str">
        <f t="shared" si="208"/>
        <v>420,131</v>
      </c>
      <c r="Q1590" s="6" t="s">
        <v>10</v>
      </c>
      <c r="R1590" s="1">
        <v>90</v>
      </c>
      <c r="S1590" s="1">
        <v>2.5</v>
      </c>
      <c r="T1590" s="1" t="str">
        <f t="shared" si="207"/>
        <v>-text 420,131 2.5 90 266.987</v>
      </c>
    </row>
    <row r="1591" spans="1:20" x14ac:dyDescent="0.35">
      <c r="A1591" s="1">
        <v>282940</v>
      </c>
      <c r="B1591" s="7">
        <v>1172347.3</v>
      </c>
      <c r="C1591" s="2">
        <v>270.25799999999998</v>
      </c>
      <c r="D1591" s="2">
        <v>271.59800000000001</v>
      </c>
      <c r="E1591" s="2">
        <v>1.34</v>
      </c>
      <c r="F1591" s="2">
        <v>269.58600000000001</v>
      </c>
      <c r="G1591" s="2">
        <v>270.88499999999999</v>
      </c>
      <c r="H1591" s="2">
        <v>1.2989999999999999</v>
      </c>
      <c r="I1591" s="2">
        <v>267.64299999999997</v>
      </c>
      <c r="J1591" s="2">
        <v>267.13200000000001</v>
      </c>
      <c r="K1591" s="15">
        <v>3.7530000000000001</v>
      </c>
      <c r="L1591" s="2">
        <v>16.847000000000001</v>
      </c>
      <c r="N1591" s="7">
        <f t="shared" si="205"/>
        <v>440</v>
      </c>
      <c r="O1591" s="1">
        <f t="shared" si="206"/>
        <v>131</v>
      </c>
      <c r="P1591" s="1" t="str">
        <f t="shared" si="208"/>
        <v>440,131</v>
      </c>
      <c r="Q1591" s="6" t="s">
        <v>10</v>
      </c>
      <c r="R1591" s="1">
        <v>90</v>
      </c>
      <c r="S1591" s="1">
        <v>2.5</v>
      </c>
      <c r="T1591" s="1" t="str">
        <f t="shared" si="207"/>
        <v>-text 440,131 2.5 90 267.132</v>
      </c>
    </row>
    <row r="1592" spans="1:20" x14ac:dyDescent="0.35">
      <c r="A1592" s="1">
        <v>282960</v>
      </c>
      <c r="B1592" s="7">
        <v>1172367.3</v>
      </c>
      <c r="C1592" s="2">
        <v>270.27999999999997</v>
      </c>
      <c r="D1592" s="2">
        <v>271.61500000000001</v>
      </c>
      <c r="E1592" s="2">
        <v>1.335</v>
      </c>
      <c r="F1592" s="2">
        <v>269.608</v>
      </c>
      <c r="G1592" s="2">
        <v>270.90199999999999</v>
      </c>
      <c r="H1592" s="2">
        <v>1.294</v>
      </c>
      <c r="I1592" s="2">
        <v>267.72800000000001</v>
      </c>
      <c r="J1592" s="2">
        <v>267.07400000000001</v>
      </c>
      <c r="K1592" s="15">
        <v>3.827</v>
      </c>
      <c r="L1592" s="2">
        <v>17.03</v>
      </c>
      <c r="N1592" s="7">
        <f t="shared" si="205"/>
        <v>460</v>
      </c>
      <c r="O1592" s="1">
        <f t="shared" si="206"/>
        <v>131</v>
      </c>
      <c r="P1592" s="1" t="str">
        <f t="shared" si="208"/>
        <v>460,131</v>
      </c>
      <c r="Q1592" s="6" t="s">
        <v>10</v>
      </c>
      <c r="R1592" s="1">
        <v>90</v>
      </c>
      <c r="S1592" s="1">
        <v>2.5</v>
      </c>
      <c r="T1592" s="1" t="str">
        <f t="shared" si="207"/>
        <v>-text 460,131 2.5 90 267.074</v>
      </c>
    </row>
    <row r="1593" spans="1:20" x14ac:dyDescent="0.35">
      <c r="A1593" s="1">
        <v>282980</v>
      </c>
      <c r="B1593" s="7">
        <v>1172387.3</v>
      </c>
      <c r="C1593" s="2">
        <v>270.32400000000001</v>
      </c>
      <c r="D1593" s="2">
        <v>271.63200000000001</v>
      </c>
      <c r="E1593" s="2">
        <v>1.3080000000000001</v>
      </c>
      <c r="F1593" s="2">
        <v>269.65199999999999</v>
      </c>
      <c r="G1593" s="2">
        <v>270.91899999999998</v>
      </c>
      <c r="H1593" s="2">
        <v>1.2669999999999999</v>
      </c>
      <c r="I1593" s="2">
        <v>267.53100000000001</v>
      </c>
      <c r="J1593" s="2">
        <v>267.13400000000001</v>
      </c>
      <c r="K1593" s="15">
        <v>3.7850000000000001</v>
      </c>
      <c r="L1593" s="2">
        <v>17.273</v>
      </c>
      <c r="N1593" s="7">
        <f t="shared" si="205"/>
        <v>480</v>
      </c>
      <c r="O1593" s="1">
        <f t="shared" si="206"/>
        <v>131</v>
      </c>
      <c r="P1593" s="1" t="str">
        <f t="shared" si="208"/>
        <v>480,131</v>
      </c>
      <c r="Q1593" s="6" t="s">
        <v>10</v>
      </c>
      <c r="R1593" s="1">
        <v>90</v>
      </c>
      <c r="S1593" s="1">
        <v>2.5</v>
      </c>
      <c r="T1593" s="1" t="str">
        <f t="shared" si="207"/>
        <v>-text 480,131 2.5 90 267.134</v>
      </c>
    </row>
    <row r="1594" spans="1:20" x14ac:dyDescent="0.35">
      <c r="A1594" s="1">
        <v>283000</v>
      </c>
      <c r="B1594" s="7">
        <v>1172407.3</v>
      </c>
      <c r="C1594" s="2">
        <v>270.38200000000001</v>
      </c>
      <c r="D1594" s="2">
        <v>271.649</v>
      </c>
      <c r="E1594" s="2">
        <v>1.2669999999999999</v>
      </c>
      <c r="F1594" s="2">
        <v>269.70999999999998</v>
      </c>
      <c r="G1594" s="2">
        <v>270.93599999999998</v>
      </c>
      <c r="H1594" s="2">
        <v>1.226</v>
      </c>
      <c r="I1594" s="2">
        <v>267.73399999999998</v>
      </c>
      <c r="J1594" s="2">
        <v>267.08600000000001</v>
      </c>
      <c r="K1594" s="15">
        <v>3.85</v>
      </c>
      <c r="L1594" s="2">
        <v>17.54</v>
      </c>
      <c r="N1594" s="7">
        <f t="shared" si="205"/>
        <v>500</v>
      </c>
      <c r="O1594" s="1">
        <f t="shared" si="206"/>
        <v>131</v>
      </c>
      <c r="P1594" s="1" t="str">
        <f t="shared" si="208"/>
        <v>500,131</v>
      </c>
      <c r="Q1594" s="6" t="s">
        <v>10</v>
      </c>
      <c r="R1594" s="1">
        <v>90</v>
      </c>
      <c r="S1594" s="1">
        <v>2.5</v>
      </c>
      <c r="T1594" s="1" t="str">
        <f t="shared" si="207"/>
        <v>-text 500,131 2.5 90 267.086</v>
      </c>
    </row>
    <row r="1595" spans="1:20" s="10" customFormat="1" x14ac:dyDescent="0.35">
      <c r="B1595" s="11"/>
      <c r="C1595" s="9"/>
      <c r="D1595" s="9"/>
      <c r="E1595" s="9"/>
      <c r="F1595" s="9"/>
      <c r="G1595" s="9"/>
      <c r="H1595" s="9"/>
      <c r="I1595" s="9"/>
      <c r="J1595" s="9"/>
      <c r="K1595" s="16"/>
      <c r="L1595" s="9"/>
      <c r="M1595" s="9"/>
      <c r="N1595" s="11"/>
      <c r="Q1595" s="12"/>
    </row>
    <row r="1596" spans="1:20" x14ac:dyDescent="0.35">
      <c r="A1596" s="1">
        <v>283000</v>
      </c>
      <c r="B1596" s="7">
        <v>1172407.3</v>
      </c>
      <c r="C1596" s="2">
        <v>270.38200000000001</v>
      </c>
      <c r="D1596" s="2">
        <v>271.649</v>
      </c>
      <c r="E1596" s="2">
        <v>1.2669999999999999</v>
      </c>
      <c r="F1596" s="2">
        <v>269.70999999999998</v>
      </c>
      <c r="G1596" s="2">
        <v>270.93599999999998</v>
      </c>
      <c r="H1596" s="2">
        <v>1.226</v>
      </c>
      <c r="I1596" s="2">
        <v>267.73399999999998</v>
      </c>
      <c r="J1596" s="2">
        <v>267.08600000000001</v>
      </c>
      <c r="K1596" s="15">
        <v>3.85</v>
      </c>
      <c r="L1596" s="2">
        <v>17.54</v>
      </c>
      <c r="N1596" s="7">
        <v>0</v>
      </c>
      <c r="O1596" s="1">
        <f t="shared" si="206"/>
        <v>131</v>
      </c>
      <c r="P1596" s="1" t="str">
        <f t="shared" si="208"/>
        <v>0,131</v>
      </c>
      <c r="Q1596" s="6" t="s">
        <v>10</v>
      </c>
      <c r="R1596" s="1">
        <v>90</v>
      </c>
      <c r="S1596" s="1">
        <v>2.5</v>
      </c>
      <c r="T1596" s="1" t="str">
        <f t="shared" si="207"/>
        <v>-text 0,131 2.5 90 267.086</v>
      </c>
    </row>
    <row r="1597" spans="1:20" x14ac:dyDescent="0.35">
      <c r="A1597" s="1">
        <v>283020</v>
      </c>
      <c r="B1597" s="7">
        <v>1172427.3</v>
      </c>
      <c r="C1597" s="2">
        <v>270.36500000000001</v>
      </c>
      <c r="D1597" s="2">
        <v>271.654</v>
      </c>
      <c r="E1597" s="2">
        <v>1.2889999999999999</v>
      </c>
      <c r="F1597" s="2">
        <v>269.69299999999998</v>
      </c>
      <c r="G1597" s="2">
        <v>270.94099999999997</v>
      </c>
      <c r="H1597" s="2">
        <v>1.248</v>
      </c>
      <c r="I1597" s="2">
        <v>267.83999999999997</v>
      </c>
      <c r="J1597" s="2">
        <v>266.94799999999998</v>
      </c>
      <c r="K1597" s="15">
        <v>3.9929999999999999</v>
      </c>
      <c r="L1597" s="2">
        <v>17.815999999999999</v>
      </c>
      <c r="N1597" s="7">
        <f t="shared" ref="N1597:N1620" si="209">N1596+(B1597-B1596)</f>
        <v>20</v>
      </c>
      <c r="O1597" s="1">
        <f t="shared" si="206"/>
        <v>131</v>
      </c>
      <c r="P1597" s="1" t="str">
        <f t="shared" si="208"/>
        <v>20,131</v>
      </c>
      <c r="Q1597" s="6" t="s">
        <v>10</v>
      </c>
      <c r="R1597" s="1">
        <v>90</v>
      </c>
      <c r="S1597" s="1">
        <v>2.5</v>
      </c>
      <c r="T1597" s="1" t="str">
        <f t="shared" si="207"/>
        <v>-text 20,131 2.5 90 266.948</v>
      </c>
    </row>
    <row r="1598" spans="1:20" x14ac:dyDescent="0.35">
      <c r="A1598" s="1">
        <v>283040</v>
      </c>
      <c r="B1598" s="7">
        <v>1172447.3</v>
      </c>
      <c r="C1598" s="2">
        <v>270.346</v>
      </c>
      <c r="D1598" s="2">
        <v>271.654</v>
      </c>
      <c r="E1598" s="2">
        <v>1.3080000000000001</v>
      </c>
      <c r="F1598" s="2">
        <v>269.67399999999998</v>
      </c>
      <c r="G1598" s="2">
        <v>270.94099999999997</v>
      </c>
      <c r="H1598" s="2">
        <v>1.2669999999999999</v>
      </c>
      <c r="I1598" s="2">
        <v>267.88600000000002</v>
      </c>
      <c r="J1598" s="2">
        <v>266.935</v>
      </c>
      <c r="K1598" s="15">
        <v>4.0060000000000002</v>
      </c>
      <c r="L1598" s="2">
        <v>18.091000000000001</v>
      </c>
      <c r="N1598" s="7">
        <f t="shared" si="209"/>
        <v>40</v>
      </c>
      <c r="O1598" s="1">
        <f t="shared" si="206"/>
        <v>131</v>
      </c>
      <c r="P1598" s="1" t="str">
        <f t="shared" si="208"/>
        <v>40,131</v>
      </c>
      <c r="Q1598" s="6" t="s">
        <v>10</v>
      </c>
      <c r="R1598" s="1">
        <v>90</v>
      </c>
      <c r="S1598" s="1">
        <v>2.5</v>
      </c>
      <c r="T1598" s="1" t="str">
        <f t="shared" si="207"/>
        <v>-text 40,131 2.5 90 266.935</v>
      </c>
    </row>
    <row r="1599" spans="1:20" x14ac:dyDescent="0.35">
      <c r="A1599" s="1">
        <v>283060</v>
      </c>
      <c r="B1599" s="7">
        <v>1172467.3</v>
      </c>
      <c r="C1599" s="2">
        <v>270.35199999999998</v>
      </c>
      <c r="D1599" s="2">
        <v>271.654</v>
      </c>
      <c r="E1599" s="2">
        <v>1.302</v>
      </c>
      <c r="F1599" s="2">
        <v>269.68</v>
      </c>
      <c r="G1599" s="2">
        <v>270.94099999999997</v>
      </c>
      <c r="H1599" s="2">
        <v>1.2609999999999999</v>
      </c>
      <c r="I1599" s="2">
        <v>267.64</v>
      </c>
      <c r="J1599" s="2">
        <v>266.82400000000001</v>
      </c>
      <c r="K1599" s="15">
        <v>4.117</v>
      </c>
      <c r="L1599" s="2">
        <v>18.361000000000001</v>
      </c>
      <c r="N1599" s="7">
        <f t="shared" si="209"/>
        <v>60</v>
      </c>
      <c r="O1599" s="1">
        <f t="shared" si="206"/>
        <v>131</v>
      </c>
      <c r="P1599" s="1" t="str">
        <f t="shared" si="208"/>
        <v>60,131</v>
      </c>
      <c r="Q1599" s="6" t="s">
        <v>10</v>
      </c>
      <c r="R1599" s="1">
        <v>90</v>
      </c>
      <c r="S1599" s="1">
        <v>2.5</v>
      </c>
      <c r="T1599" s="1" t="str">
        <f t="shared" si="207"/>
        <v>-text 60,131 2.5 90 266.824</v>
      </c>
    </row>
    <row r="1600" spans="1:20" x14ac:dyDescent="0.35">
      <c r="A1600" s="1">
        <v>283080</v>
      </c>
      <c r="B1600" s="7">
        <v>1172487.3</v>
      </c>
      <c r="C1600" s="2">
        <v>270.35700000000003</v>
      </c>
      <c r="D1600" s="2">
        <v>271.654</v>
      </c>
      <c r="E1600" s="2">
        <v>1.2969999999999999</v>
      </c>
      <c r="F1600" s="2">
        <v>269.685</v>
      </c>
      <c r="G1600" s="2">
        <v>270.94099999999997</v>
      </c>
      <c r="H1600" s="2">
        <v>1.256</v>
      </c>
      <c r="I1600" s="2">
        <v>267.91800000000001</v>
      </c>
      <c r="J1600" s="2">
        <v>266.71899999999999</v>
      </c>
      <c r="K1600" s="15">
        <v>4.2220000000000004</v>
      </c>
      <c r="L1600" s="2">
        <v>18.62</v>
      </c>
      <c r="N1600" s="7">
        <f t="shared" si="209"/>
        <v>80</v>
      </c>
      <c r="O1600" s="1">
        <f t="shared" si="206"/>
        <v>131</v>
      </c>
      <c r="P1600" s="1" t="str">
        <f t="shared" si="208"/>
        <v>80,131</v>
      </c>
      <c r="Q1600" s="6" t="s">
        <v>10</v>
      </c>
      <c r="R1600" s="1">
        <v>90</v>
      </c>
      <c r="S1600" s="1">
        <v>2.5</v>
      </c>
      <c r="T1600" s="1" t="str">
        <f t="shared" si="207"/>
        <v>-text 80,131 2.5 90 266.719</v>
      </c>
    </row>
    <row r="1601" spans="1:20" x14ac:dyDescent="0.35">
      <c r="A1601" s="1">
        <v>283100</v>
      </c>
      <c r="B1601" s="7">
        <v>1172507.3</v>
      </c>
      <c r="C1601" s="2">
        <v>270.36200000000002</v>
      </c>
      <c r="D1601" s="2">
        <v>271.654</v>
      </c>
      <c r="E1601" s="2">
        <v>1.292</v>
      </c>
      <c r="F1601" s="2">
        <v>269.69</v>
      </c>
      <c r="G1601" s="2">
        <v>270.94099999999997</v>
      </c>
      <c r="H1601" s="2">
        <v>1.2509999999999999</v>
      </c>
      <c r="I1601" s="2">
        <v>268.14999999999998</v>
      </c>
      <c r="J1601" s="2">
        <v>268.839</v>
      </c>
      <c r="K1601" s="15">
        <v>2.1019999999999999</v>
      </c>
      <c r="L1601" s="2">
        <v>18.870999999999999</v>
      </c>
      <c r="N1601" s="7">
        <f t="shared" si="209"/>
        <v>100</v>
      </c>
      <c r="O1601" s="1">
        <f t="shared" si="206"/>
        <v>131</v>
      </c>
      <c r="P1601" s="1" t="str">
        <f t="shared" si="208"/>
        <v>100,131</v>
      </c>
      <c r="Q1601" s="6" t="s">
        <v>10</v>
      </c>
      <c r="R1601" s="1">
        <v>90</v>
      </c>
      <c r="S1601" s="1">
        <v>2.5</v>
      </c>
      <c r="T1601" s="1" t="str">
        <f t="shared" si="207"/>
        <v>-text 100,131 2.5 90 268.839</v>
      </c>
    </row>
    <row r="1602" spans="1:20" x14ac:dyDescent="0.35">
      <c r="A1602" s="1">
        <v>283120</v>
      </c>
      <c r="B1602" s="7">
        <v>1172527.3</v>
      </c>
      <c r="C1602" s="2">
        <v>270.38799999999998</v>
      </c>
      <c r="D1602" s="2">
        <v>271.654</v>
      </c>
      <c r="E1602" s="2">
        <v>1.266</v>
      </c>
      <c r="F1602" s="2">
        <v>269.71600000000001</v>
      </c>
      <c r="G1602" s="2">
        <v>270.94099999999997</v>
      </c>
      <c r="H1602" s="2">
        <v>1.2250000000000001</v>
      </c>
      <c r="I1602" s="2">
        <v>268.21199999999999</v>
      </c>
      <c r="J1602" s="2">
        <v>269.23899999999998</v>
      </c>
      <c r="K1602" s="15">
        <v>1.702</v>
      </c>
      <c r="L1602" s="2">
        <v>19.13</v>
      </c>
      <c r="N1602" s="7">
        <f t="shared" si="209"/>
        <v>120</v>
      </c>
      <c r="O1602" s="1">
        <f t="shared" si="206"/>
        <v>131</v>
      </c>
      <c r="P1602" s="1" t="str">
        <f t="shared" si="208"/>
        <v>120,131</v>
      </c>
      <c r="Q1602" s="6" t="s">
        <v>10</v>
      </c>
      <c r="R1602" s="1">
        <v>90</v>
      </c>
      <c r="S1602" s="1">
        <v>2.5</v>
      </c>
      <c r="T1602" s="1" t="str">
        <f t="shared" si="207"/>
        <v>-text 120,131 2.5 90 269.239</v>
      </c>
    </row>
    <row r="1603" spans="1:20" x14ac:dyDescent="0.35">
      <c r="A1603" s="1">
        <v>283140</v>
      </c>
      <c r="B1603" s="7">
        <v>1172547.3</v>
      </c>
      <c r="C1603" s="2">
        <v>270.416</v>
      </c>
      <c r="D1603" s="2">
        <v>271.654</v>
      </c>
      <c r="E1603" s="2">
        <v>1.238</v>
      </c>
      <c r="F1603" s="2">
        <v>269.74400000000003</v>
      </c>
      <c r="G1603" s="2">
        <v>270.94099999999997</v>
      </c>
      <c r="H1603" s="2">
        <v>1.1970000000000001</v>
      </c>
      <c r="I1603" s="2">
        <v>268.59699999999998</v>
      </c>
      <c r="J1603" s="2">
        <v>268.10500000000002</v>
      </c>
      <c r="K1603" s="15">
        <v>2.8359999999999999</v>
      </c>
      <c r="L1603" s="2">
        <v>19.390999999999998</v>
      </c>
      <c r="N1603" s="7">
        <f t="shared" si="209"/>
        <v>140</v>
      </c>
      <c r="O1603" s="1">
        <f t="shared" si="206"/>
        <v>131</v>
      </c>
      <c r="P1603" s="1" t="str">
        <f t="shared" si="208"/>
        <v>140,131</v>
      </c>
      <c r="Q1603" s="6" t="s">
        <v>10</v>
      </c>
      <c r="R1603" s="1">
        <v>90</v>
      </c>
      <c r="S1603" s="1">
        <v>2.5</v>
      </c>
      <c r="T1603" s="1" t="str">
        <f t="shared" si="207"/>
        <v>-text 140,131 2.5 90 268.105</v>
      </c>
    </row>
    <row r="1604" spans="1:20" x14ac:dyDescent="0.35">
      <c r="A1604" s="1">
        <v>283160</v>
      </c>
      <c r="B1604" s="7">
        <v>1172567.3</v>
      </c>
      <c r="C1604" s="2">
        <v>270.43</v>
      </c>
      <c r="D1604" s="2">
        <v>271.654</v>
      </c>
      <c r="E1604" s="2">
        <v>1.224</v>
      </c>
      <c r="F1604" s="2">
        <v>269.75799999999998</v>
      </c>
      <c r="G1604" s="2">
        <v>270.94099999999997</v>
      </c>
      <c r="H1604" s="2">
        <v>1.1830000000000001</v>
      </c>
      <c r="I1604" s="2">
        <v>268.642</v>
      </c>
      <c r="J1604" s="2">
        <v>269.22399999999999</v>
      </c>
      <c r="K1604" s="15">
        <v>1.7170000000000001</v>
      </c>
      <c r="L1604" s="2">
        <v>19.654</v>
      </c>
      <c r="N1604" s="7">
        <f t="shared" si="209"/>
        <v>160</v>
      </c>
      <c r="O1604" s="1">
        <f t="shared" si="206"/>
        <v>131</v>
      </c>
      <c r="P1604" s="1" t="str">
        <f t="shared" si="208"/>
        <v>160,131</v>
      </c>
      <c r="Q1604" s="6" t="s">
        <v>10</v>
      </c>
      <c r="R1604" s="1">
        <v>90</v>
      </c>
      <c r="S1604" s="1">
        <v>2.5</v>
      </c>
      <c r="T1604" s="1" t="str">
        <f t="shared" si="207"/>
        <v>-text 160,131 2.5 90 269.224</v>
      </c>
    </row>
    <row r="1605" spans="1:20" x14ac:dyDescent="0.35">
      <c r="A1605" s="1">
        <v>283180</v>
      </c>
      <c r="B1605" s="7">
        <v>1172587.3</v>
      </c>
      <c r="C1605" s="2">
        <v>270.43700000000001</v>
      </c>
      <c r="D1605" s="2">
        <v>271.654</v>
      </c>
      <c r="E1605" s="2">
        <v>1.2170000000000001</v>
      </c>
      <c r="F1605" s="2">
        <v>269.76499999999999</v>
      </c>
      <c r="G1605" s="2">
        <v>270.94099999999997</v>
      </c>
      <c r="H1605" s="2">
        <v>1.1759999999999999</v>
      </c>
      <c r="I1605" s="2">
        <v>268.39</v>
      </c>
      <c r="J1605" s="2">
        <v>267.99099999999999</v>
      </c>
      <c r="K1605" s="15">
        <v>2.95</v>
      </c>
      <c r="L1605" s="2">
        <v>19.899999999999999</v>
      </c>
      <c r="N1605" s="7">
        <f t="shared" si="209"/>
        <v>180</v>
      </c>
      <c r="O1605" s="1">
        <f t="shared" si="206"/>
        <v>131</v>
      </c>
      <c r="P1605" s="1" t="str">
        <f t="shared" si="208"/>
        <v>180,131</v>
      </c>
      <c r="Q1605" s="6" t="s">
        <v>10</v>
      </c>
      <c r="R1605" s="1">
        <v>90</v>
      </c>
      <c r="S1605" s="1">
        <v>2.5</v>
      </c>
      <c r="T1605" s="1" t="str">
        <f t="shared" si="207"/>
        <v>-text 180,131 2.5 90 267.991</v>
      </c>
    </row>
    <row r="1606" spans="1:20" x14ac:dyDescent="0.35">
      <c r="A1606" s="1">
        <v>283200</v>
      </c>
      <c r="B1606" s="7">
        <v>1172607.3</v>
      </c>
      <c r="C1606" s="2">
        <v>270.43700000000001</v>
      </c>
      <c r="D1606" s="2">
        <v>271.654</v>
      </c>
      <c r="E1606" s="2">
        <v>1.2170000000000001</v>
      </c>
      <c r="F1606" s="2">
        <v>269.76499999999999</v>
      </c>
      <c r="G1606" s="2">
        <v>270.94099999999997</v>
      </c>
      <c r="H1606" s="2">
        <v>1.1759999999999999</v>
      </c>
      <c r="I1606" s="2">
        <v>268.291</v>
      </c>
      <c r="J1606" s="2">
        <v>267.85199999999998</v>
      </c>
      <c r="K1606" s="15">
        <v>3.089</v>
      </c>
      <c r="L1606" s="2">
        <v>20.100000000000001</v>
      </c>
      <c r="N1606" s="7">
        <f t="shared" si="209"/>
        <v>200</v>
      </c>
      <c r="O1606" s="1">
        <f t="shared" si="206"/>
        <v>131</v>
      </c>
      <c r="P1606" s="1" t="str">
        <f t="shared" si="208"/>
        <v>200,131</v>
      </c>
      <c r="Q1606" s="6" t="s">
        <v>10</v>
      </c>
      <c r="R1606" s="1">
        <v>90</v>
      </c>
      <c r="S1606" s="1">
        <v>2.5</v>
      </c>
      <c r="T1606" s="1" t="str">
        <f t="shared" si="207"/>
        <v>-text 200,131 2.5 90 267.852</v>
      </c>
    </row>
    <row r="1607" spans="1:20" x14ac:dyDescent="0.35">
      <c r="A1607" s="1">
        <v>283220</v>
      </c>
      <c r="B1607" s="7">
        <v>1172627.3</v>
      </c>
      <c r="C1607" s="2">
        <v>270.42899999999997</v>
      </c>
      <c r="D1607" s="2">
        <v>271.654</v>
      </c>
      <c r="E1607" s="2">
        <v>1.2250000000000001</v>
      </c>
      <c r="F1607" s="2">
        <v>269.75700000000001</v>
      </c>
      <c r="G1607" s="2">
        <v>270.94099999999997</v>
      </c>
      <c r="H1607" s="2">
        <v>1.1839999999999999</v>
      </c>
      <c r="I1607" s="2">
        <v>268.22699999999998</v>
      </c>
      <c r="J1607" s="2">
        <v>267.983</v>
      </c>
      <c r="K1607" s="15">
        <v>2.9580000000000002</v>
      </c>
      <c r="L1607" s="2">
        <v>20.239999999999998</v>
      </c>
      <c r="N1607" s="7">
        <f t="shared" si="209"/>
        <v>220</v>
      </c>
      <c r="O1607" s="1">
        <f t="shared" si="206"/>
        <v>131</v>
      </c>
      <c r="P1607" s="1" t="str">
        <f t="shared" si="208"/>
        <v>220,131</v>
      </c>
      <c r="Q1607" s="6" t="s">
        <v>10</v>
      </c>
      <c r="R1607" s="1">
        <v>90</v>
      </c>
      <c r="S1607" s="1">
        <v>2.5</v>
      </c>
      <c r="T1607" s="1" t="str">
        <f t="shared" si="207"/>
        <v>-text 220,131 2.5 90 267.983</v>
      </c>
    </row>
    <row r="1608" spans="1:20" x14ac:dyDescent="0.35">
      <c r="A1608" s="1">
        <v>283240</v>
      </c>
      <c r="B1608" s="7">
        <v>1172647.3</v>
      </c>
      <c r="C1608" s="2">
        <v>270.43700000000001</v>
      </c>
      <c r="D1608" s="2">
        <v>271.654</v>
      </c>
      <c r="E1608" s="2">
        <v>1.2170000000000001</v>
      </c>
      <c r="F1608" s="2">
        <v>269.76499999999999</v>
      </c>
      <c r="G1608" s="2">
        <v>270.94099999999997</v>
      </c>
      <c r="H1608" s="2">
        <v>1.1759999999999999</v>
      </c>
      <c r="I1608" s="2">
        <v>268.25400000000002</v>
      </c>
      <c r="J1608" s="2">
        <v>268.31200000000001</v>
      </c>
      <c r="K1608" s="15">
        <v>2.629</v>
      </c>
      <c r="L1608" s="2">
        <v>20.3</v>
      </c>
      <c r="N1608" s="7">
        <f t="shared" si="209"/>
        <v>240</v>
      </c>
      <c r="O1608" s="1">
        <f t="shared" si="206"/>
        <v>131</v>
      </c>
      <c r="P1608" s="1" t="str">
        <f t="shared" si="208"/>
        <v>240,131</v>
      </c>
      <c r="Q1608" s="6" t="s">
        <v>10</v>
      </c>
      <c r="R1608" s="1">
        <v>90</v>
      </c>
      <c r="S1608" s="1">
        <v>2.5</v>
      </c>
      <c r="T1608" s="1" t="str">
        <f t="shared" si="207"/>
        <v>-text 240,131 2.5 90 268.312</v>
      </c>
    </row>
    <row r="1609" spans="1:20" x14ac:dyDescent="0.35">
      <c r="A1609" s="1">
        <v>283260</v>
      </c>
      <c r="B1609" s="7">
        <v>1172667.3</v>
      </c>
      <c r="C1609" s="2">
        <v>270.49599999999998</v>
      </c>
      <c r="D1609" s="2">
        <v>271.654</v>
      </c>
      <c r="E1609" s="2">
        <v>1.1579999999999999</v>
      </c>
      <c r="F1609" s="2">
        <v>269.82400000000001</v>
      </c>
      <c r="G1609" s="2">
        <v>270.94099999999997</v>
      </c>
      <c r="H1609" s="2">
        <v>1.117</v>
      </c>
      <c r="I1609" s="2">
        <v>268.92700000000002</v>
      </c>
      <c r="J1609" s="2">
        <v>268.774</v>
      </c>
      <c r="K1609" s="15">
        <v>2.1669999999999998</v>
      </c>
      <c r="L1609" s="2">
        <v>20.291</v>
      </c>
      <c r="N1609" s="7">
        <f t="shared" si="209"/>
        <v>260</v>
      </c>
      <c r="O1609" s="1">
        <f t="shared" si="206"/>
        <v>131</v>
      </c>
      <c r="P1609" s="1" t="str">
        <f t="shared" si="208"/>
        <v>260,131</v>
      </c>
      <c r="Q1609" s="6" t="s">
        <v>10</v>
      </c>
      <c r="R1609" s="1">
        <v>90</v>
      </c>
      <c r="S1609" s="1">
        <v>2.5</v>
      </c>
      <c r="T1609" s="1" t="str">
        <f t="shared" si="207"/>
        <v>-text 260,131 2.5 90 268.774</v>
      </c>
    </row>
    <row r="1610" spans="1:20" x14ac:dyDescent="0.35">
      <c r="A1610" s="1">
        <v>283280</v>
      </c>
      <c r="B1610" s="7">
        <v>1172687.3</v>
      </c>
      <c r="C1610" s="2">
        <v>270.54700000000003</v>
      </c>
      <c r="D1610" s="2">
        <v>271.654</v>
      </c>
      <c r="E1610" s="2">
        <v>1.107</v>
      </c>
      <c r="F1610" s="2">
        <v>269.875</v>
      </c>
      <c r="G1610" s="2">
        <v>270.94099999999997</v>
      </c>
      <c r="H1610" s="2">
        <v>1.0660000000000001</v>
      </c>
      <c r="I1610" s="2">
        <v>271.58100000000002</v>
      </c>
      <c r="J1610" s="2">
        <v>272.005</v>
      </c>
      <c r="K1610" s="15">
        <v>-1.0640000000000001</v>
      </c>
      <c r="L1610" s="2">
        <v>20.263999999999999</v>
      </c>
      <c r="N1610" s="7">
        <f t="shared" si="209"/>
        <v>280</v>
      </c>
      <c r="O1610" s="1">
        <f t="shared" si="206"/>
        <v>131</v>
      </c>
      <c r="P1610" s="1" t="str">
        <f t="shared" si="208"/>
        <v>280,131</v>
      </c>
      <c r="Q1610" s="6" t="s">
        <v>10</v>
      </c>
      <c r="R1610" s="1">
        <v>90</v>
      </c>
      <c r="S1610" s="1">
        <v>2.5</v>
      </c>
      <c r="T1610" s="1" t="str">
        <f t="shared" si="207"/>
        <v>-text 280,131 2.5 90 272.005</v>
      </c>
    </row>
    <row r="1611" spans="1:20" x14ac:dyDescent="0.35">
      <c r="A1611" s="1">
        <v>283300</v>
      </c>
      <c r="B1611" s="7">
        <v>1172707.3</v>
      </c>
      <c r="C1611" s="2">
        <v>270.59300000000002</v>
      </c>
      <c r="D1611" s="2">
        <v>271.654</v>
      </c>
      <c r="E1611" s="2">
        <v>1.0609999999999999</v>
      </c>
      <c r="F1611" s="2">
        <v>269.92099999999999</v>
      </c>
      <c r="G1611" s="2">
        <v>270.94099999999997</v>
      </c>
      <c r="H1611" s="2">
        <v>1.02</v>
      </c>
      <c r="I1611" s="2">
        <v>271.59399999999999</v>
      </c>
      <c r="J1611" s="2">
        <v>272.43200000000002</v>
      </c>
      <c r="K1611" s="15">
        <v>-1.4910000000000001</v>
      </c>
      <c r="L1611" s="2">
        <v>20.234999999999999</v>
      </c>
      <c r="N1611" s="7">
        <f t="shared" si="209"/>
        <v>300</v>
      </c>
      <c r="O1611" s="1">
        <f t="shared" si="206"/>
        <v>131</v>
      </c>
      <c r="P1611" s="1" t="str">
        <f t="shared" si="208"/>
        <v>300,131</v>
      </c>
      <c r="Q1611" s="6" t="s">
        <v>10</v>
      </c>
      <c r="R1611" s="1">
        <v>90</v>
      </c>
      <c r="S1611" s="1">
        <v>2.5</v>
      </c>
      <c r="T1611" s="1" t="str">
        <f t="shared" si="207"/>
        <v>-text 300,131 2.5 90 272.432</v>
      </c>
    </row>
    <row r="1612" spans="1:20" x14ac:dyDescent="0.35">
      <c r="A1612" s="1">
        <v>283320</v>
      </c>
      <c r="B1612" s="7">
        <v>1172727.3</v>
      </c>
      <c r="C1612" s="2">
        <v>270.637</v>
      </c>
      <c r="D1612" s="2">
        <v>271.654</v>
      </c>
      <c r="E1612" s="2">
        <v>1.0169999999999999</v>
      </c>
      <c r="F1612" s="2">
        <v>269.96499999999997</v>
      </c>
      <c r="G1612" s="2">
        <v>270.94099999999997</v>
      </c>
      <c r="H1612" s="2">
        <v>0.97599999999999998</v>
      </c>
      <c r="I1612" s="2">
        <v>271.66300000000001</v>
      </c>
      <c r="J1612" s="2">
        <v>273.78199999999998</v>
      </c>
      <c r="K1612" s="15">
        <v>-2.8410000000000002</v>
      </c>
      <c r="L1612" s="2">
        <v>20.213000000000001</v>
      </c>
      <c r="N1612" s="7">
        <f t="shared" si="209"/>
        <v>320</v>
      </c>
      <c r="O1612" s="1">
        <f t="shared" si="206"/>
        <v>131</v>
      </c>
      <c r="P1612" s="1" t="str">
        <f t="shared" si="208"/>
        <v>320,131</v>
      </c>
      <c r="Q1612" s="6" t="s">
        <v>10</v>
      </c>
      <c r="R1612" s="1">
        <v>90</v>
      </c>
      <c r="S1612" s="1">
        <v>2.5</v>
      </c>
      <c r="T1612" s="1" t="str">
        <f t="shared" si="207"/>
        <v>-text 320,131 2.5 90 273.782</v>
      </c>
    </row>
    <row r="1613" spans="1:20" x14ac:dyDescent="0.35">
      <c r="A1613" s="1">
        <v>283340</v>
      </c>
      <c r="B1613" s="7">
        <v>1172747.3</v>
      </c>
      <c r="C1613" s="2">
        <v>270.67399999999998</v>
      </c>
      <c r="D1613" s="2">
        <v>271.654</v>
      </c>
      <c r="E1613" s="2">
        <v>0.98</v>
      </c>
      <c r="F1613" s="2">
        <v>270.00200000000001</v>
      </c>
      <c r="G1613" s="2">
        <v>270.94099999999997</v>
      </c>
      <c r="H1613" s="2">
        <v>0.93899999999999995</v>
      </c>
      <c r="I1613" s="2">
        <v>267.64100000000002</v>
      </c>
      <c r="J1613" s="2">
        <v>267.15300000000002</v>
      </c>
      <c r="K1613" s="15">
        <v>3.7879999999999998</v>
      </c>
      <c r="L1613" s="2">
        <v>20.2</v>
      </c>
      <c r="N1613" s="7">
        <f t="shared" si="209"/>
        <v>340</v>
      </c>
      <c r="O1613" s="1">
        <f t="shared" si="206"/>
        <v>131</v>
      </c>
      <c r="P1613" s="1" t="str">
        <f t="shared" si="208"/>
        <v>340,131</v>
      </c>
      <c r="Q1613" s="6" t="s">
        <v>10</v>
      </c>
      <c r="R1613" s="1">
        <v>90</v>
      </c>
      <c r="S1613" s="1">
        <v>2.5</v>
      </c>
      <c r="T1613" s="1" t="str">
        <f t="shared" si="207"/>
        <v>-text 340,131 2.5 90 267.153</v>
      </c>
    </row>
    <row r="1614" spans="1:20" x14ac:dyDescent="0.35">
      <c r="A1614" s="1">
        <v>283360</v>
      </c>
      <c r="B1614" s="7">
        <v>1172767.3</v>
      </c>
      <c r="C1614" s="2">
        <v>270.69799999999998</v>
      </c>
      <c r="D1614" s="2">
        <v>271.654</v>
      </c>
      <c r="E1614" s="2">
        <v>0.95599999999999996</v>
      </c>
      <c r="F1614" s="2">
        <v>270.02600000000001</v>
      </c>
      <c r="G1614" s="2">
        <v>270.94099999999997</v>
      </c>
      <c r="H1614" s="2">
        <v>0.91500000000000004</v>
      </c>
      <c r="I1614" s="2">
        <v>262.14800000000002</v>
      </c>
      <c r="J1614" s="2">
        <v>262.04000000000002</v>
      </c>
      <c r="K1614" s="15">
        <v>8.9009999999999998</v>
      </c>
      <c r="L1614" s="2">
        <v>20.206</v>
      </c>
      <c r="N1614" s="7">
        <f t="shared" si="209"/>
        <v>360</v>
      </c>
      <c r="O1614" s="1">
        <f t="shared" si="206"/>
        <v>131</v>
      </c>
      <c r="P1614" s="1" t="str">
        <f t="shared" si="208"/>
        <v>360,131</v>
      </c>
      <c r="Q1614" s="6" t="s">
        <v>10</v>
      </c>
      <c r="R1614" s="1">
        <v>90</v>
      </c>
      <c r="S1614" s="1">
        <v>2.5</v>
      </c>
      <c r="T1614" s="1" t="str">
        <f t="shared" si="207"/>
        <v>-text 360,131 2.5 90 262.04</v>
      </c>
    </row>
    <row r="1615" spans="1:20" x14ac:dyDescent="0.35">
      <c r="A1615" s="1">
        <v>283380</v>
      </c>
      <c r="B1615" s="7">
        <v>1172787.3</v>
      </c>
      <c r="C1615" s="2">
        <v>270.709</v>
      </c>
      <c r="D1615" s="2">
        <v>271.654</v>
      </c>
      <c r="E1615" s="2">
        <v>0.94499999999999995</v>
      </c>
      <c r="F1615" s="2">
        <v>270.03699999999998</v>
      </c>
      <c r="G1615" s="2">
        <v>270.94099999999997</v>
      </c>
      <c r="H1615" s="2">
        <v>0.90400000000000003</v>
      </c>
      <c r="I1615" s="2">
        <v>259.10899999999998</v>
      </c>
      <c r="J1615" s="2">
        <v>259.15699999999998</v>
      </c>
      <c r="K1615" s="15">
        <v>11.784000000000001</v>
      </c>
      <c r="L1615" s="2">
        <v>20.201000000000001</v>
      </c>
      <c r="N1615" s="7">
        <f t="shared" si="209"/>
        <v>380</v>
      </c>
      <c r="O1615" s="1">
        <f t="shared" si="206"/>
        <v>131</v>
      </c>
      <c r="P1615" s="1" t="str">
        <f t="shared" si="208"/>
        <v>380,131</v>
      </c>
      <c r="Q1615" s="6" t="s">
        <v>10</v>
      </c>
      <c r="R1615" s="1">
        <v>90</v>
      </c>
      <c r="S1615" s="1">
        <v>2.5</v>
      </c>
      <c r="T1615" s="1" t="str">
        <f t="shared" si="207"/>
        <v>-text 380,131 2.5 90 259.157</v>
      </c>
    </row>
    <row r="1616" spans="1:20" x14ac:dyDescent="0.35">
      <c r="A1616" s="1">
        <v>283400</v>
      </c>
      <c r="B1616" s="7">
        <v>1172807.3</v>
      </c>
      <c r="C1616" s="2">
        <v>270.70499999999998</v>
      </c>
      <c r="D1616" s="2">
        <v>271.654</v>
      </c>
      <c r="E1616" s="2">
        <v>0.94899999999999995</v>
      </c>
      <c r="F1616" s="2">
        <v>270.03300000000002</v>
      </c>
      <c r="G1616" s="2">
        <v>270.94099999999997</v>
      </c>
      <c r="H1616" s="2">
        <v>0.90800000000000003</v>
      </c>
      <c r="I1616" s="2">
        <v>262.58499999999998</v>
      </c>
      <c r="J1616" s="2">
        <v>262.49700000000001</v>
      </c>
      <c r="K1616" s="15">
        <v>8.4440000000000008</v>
      </c>
      <c r="L1616" s="2">
        <v>20.184000000000001</v>
      </c>
      <c r="N1616" s="7">
        <f t="shared" si="209"/>
        <v>400</v>
      </c>
      <c r="O1616" s="1">
        <f t="shared" si="206"/>
        <v>131</v>
      </c>
      <c r="P1616" s="1" t="str">
        <f t="shared" si="208"/>
        <v>400,131</v>
      </c>
      <c r="Q1616" s="6" t="s">
        <v>10</v>
      </c>
      <c r="R1616" s="1">
        <v>90</v>
      </c>
      <c r="S1616" s="1">
        <v>2.5</v>
      </c>
      <c r="T1616" s="1" t="str">
        <f t="shared" si="207"/>
        <v>-text 400,131 2.5 90 262.497</v>
      </c>
    </row>
    <row r="1617" spans="1:20" x14ac:dyDescent="0.35">
      <c r="A1617" s="1">
        <v>283420</v>
      </c>
      <c r="B1617" s="7">
        <v>1172827.3</v>
      </c>
      <c r="C1617" s="2">
        <v>270.65300000000002</v>
      </c>
      <c r="D1617" s="2">
        <v>271.654</v>
      </c>
      <c r="E1617" s="2">
        <v>1.0009999999999999</v>
      </c>
      <c r="F1617" s="2">
        <v>269.98099999999999</v>
      </c>
      <c r="G1617" s="2">
        <v>270.94099999999997</v>
      </c>
      <c r="H1617" s="2">
        <v>0.96</v>
      </c>
      <c r="I1617" s="2">
        <v>266.911</v>
      </c>
      <c r="J1617" s="2">
        <v>267.19</v>
      </c>
      <c r="K1617" s="15">
        <v>3.7509999999999999</v>
      </c>
      <c r="L1617" s="2">
        <v>20.175999999999998</v>
      </c>
      <c r="N1617" s="7">
        <f t="shared" si="209"/>
        <v>420</v>
      </c>
      <c r="O1617" s="1">
        <f t="shared" si="206"/>
        <v>131</v>
      </c>
      <c r="P1617" s="1" t="str">
        <f t="shared" si="208"/>
        <v>420,131</v>
      </c>
      <c r="Q1617" s="6" t="s">
        <v>10</v>
      </c>
      <c r="R1617" s="1">
        <v>90</v>
      </c>
      <c r="S1617" s="1">
        <v>2.5</v>
      </c>
      <c r="T1617" s="1" t="str">
        <f t="shared" si="207"/>
        <v>-text 420,131 2.5 90 267.19</v>
      </c>
    </row>
    <row r="1618" spans="1:20" x14ac:dyDescent="0.35">
      <c r="A1618" s="1">
        <v>283440</v>
      </c>
      <c r="B1618" s="7">
        <v>1172847.3</v>
      </c>
      <c r="C1618" s="2">
        <v>270.57299999999998</v>
      </c>
      <c r="D1618" s="2">
        <v>271.654</v>
      </c>
      <c r="E1618" s="2">
        <v>1.081</v>
      </c>
      <c r="F1618" s="2">
        <v>269.90100000000001</v>
      </c>
      <c r="G1618" s="2">
        <v>270.94099999999997</v>
      </c>
      <c r="H1618" s="2">
        <v>1.04</v>
      </c>
      <c r="I1618" s="2">
        <v>269.00299999999999</v>
      </c>
      <c r="J1618" s="2">
        <v>270.48200000000003</v>
      </c>
      <c r="K1618" s="15">
        <v>0.45900000000000002</v>
      </c>
      <c r="L1618" s="2">
        <v>20.152000000000001</v>
      </c>
      <c r="N1618" s="7">
        <f t="shared" si="209"/>
        <v>440</v>
      </c>
      <c r="O1618" s="1">
        <f t="shared" si="206"/>
        <v>131</v>
      </c>
      <c r="P1618" s="1" t="str">
        <f t="shared" si="208"/>
        <v>440,131</v>
      </c>
      <c r="Q1618" s="6" t="s">
        <v>10</v>
      </c>
      <c r="R1618" s="1">
        <v>90</v>
      </c>
      <c r="S1618" s="1">
        <v>2.5</v>
      </c>
      <c r="T1618" s="1" t="str">
        <f t="shared" si="207"/>
        <v>-text 440,131 2.5 90 270.482</v>
      </c>
    </row>
    <row r="1619" spans="1:20" x14ac:dyDescent="0.35">
      <c r="A1619" s="1">
        <v>283460</v>
      </c>
      <c r="B1619" s="7">
        <v>1172867.3</v>
      </c>
      <c r="C1619" s="2">
        <v>270.49200000000002</v>
      </c>
      <c r="D1619" s="2">
        <v>271.654</v>
      </c>
      <c r="E1619" s="2">
        <v>1.1619999999999999</v>
      </c>
      <c r="F1619" s="2">
        <v>269.82</v>
      </c>
      <c r="G1619" s="2">
        <v>270.94099999999997</v>
      </c>
      <c r="H1619" s="2">
        <v>1.121</v>
      </c>
      <c r="I1619" s="2">
        <v>268.95400000000001</v>
      </c>
      <c r="J1619" s="2">
        <v>269.863</v>
      </c>
      <c r="K1619" s="15">
        <v>1.0780000000000001</v>
      </c>
      <c r="L1619" s="2">
        <v>20.140999999999998</v>
      </c>
      <c r="N1619" s="7">
        <f t="shared" si="209"/>
        <v>460</v>
      </c>
      <c r="O1619" s="1">
        <f t="shared" si="206"/>
        <v>131</v>
      </c>
      <c r="P1619" s="1" t="str">
        <f t="shared" si="208"/>
        <v>460,131</v>
      </c>
      <c r="Q1619" s="6" t="s">
        <v>10</v>
      </c>
      <c r="R1619" s="1">
        <v>90</v>
      </c>
      <c r="S1619" s="1">
        <v>2.5</v>
      </c>
      <c r="T1619" s="1" t="str">
        <f t="shared" si="207"/>
        <v>-text 460,131 2.5 90 269.863</v>
      </c>
    </row>
    <row r="1620" spans="1:20" x14ac:dyDescent="0.35">
      <c r="A1620" s="1">
        <v>283480</v>
      </c>
      <c r="B1620" s="7">
        <v>1172887.3</v>
      </c>
      <c r="C1620" s="2">
        <v>270.411</v>
      </c>
      <c r="D1620" s="2">
        <v>271.654</v>
      </c>
      <c r="E1620" s="2">
        <v>1.2430000000000001</v>
      </c>
      <c r="F1620" s="2">
        <v>269.73899999999998</v>
      </c>
      <c r="G1620" s="2">
        <v>270.94099999999997</v>
      </c>
      <c r="H1620" s="2">
        <v>1.202</v>
      </c>
      <c r="I1620" s="2">
        <v>268.82299999999998</v>
      </c>
      <c r="J1620" s="2">
        <v>269.322</v>
      </c>
      <c r="K1620" s="15">
        <v>1.619</v>
      </c>
      <c r="L1620" s="2">
        <v>20.134</v>
      </c>
      <c r="N1620" s="7">
        <f t="shared" si="209"/>
        <v>480</v>
      </c>
      <c r="O1620" s="1">
        <f t="shared" si="206"/>
        <v>131</v>
      </c>
      <c r="P1620" s="1" t="str">
        <f t="shared" si="208"/>
        <v>480,131</v>
      </c>
      <c r="Q1620" s="6" t="s">
        <v>10</v>
      </c>
      <c r="R1620" s="1">
        <v>90</v>
      </c>
      <c r="S1620" s="1">
        <v>2.5</v>
      </c>
      <c r="T1620" s="1" t="str">
        <f t="shared" si="207"/>
        <v>-text 480,131 2.5 90 269.322</v>
      </c>
    </row>
    <row r="1621" spans="1:20" x14ac:dyDescent="0.35">
      <c r="A1621" s="1">
        <v>283500</v>
      </c>
      <c r="B1621" s="7">
        <v>1172907.3</v>
      </c>
      <c r="C1621" s="2">
        <v>270.33</v>
      </c>
      <c r="D1621" s="2">
        <v>271.654</v>
      </c>
      <c r="E1621" s="2">
        <v>1.3240000000000001</v>
      </c>
      <c r="F1621" s="2">
        <v>269.65800000000002</v>
      </c>
      <c r="G1621" s="2">
        <v>270.94099999999997</v>
      </c>
      <c r="H1621" s="2">
        <v>1.2829999999999999</v>
      </c>
      <c r="I1621" s="2">
        <v>268.37099999999998</v>
      </c>
      <c r="J1621" s="2">
        <v>268.38400000000001</v>
      </c>
      <c r="K1621" s="15">
        <v>2.5569999999999999</v>
      </c>
      <c r="L1621" s="2">
        <v>20.126999999999999</v>
      </c>
      <c r="N1621" s="7">
        <f>N1618+(B1621-B1618)</f>
        <v>500</v>
      </c>
      <c r="O1621" s="1">
        <f t="shared" si="206"/>
        <v>131</v>
      </c>
      <c r="P1621" s="1" t="str">
        <f t="shared" ref="P1621" si="210">CONCATENATE(N1621,",",O1621)</f>
        <v>500,131</v>
      </c>
      <c r="Q1621" s="6" t="s">
        <v>10</v>
      </c>
      <c r="R1621" s="1">
        <v>90</v>
      </c>
      <c r="S1621" s="1">
        <v>2.5</v>
      </c>
      <c r="T1621" s="1" t="str">
        <f t="shared" si="207"/>
        <v>-text 500,131 2.5 90 268.384</v>
      </c>
    </row>
    <row r="1622" spans="1:20" s="10" customFormat="1" x14ac:dyDescent="0.35">
      <c r="B1622" s="11"/>
      <c r="C1622" s="9"/>
      <c r="D1622" s="9"/>
      <c r="E1622" s="9"/>
      <c r="F1622" s="9"/>
      <c r="G1622" s="9"/>
      <c r="H1622" s="9"/>
      <c r="I1622" s="9"/>
      <c r="J1622" s="9"/>
      <c r="K1622" s="16"/>
      <c r="L1622" s="9"/>
      <c r="M1622" s="9"/>
      <c r="N1622" s="11"/>
      <c r="Q1622" s="12"/>
    </row>
    <row r="1623" spans="1:20" x14ac:dyDescent="0.35">
      <c r="A1623" s="1">
        <v>283500</v>
      </c>
      <c r="B1623" s="7">
        <v>1172907.3</v>
      </c>
      <c r="C1623" s="2">
        <v>270.33</v>
      </c>
      <c r="D1623" s="2">
        <v>271.654</v>
      </c>
      <c r="E1623" s="2">
        <v>1.3240000000000001</v>
      </c>
      <c r="F1623" s="2">
        <v>269.65800000000002</v>
      </c>
      <c r="G1623" s="2">
        <v>270.94099999999997</v>
      </c>
      <c r="H1623" s="2">
        <v>1.2829999999999999</v>
      </c>
      <c r="I1623" s="2">
        <v>268.37099999999998</v>
      </c>
      <c r="J1623" s="2">
        <v>268.38400000000001</v>
      </c>
      <c r="K1623" s="15">
        <v>2.5569999999999999</v>
      </c>
      <c r="L1623" s="2">
        <v>20.126999999999999</v>
      </c>
      <c r="N1623" s="7">
        <v>0</v>
      </c>
      <c r="O1623" s="1">
        <f t="shared" si="206"/>
        <v>131</v>
      </c>
      <c r="P1623" s="1" t="str">
        <f t="shared" si="208"/>
        <v>0,131</v>
      </c>
      <c r="Q1623" s="6" t="s">
        <v>10</v>
      </c>
      <c r="R1623" s="1">
        <v>90</v>
      </c>
      <c r="S1623" s="1">
        <v>2.5</v>
      </c>
      <c r="T1623" s="1" t="str">
        <f t="shared" si="207"/>
        <v>-text 0,131 2.5 90 268.384</v>
      </c>
    </row>
    <row r="1624" spans="1:20" x14ac:dyDescent="0.35">
      <c r="A1624" s="1">
        <v>283520</v>
      </c>
      <c r="B1624" s="7">
        <v>1172927.3</v>
      </c>
      <c r="C1624" s="2">
        <v>270.31400000000002</v>
      </c>
      <c r="D1624" s="2">
        <v>271.654</v>
      </c>
      <c r="E1624" s="2">
        <v>1.34</v>
      </c>
      <c r="F1624" s="2">
        <v>269.642</v>
      </c>
      <c r="G1624" s="2">
        <v>270.94099999999997</v>
      </c>
      <c r="H1624" s="2">
        <v>1.2989999999999999</v>
      </c>
      <c r="I1624" s="2">
        <v>268.053</v>
      </c>
      <c r="J1624" s="2">
        <v>268.06599999999997</v>
      </c>
      <c r="K1624" s="15">
        <v>2.875</v>
      </c>
      <c r="L1624" s="2">
        <v>20.119</v>
      </c>
      <c r="N1624" s="7">
        <f t="shared" ref="N1624:N1647" si="211">N1623+(B1624-B1623)</f>
        <v>20</v>
      </c>
      <c r="O1624" s="1">
        <f t="shared" si="206"/>
        <v>131</v>
      </c>
      <c r="P1624" s="1" t="str">
        <f t="shared" si="208"/>
        <v>20,131</v>
      </c>
      <c r="Q1624" s="6" t="s">
        <v>10</v>
      </c>
      <c r="R1624" s="1">
        <v>90</v>
      </c>
      <c r="S1624" s="1">
        <v>2.5</v>
      </c>
      <c r="T1624" s="1" t="str">
        <f t="shared" si="207"/>
        <v>-text 20,131 2.5 90 268.066</v>
      </c>
    </row>
    <row r="1625" spans="1:20" x14ac:dyDescent="0.35">
      <c r="A1625" s="1">
        <v>283540</v>
      </c>
      <c r="B1625" s="7">
        <v>1172947.3</v>
      </c>
      <c r="C1625" s="2">
        <v>270.30700000000002</v>
      </c>
      <c r="D1625" s="2">
        <v>271.654</v>
      </c>
      <c r="E1625" s="2">
        <v>1.347</v>
      </c>
      <c r="F1625" s="2">
        <v>269.63499999999999</v>
      </c>
      <c r="G1625" s="2">
        <v>270.94099999999997</v>
      </c>
      <c r="H1625" s="2">
        <v>1.306</v>
      </c>
      <c r="I1625" s="2">
        <v>267.916</v>
      </c>
      <c r="J1625" s="2">
        <v>267.827</v>
      </c>
      <c r="K1625" s="15">
        <v>3.1139999999999999</v>
      </c>
      <c r="L1625" s="2">
        <v>20.111000000000001</v>
      </c>
      <c r="N1625" s="7">
        <f t="shared" si="211"/>
        <v>40</v>
      </c>
      <c r="O1625" s="1">
        <f t="shared" si="206"/>
        <v>131</v>
      </c>
      <c r="P1625" s="1" t="str">
        <f t="shared" si="208"/>
        <v>40,131</v>
      </c>
      <c r="Q1625" s="6" t="s">
        <v>10</v>
      </c>
      <c r="R1625" s="1">
        <v>90</v>
      </c>
      <c r="S1625" s="1">
        <v>2.5</v>
      </c>
      <c r="T1625" s="1" t="str">
        <f t="shared" si="207"/>
        <v>-text 40,131 2.5 90 267.827</v>
      </c>
    </row>
    <row r="1626" spans="1:20" x14ac:dyDescent="0.35">
      <c r="A1626" s="1">
        <v>283560</v>
      </c>
      <c r="B1626" s="7">
        <v>1172967.3</v>
      </c>
      <c r="C1626" s="2">
        <v>270.28899999999999</v>
      </c>
      <c r="D1626" s="2">
        <v>271.654</v>
      </c>
      <c r="E1626" s="2">
        <v>1.365</v>
      </c>
      <c r="F1626" s="2">
        <v>269.61700000000002</v>
      </c>
      <c r="G1626" s="2">
        <v>270.94099999999997</v>
      </c>
      <c r="H1626" s="2">
        <v>1.3240000000000001</v>
      </c>
      <c r="I1626" s="2">
        <v>267.55099999999999</v>
      </c>
      <c r="J1626" s="2">
        <v>267.64400000000001</v>
      </c>
      <c r="K1626" s="15">
        <v>3.2970000000000002</v>
      </c>
      <c r="L1626" s="2">
        <v>20.120999999999999</v>
      </c>
      <c r="N1626" s="7">
        <f t="shared" si="211"/>
        <v>60</v>
      </c>
      <c r="O1626" s="1">
        <f t="shared" si="206"/>
        <v>131</v>
      </c>
      <c r="P1626" s="1" t="str">
        <f t="shared" si="208"/>
        <v>60,131</v>
      </c>
      <c r="Q1626" s="6" t="s">
        <v>10</v>
      </c>
      <c r="R1626" s="1">
        <v>90</v>
      </c>
      <c r="S1626" s="1">
        <v>2.5</v>
      </c>
      <c r="T1626" s="1" t="str">
        <f t="shared" si="207"/>
        <v>-text 60,131 2.5 90 267.644</v>
      </c>
    </row>
    <row r="1627" spans="1:20" x14ac:dyDescent="0.35">
      <c r="A1627" s="1">
        <v>283580</v>
      </c>
      <c r="B1627" s="7">
        <v>1172987.3</v>
      </c>
      <c r="C1627" s="2">
        <v>270.26900000000001</v>
      </c>
      <c r="D1627" s="2">
        <v>271.654</v>
      </c>
      <c r="E1627" s="2">
        <v>1.385</v>
      </c>
      <c r="F1627" s="2">
        <v>269.59699999999998</v>
      </c>
      <c r="G1627" s="2">
        <v>270.94099999999997</v>
      </c>
      <c r="H1627" s="2">
        <v>1.3440000000000001</v>
      </c>
      <c r="I1627" s="2">
        <v>267.15199999999999</v>
      </c>
      <c r="J1627" s="2">
        <v>267.82600000000002</v>
      </c>
      <c r="K1627" s="15">
        <v>3.1150000000000002</v>
      </c>
      <c r="L1627" s="2">
        <v>20.134</v>
      </c>
      <c r="N1627" s="7">
        <f t="shared" si="211"/>
        <v>80</v>
      </c>
      <c r="O1627" s="1">
        <f t="shared" si="206"/>
        <v>131</v>
      </c>
      <c r="P1627" s="1" t="str">
        <f t="shared" si="208"/>
        <v>80,131</v>
      </c>
      <c r="Q1627" s="6" t="s">
        <v>10</v>
      </c>
      <c r="R1627" s="1">
        <v>90</v>
      </c>
      <c r="S1627" s="1">
        <v>2.5</v>
      </c>
      <c r="T1627" s="1" t="str">
        <f t="shared" si="207"/>
        <v>-text 80,131 2.5 90 267.826</v>
      </c>
    </row>
    <row r="1628" spans="1:20" x14ac:dyDescent="0.35">
      <c r="A1628" s="1">
        <v>283600</v>
      </c>
      <c r="B1628" s="7">
        <v>1173007.3</v>
      </c>
      <c r="C1628" s="2">
        <v>270.25400000000002</v>
      </c>
      <c r="D1628" s="2">
        <v>271.654</v>
      </c>
      <c r="E1628" s="2">
        <v>1.4</v>
      </c>
      <c r="F1628" s="2">
        <v>269.58199999999999</v>
      </c>
      <c r="G1628" s="2">
        <v>270.94099999999997</v>
      </c>
      <c r="H1628" s="2">
        <v>1.359</v>
      </c>
      <c r="I1628" s="2">
        <v>267.53300000000002</v>
      </c>
      <c r="J1628" s="2">
        <v>268.529</v>
      </c>
      <c r="K1628" s="15">
        <v>2.4119999999999999</v>
      </c>
      <c r="L1628" s="2">
        <v>20.141999999999999</v>
      </c>
      <c r="N1628" s="7">
        <f t="shared" si="211"/>
        <v>100</v>
      </c>
      <c r="O1628" s="1">
        <f t="shared" si="206"/>
        <v>131</v>
      </c>
      <c r="P1628" s="1" t="str">
        <f t="shared" si="208"/>
        <v>100,131</v>
      </c>
      <c r="Q1628" s="6" t="s">
        <v>10</v>
      </c>
      <c r="R1628" s="1">
        <v>90</v>
      </c>
      <c r="S1628" s="1">
        <v>2.5</v>
      </c>
      <c r="T1628" s="1" t="str">
        <f t="shared" si="207"/>
        <v>-text 100,131 2.5 90 268.529</v>
      </c>
    </row>
    <row r="1629" spans="1:20" x14ac:dyDescent="0.35">
      <c r="A1629" s="1">
        <v>283620</v>
      </c>
      <c r="B1629" s="7">
        <v>1173027.3</v>
      </c>
      <c r="C1629" s="2">
        <v>270.24299999999999</v>
      </c>
      <c r="D1629" s="2">
        <v>271.654</v>
      </c>
      <c r="E1629" s="2">
        <v>1.411</v>
      </c>
      <c r="F1629" s="2">
        <v>269.57100000000003</v>
      </c>
      <c r="G1629" s="2">
        <v>270.94099999999997</v>
      </c>
      <c r="H1629" s="2">
        <v>1.37</v>
      </c>
      <c r="I1629" s="2">
        <v>268.09300000000002</v>
      </c>
      <c r="J1629" s="2">
        <v>268.20999999999998</v>
      </c>
      <c r="K1629" s="15">
        <v>2.7309999999999999</v>
      </c>
      <c r="L1629" s="2">
        <v>20.143000000000001</v>
      </c>
      <c r="N1629" s="7">
        <f t="shared" si="211"/>
        <v>120</v>
      </c>
      <c r="O1629" s="1">
        <f t="shared" si="206"/>
        <v>131</v>
      </c>
      <c r="P1629" s="1" t="str">
        <f t="shared" si="208"/>
        <v>120,131</v>
      </c>
      <c r="Q1629" s="6" t="s">
        <v>10</v>
      </c>
      <c r="R1629" s="1">
        <v>90</v>
      </c>
      <c r="S1629" s="1">
        <v>2.5</v>
      </c>
      <c r="T1629" s="1" t="str">
        <f t="shared" si="207"/>
        <v>-text 120,131 2.5 90 268.21</v>
      </c>
    </row>
    <row r="1630" spans="1:20" x14ac:dyDescent="0.35">
      <c r="A1630" s="1">
        <v>283640</v>
      </c>
      <c r="B1630" s="7">
        <v>1173047.3</v>
      </c>
      <c r="C1630" s="2">
        <v>270.197</v>
      </c>
      <c r="D1630" s="2">
        <v>271.61599999999999</v>
      </c>
      <c r="E1630" s="2">
        <v>1.419</v>
      </c>
      <c r="F1630" s="2">
        <v>269.52499999999998</v>
      </c>
      <c r="G1630" s="2">
        <v>270.90300000000002</v>
      </c>
      <c r="H1630" s="2">
        <v>1.3779999999999999</v>
      </c>
      <c r="I1630" s="2">
        <v>268.005</v>
      </c>
      <c r="J1630" s="2">
        <v>268.274</v>
      </c>
      <c r="K1630" s="15">
        <v>2.629</v>
      </c>
      <c r="L1630" s="2">
        <v>20.143999999999998</v>
      </c>
      <c r="N1630" s="7">
        <f t="shared" si="211"/>
        <v>140</v>
      </c>
      <c r="O1630" s="1">
        <f t="shared" si="206"/>
        <v>131</v>
      </c>
      <c r="P1630" s="1" t="str">
        <f t="shared" si="208"/>
        <v>140,131</v>
      </c>
      <c r="Q1630" s="6" t="s">
        <v>10</v>
      </c>
      <c r="R1630" s="1">
        <v>90</v>
      </c>
      <c r="S1630" s="1">
        <v>2.5</v>
      </c>
      <c r="T1630" s="1" t="str">
        <f t="shared" si="207"/>
        <v>-text 140,131 2.5 90 268.274</v>
      </c>
    </row>
    <row r="1631" spans="1:20" x14ac:dyDescent="0.35">
      <c r="A1631" s="1">
        <v>283660</v>
      </c>
      <c r="B1631" s="7">
        <v>1173067.3</v>
      </c>
      <c r="C1631" s="2">
        <v>270.18200000000002</v>
      </c>
      <c r="D1631" s="2">
        <v>271.57</v>
      </c>
      <c r="E1631" s="2">
        <v>1.3879999999999999</v>
      </c>
      <c r="F1631" s="2">
        <v>269.51</v>
      </c>
      <c r="G1631" s="2">
        <v>270.85700000000003</v>
      </c>
      <c r="H1631" s="2">
        <v>1.347</v>
      </c>
      <c r="I1631" s="2">
        <v>267.78899999999999</v>
      </c>
      <c r="J1631" s="2">
        <v>268.08600000000001</v>
      </c>
      <c r="K1631" s="15">
        <v>2.7709999999999999</v>
      </c>
      <c r="L1631" s="2">
        <v>20.125</v>
      </c>
      <c r="N1631" s="7">
        <f t="shared" si="211"/>
        <v>160</v>
      </c>
      <c r="O1631" s="1">
        <f t="shared" si="206"/>
        <v>131</v>
      </c>
      <c r="P1631" s="1" t="str">
        <f t="shared" si="208"/>
        <v>160,131</v>
      </c>
      <c r="Q1631" s="6" t="s">
        <v>10</v>
      </c>
      <c r="R1631" s="1">
        <v>90</v>
      </c>
      <c r="S1631" s="1">
        <v>2.5</v>
      </c>
      <c r="T1631" s="1" t="str">
        <f t="shared" si="207"/>
        <v>-text 160,131 2.5 90 268.086</v>
      </c>
    </row>
    <row r="1632" spans="1:20" x14ac:dyDescent="0.35">
      <c r="A1632" s="1">
        <v>283680</v>
      </c>
      <c r="B1632" s="7">
        <v>1173087.3</v>
      </c>
      <c r="C1632" s="2">
        <v>270.178</v>
      </c>
      <c r="D1632" s="2">
        <v>271.524</v>
      </c>
      <c r="E1632" s="2">
        <v>1.3460000000000001</v>
      </c>
      <c r="F1632" s="2">
        <v>269.50599999999997</v>
      </c>
      <c r="G1632" s="2">
        <v>270.81099999999998</v>
      </c>
      <c r="H1632" s="2">
        <v>1.3049999999999999</v>
      </c>
      <c r="I1632" s="2">
        <v>267.74299999999999</v>
      </c>
      <c r="J1632" s="2">
        <v>267.51400000000001</v>
      </c>
      <c r="K1632" s="15">
        <v>3.2959999999999998</v>
      </c>
      <c r="L1632" s="2">
        <v>20.099</v>
      </c>
      <c r="N1632" s="7">
        <f t="shared" si="211"/>
        <v>180</v>
      </c>
      <c r="O1632" s="1">
        <f t="shared" si="206"/>
        <v>131</v>
      </c>
      <c r="P1632" s="1" t="str">
        <f t="shared" si="208"/>
        <v>180,131</v>
      </c>
      <c r="Q1632" s="6" t="s">
        <v>10</v>
      </c>
      <c r="R1632" s="1">
        <v>90</v>
      </c>
      <c r="S1632" s="1">
        <v>2.5</v>
      </c>
      <c r="T1632" s="1" t="str">
        <f t="shared" si="207"/>
        <v>-text 180,131 2.5 90 267.514</v>
      </c>
    </row>
    <row r="1633" spans="1:20" x14ac:dyDescent="0.35">
      <c r="A1633" s="1">
        <v>283700</v>
      </c>
      <c r="B1633" s="7">
        <v>1173107.3</v>
      </c>
      <c r="C1633" s="2">
        <v>270.17599999999999</v>
      </c>
      <c r="D1633" s="2">
        <v>271.47699999999998</v>
      </c>
      <c r="E1633" s="2">
        <v>1.3009999999999999</v>
      </c>
      <c r="F1633" s="2">
        <v>269.50400000000002</v>
      </c>
      <c r="G1633" s="2">
        <v>270.76400000000001</v>
      </c>
      <c r="H1633" s="2">
        <v>1.26</v>
      </c>
      <c r="I1633" s="2">
        <v>267.86099999999999</v>
      </c>
      <c r="J1633" s="2">
        <v>267.16300000000001</v>
      </c>
      <c r="K1633" s="15">
        <v>3.601</v>
      </c>
      <c r="L1633" s="2">
        <v>20.058</v>
      </c>
      <c r="N1633" s="7">
        <f t="shared" si="211"/>
        <v>200</v>
      </c>
      <c r="O1633" s="1">
        <f t="shared" si="206"/>
        <v>131</v>
      </c>
      <c r="P1633" s="1" t="str">
        <f t="shared" si="208"/>
        <v>200,131</v>
      </c>
      <c r="Q1633" s="6" t="s">
        <v>10</v>
      </c>
      <c r="R1633" s="1">
        <v>90</v>
      </c>
      <c r="S1633" s="1">
        <v>2.5</v>
      </c>
      <c r="T1633" s="1" t="str">
        <f t="shared" si="207"/>
        <v>-text 200,131 2.5 90 267.163</v>
      </c>
    </row>
    <row r="1634" spans="1:20" x14ac:dyDescent="0.35">
      <c r="A1634" s="1">
        <v>283720</v>
      </c>
      <c r="B1634" s="7">
        <v>1173127.3</v>
      </c>
      <c r="C1634" s="2">
        <v>270.17099999999999</v>
      </c>
      <c r="D1634" s="2">
        <v>271.43099999999998</v>
      </c>
      <c r="E1634" s="2">
        <v>1.26</v>
      </c>
      <c r="F1634" s="2">
        <v>269.49900000000002</v>
      </c>
      <c r="G1634" s="2">
        <v>270.71800000000002</v>
      </c>
      <c r="H1634" s="2">
        <v>1.2190000000000001</v>
      </c>
      <c r="I1634" s="2">
        <v>267.63900000000001</v>
      </c>
      <c r="J1634" s="2">
        <v>267.3</v>
      </c>
      <c r="K1634" s="15">
        <v>3.4180000000000001</v>
      </c>
      <c r="L1634" s="2">
        <v>20.026</v>
      </c>
      <c r="N1634" s="7">
        <f t="shared" si="211"/>
        <v>220</v>
      </c>
      <c r="O1634" s="1">
        <f t="shared" si="206"/>
        <v>131</v>
      </c>
      <c r="P1634" s="1" t="str">
        <f t="shared" si="208"/>
        <v>220,131</v>
      </c>
      <c r="Q1634" s="6" t="s">
        <v>10</v>
      </c>
      <c r="R1634" s="1">
        <v>90</v>
      </c>
      <c r="S1634" s="1">
        <v>2.5</v>
      </c>
      <c r="T1634" s="1" t="str">
        <f t="shared" si="207"/>
        <v>-text 220,131 2.5 90 267.3</v>
      </c>
    </row>
    <row r="1635" spans="1:20" x14ac:dyDescent="0.35">
      <c r="A1635" s="1">
        <v>283740</v>
      </c>
      <c r="B1635" s="7">
        <v>1173147.3</v>
      </c>
      <c r="C1635" s="2">
        <v>270.15100000000001</v>
      </c>
      <c r="D1635" s="2">
        <v>271.38400000000001</v>
      </c>
      <c r="E1635" s="2">
        <v>1.2330000000000001</v>
      </c>
      <c r="F1635" s="2">
        <v>269.47899999999998</v>
      </c>
      <c r="G1635" s="2">
        <v>270.67099999999999</v>
      </c>
      <c r="H1635" s="2">
        <v>1.1919999999999999</v>
      </c>
      <c r="I1635" s="2">
        <v>267.74799999999999</v>
      </c>
      <c r="J1635" s="2">
        <v>267.339</v>
      </c>
      <c r="K1635" s="15">
        <v>3.3330000000000002</v>
      </c>
      <c r="L1635" s="2">
        <v>20.033000000000001</v>
      </c>
      <c r="N1635" s="7">
        <f t="shared" si="211"/>
        <v>240</v>
      </c>
      <c r="O1635" s="1">
        <f t="shared" si="206"/>
        <v>131</v>
      </c>
      <c r="P1635" s="1" t="str">
        <f t="shared" si="208"/>
        <v>240,131</v>
      </c>
      <c r="Q1635" s="6" t="s">
        <v>10</v>
      </c>
      <c r="R1635" s="1">
        <v>90</v>
      </c>
      <c r="S1635" s="1">
        <v>2.5</v>
      </c>
      <c r="T1635" s="1" t="str">
        <f t="shared" si="207"/>
        <v>-text 240,131 2.5 90 267.339</v>
      </c>
    </row>
    <row r="1636" spans="1:20" x14ac:dyDescent="0.35">
      <c r="A1636" s="1">
        <v>283760</v>
      </c>
      <c r="B1636" s="7">
        <v>1173167.3</v>
      </c>
      <c r="C1636" s="2">
        <v>270.13200000000001</v>
      </c>
      <c r="D1636" s="2">
        <v>271.33800000000002</v>
      </c>
      <c r="E1636" s="2">
        <v>1.2070000000000001</v>
      </c>
      <c r="F1636" s="2">
        <v>269.45999999999998</v>
      </c>
      <c r="G1636" s="2">
        <v>270.625</v>
      </c>
      <c r="H1636" s="2">
        <v>1.1659999999999999</v>
      </c>
      <c r="I1636" s="2">
        <v>267.74200000000002</v>
      </c>
      <c r="J1636" s="2">
        <v>267.19499999999999</v>
      </c>
      <c r="K1636" s="15">
        <v>3.43</v>
      </c>
      <c r="L1636" s="2">
        <v>20.04</v>
      </c>
      <c r="N1636" s="7">
        <f t="shared" si="211"/>
        <v>260</v>
      </c>
      <c r="O1636" s="1">
        <f t="shared" si="206"/>
        <v>131</v>
      </c>
      <c r="P1636" s="1" t="str">
        <f t="shared" si="208"/>
        <v>260,131</v>
      </c>
      <c r="Q1636" s="6" t="s">
        <v>10</v>
      </c>
      <c r="R1636" s="1">
        <v>90</v>
      </c>
      <c r="S1636" s="1">
        <v>2.5</v>
      </c>
      <c r="T1636" s="1" t="str">
        <f t="shared" si="207"/>
        <v>-text 260,131 2.5 90 267.195</v>
      </c>
    </row>
    <row r="1637" spans="1:20" x14ac:dyDescent="0.35">
      <c r="A1637" s="1">
        <v>283780</v>
      </c>
      <c r="B1637" s="7">
        <v>1173187.2</v>
      </c>
      <c r="C1637" s="2">
        <v>270.108</v>
      </c>
      <c r="D1637" s="2">
        <v>271.29199999999997</v>
      </c>
      <c r="E1637" s="2">
        <v>1.1839999999999999</v>
      </c>
      <c r="F1637" s="2">
        <v>269.43599999999998</v>
      </c>
      <c r="G1637" s="2">
        <v>270.57900000000001</v>
      </c>
      <c r="H1637" s="2">
        <v>1.143</v>
      </c>
      <c r="I1637" s="2">
        <v>267.46899999999999</v>
      </c>
      <c r="J1637" s="2">
        <v>267.51900000000001</v>
      </c>
      <c r="K1637" s="15">
        <v>3.06</v>
      </c>
      <c r="L1637" s="2">
        <v>20.009</v>
      </c>
      <c r="N1637" s="7">
        <f t="shared" si="211"/>
        <v>279.89999999990687</v>
      </c>
      <c r="O1637" s="1">
        <f t="shared" si="206"/>
        <v>131</v>
      </c>
      <c r="P1637" s="1" t="str">
        <f t="shared" si="208"/>
        <v>279.899999999907,131</v>
      </c>
      <c r="Q1637" s="6" t="s">
        <v>10</v>
      </c>
      <c r="R1637" s="1">
        <v>90</v>
      </c>
      <c r="S1637" s="1">
        <v>2.5</v>
      </c>
      <c r="T1637" s="1" t="str">
        <f t="shared" si="207"/>
        <v>-text 279.899999999907,131 2.5 90 267.519</v>
      </c>
    </row>
    <row r="1638" spans="1:20" x14ac:dyDescent="0.35">
      <c r="A1638" s="1">
        <v>283800</v>
      </c>
      <c r="B1638" s="7">
        <v>1173207.3</v>
      </c>
      <c r="C1638" s="2">
        <v>270.08300000000003</v>
      </c>
      <c r="D1638" s="2">
        <v>271.24599999999998</v>
      </c>
      <c r="E1638" s="2">
        <v>1.163</v>
      </c>
      <c r="F1638" s="2">
        <v>269.411</v>
      </c>
      <c r="G1638" s="2">
        <v>270.53300000000002</v>
      </c>
      <c r="H1638" s="2">
        <v>1.1220000000000001</v>
      </c>
      <c r="I1638" s="2">
        <v>267.32100000000003</v>
      </c>
      <c r="J1638" s="2">
        <v>267.33999999999997</v>
      </c>
      <c r="K1638" s="15">
        <v>3.1920000000000002</v>
      </c>
      <c r="L1638" s="2">
        <v>19.960999999999999</v>
      </c>
      <c r="N1638" s="7">
        <f t="shared" si="211"/>
        <v>300</v>
      </c>
      <c r="O1638" s="1">
        <f t="shared" si="206"/>
        <v>131</v>
      </c>
      <c r="P1638" s="1" t="str">
        <f t="shared" si="208"/>
        <v>300,131</v>
      </c>
      <c r="Q1638" s="6" t="s">
        <v>10</v>
      </c>
      <c r="R1638" s="1">
        <v>90</v>
      </c>
      <c r="S1638" s="1">
        <v>2.5</v>
      </c>
      <c r="T1638" s="1" t="str">
        <f t="shared" si="207"/>
        <v>-text 300,131 2.5 90 267.34</v>
      </c>
    </row>
    <row r="1639" spans="1:20" x14ac:dyDescent="0.35">
      <c r="A1639" s="1">
        <v>283820</v>
      </c>
      <c r="B1639" s="7">
        <v>1173227.3</v>
      </c>
      <c r="C1639" s="2">
        <v>270.05799999999999</v>
      </c>
      <c r="D1639" s="2">
        <v>271.19900000000001</v>
      </c>
      <c r="E1639" s="2">
        <v>1.141</v>
      </c>
      <c r="F1639" s="2">
        <v>269.38600000000002</v>
      </c>
      <c r="G1639" s="2">
        <v>270.48599999999999</v>
      </c>
      <c r="H1639" s="2">
        <v>1.1000000000000001</v>
      </c>
      <c r="I1639" s="2">
        <v>267.791</v>
      </c>
      <c r="J1639" s="2">
        <v>267.786</v>
      </c>
      <c r="K1639" s="15">
        <v>2.7</v>
      </c>
      <c r="L1639" s="2">
        <v>19.927</v>
      </c>
      <c r="N1639" s="7">
        <f t="shared" si="211"/>
        <v>320</v>
      </c>
      <c r="O1639" s="1">
        <f t="shared" si="206"/>
        <v>131</v>
      </c>
      <c r="P1639" s="1" t="str">
        <f t="shared" si="208"/>
        <v>320,131</v>
      </c>
      <c r="Q1639" s="6" t="s">
        <v>10</v>
      </c>
      <c r="R1639" s="1">
        <v>90</v>
      </c>
      <c r="S1639" s="1">
        <v>2.5</v>
      </c>
      <c r="T1639" s="1" t="str">
        <f t="shared" si="207"/>
        <v>-text 320,131 2.5 90 267.786</v>
      </c>
    </row>
    <row r="1640" spans="1:20" x14ac:dyDescent="0.35">
      <c r="A1640" s="1">
        <v>283840</v>
      </c>
      <c r="B1640" s="7">
        <v>1173247.3</v>
      </c>
      <c r="C1640" s="2">
        <v>270.03500000000003</v>
      </c>
      <c r="D1640" s="2">
        <v>271.15300000000002</v>
      </c>
      <c r="E1640" s="2">
        <v>1.1180000000000001</v>
      </c>
      <c r="F1640" s="2">
        <v>269.363</v>
      </c>
      <c r="G1640" s="2">
        <v>270.44</v>
      </c>
      <c r="H1640" s="2">
        <v>1.077</v>
      </c>
      <c r="I1640" s="2">
        <v>268.75700000000001</v>
      </c>
      <c r="J1640" s="2">
        <v>268.904</v>
      </c>
      <c r="K1640" s="15">
        <v>1.536</v>
      </c>
      <c r="L1640" s="2">
        <v>19.951000000000001</v>
      </c>
      <c r="N1640" s="7">
        <f t="shared" si="211"/>
        <v>340</v>
      </c>
      <c r="O1640" s="1">
        <f t="shared" si="206"/>
        <v>131</v>
      </c>
      <c r="P1640" s="1" t="str">
        <f t="shared" si="208"/>
        <v>340,131</v>
      </c>
      <c r="Q1640" s="6" t="s">
        <v>10</v>
      </c>
      <c r="R1640" s="1">
        <v>90</v>
      </c>
      <c r="S1640" s="1">
        <v>2.5</v>
      </c>
      <c r="T1640" s="1" t="str">
        <f t="shared" si="207"/>
        <v>-text 340,131 2.5 90 268.904</v>
      </c>
    </row>
    <row r="1641" spans="1:20" x14ac:dyDescent="0.35">
      <c r="A1641" s="1">
        <v>283860</v>
      </c>
      <c r="B1641" s="7">
        <v>1173267.3</v>
      </c>
      <c r="C1641" s="2">
        <v>270.01299999999998</v>
      </c>
      <c r="D1641" s="2">
        <v>271.10700000000003</v>
      </c>
      <c r="E1641" s="2">
        <v>1.0940000000000001</v>
      </c>
      <c r="F1641" s="2">
        <v>269.34100000000001</v>
      </c>
      <c r="G1641" s="2">
        <v>270.39400000000001</v>
      </c>
      <c r="H1641" s="2">
        <v>1.0529999999999999</v>
      </c>
      <c r="I1641" s="2">
        <v>269.00900000000001</v>
      </c>
      <c r="J1641" s="2">
        <v>268.95400000000001</v>
      </c>
      <c r="K1641" s="15">
        <v>1.4390000000000001</v>
      </c>
      <c r="L1641" s="2">
        <v>20.006</v>
      </c>
      <c r="N1641" s="7">
        <f t="shared" si="211"/>
        <v>360</v>
      </c>
      <c r="O1641" s="1">
        <f t="shared" si="206"/>
        <v>131</v>
      </c>
      <c r="P1641" s="1" t="str">
        <f t="shared" si="208"/>
        <v>360,131</v>
      </c>
      <c r="Q1641" s="6" t="s">
        <v>10</v>
      </c>
      <c r="R1641" s="1">
        <v>90</v>
      </c>
      <c r="S1641" s="1">
        <v>2.5</v>
      </c>
      <c r="T1641" s="1" t="str">
        <f t="shared" si="207"/>
        <v>-text 360,131 2.5 90 268.954</v>
      </c>
    </row>
    <row r="1642" spans="1:20" x14ac:dyDescent="0.35">
      <c r="A1642" s="1">
        <v>283880</v>
      </c>
      <c r="B1642" s="7">
        <v>1173287.3</v>
      </c>
      <c r="C1642" s="2">
        <v>270.02300000000002</v>
      </c>
      <c r="D1642" s="2">
        <v>271.06</v>
      </c>
      <c r="E1642" s="2">
        <v>1.0369999999999999</v>
      </c>
      <c r="F1642" s="2">
        <v>269.351</v>
      </c>
      <c r="G1642" s="2">
        <v>270.34699999999998</v>
      </c>
      <c r="H1642" s="2">
        <v>0.996</v>
      </c>
      <c r="I1642" s="2">
        <v>269.09100000000001</v>
      </c>
      <c r="J1642" s="2">
        <v>269.11200000000002</v>
      </c>
      <c r="K1642" s="15">
        <v>1.2350000000000001</v>
      </c>
      <c r="L1642" s="2">
        <v>20.065000000000001</v>
      </c>
      <c r="N1642" s="7">
        <f t="shared" si="211"/>
        <v>380</v>
      </c>
      <c r="O1642" s="1">
        <f t="shared" si="206"/>
        <v>131</v>
      </c>
      <c r="P1642" s="1" t="str">
        <f t="shared" si="208"/>
        <v>380,131</v>
      </c>
      <c r="Q1642" s="6" t="s">
        <v>10</v>
      </c>
      <c r="R1642" s="1">
        <v>90</v>
      </c>
      <c r="S1642" s="1">
        <v>2.5</v>
      </c>
      <c r="T1642" s="1" t="str">
        <f t="shared" si="207"/>
        <v>-text 380,131 2.5 90 269.112</v>
      </c>
    </row>
    <row r="1643" spans="1:20" x14ac:dyDescent="0.35">
      <c r="A1643" s="1">
        <v>283900</v>
      </c>
      <c r="B1643" s="7">
        <v>1173307.3</v>
      </c>
      <c r="C1643" s="2">
        <v>270.03300000000002</v>
      </c>
      <c r="D1643" s="2">
        <v>271.01400000000001</v>
      </c>
      <c r="E1643" s="2">
        <v>0.98099999999999998</v>
      </c>
      <c r="F1643" s="2">
        <v>269.36099999999999</v>
      </c>
      <c r="G1643" s="2">
        <v>270.30099999999999</v>
      </c>
      <c r="H1643" s="2">
        <v>0.94</v>
      </c>
      <c r="I1643" s="2">
        <v>269.04500000000002</v>
      </c>
      <c r="J1643" s="2">
        <v>269.10000000000002</v>
      </c>
      <c r="K1643" s="15">
        <v>1.2010000000000001</v>
      </c>
      <c r="L1643" s="2">
        <v>20.163</v>
      </c>
      <c r="N1643" s="7">
        <f t="shared" si="211"/>
        <v>400</v>
      </c>
      <c r="O1643" s="1">
        <f t="shared" si="206"/>
        <v>131</v>
      </c>
      <c r="P1643" s="1" t="str">
        <f t="shared" si="208"/>
        <v>400,131</v>
      </c>
      <c r="Q1643" s="6" t="s">
        <v>10</v>
      </c>
      <c r="R1643" s="1">
        <v>90</v>
      </c>
      <c r="S1643" s="1">
        <v>2.5</v>
      </c>
      <c r="T1643" s="1" t="str">
        <f t="shared" si="207"/>
        <v>-text 400,131 2.5 90 269.1</v>
      </c>
    </row>
    <row r="1644" spans="1:20" x14ac:dyDescent="0.35">
      <c r="A1644" s="1">
        <v>283920</v>
      </c>
      <c r="B1644" s="7">
        <v>1173327.3</v>
      </c>
      <c r="C1644" s="2">
        <v>270.01299999999998</v>
      </c>
      <c r="D1644" s="2">
        <v>270.96800000000002</v>
      </c>
      <c r="E1644" s="2">
        <v>0.95499999999999996</v>
      </c>
      <c r="F1644" s="2">
        <v>269.34100000000001</v>
      </c>
      <c r="G1644" s="2">
        <v>270.255</v>
      </c>
      <c r="H1644" s="2">
        <v>0.91400000000000003</v>
      </c>
      <c r="I1644" s="2">
        <v>269.03500000000003</v>
      </c>
      <c r="J1644" s="2">
        <v>269.14999999999998</v>
      </c>
      <c r="K1644" s="15">
        <v>1.105</v>
      </c>
      <c r="L1644" s="2">
        <v>20.306000000000001</v>
      </c>
      <c r="N1644" s="7">
        <f t="shared" si="211"/>
        <v>420</v>
      </c>
      <c r="O1644" s="1">
        <f t="shared" si="206"/>
        <v>131</v>
      </c>
      <c r="P1644" s="1" t="str">
        <f t="shared" si="208"/>
        <v>420,131</v>
      </c>
      <c r="Q1644" s="6" t="s">
        <v>10</v>
      </c>
      <c r="R1644" s="1">
        <v>90</v>
      </c>
      <c r="S1644" s="1">
        <v>2.5</v>
      </c>
      <c r="T1644" s="1" t="str">
        <f t="shared" si="207"/>
        <v>-text 420,131 2.5 90 269.15</v>
      </c>
    </row>
    <row r="1645" spans="1:20" x14ac:dyDescent="0.35">
      <c r="A1645" s="1">
        <v>283940</v>
      </c>
      <c r="B1645" s="7">
        <v>1173347.3</v>
      </c>
      <c r="C1645" s="2">
        <v>269.983</v>
      </c>
      <c r="D1645" s="2">
        <v>270.92099999999999</v>
      </c>
      <c r="E1645" s="2">
        <v>0.93799999999999994</v>
      </c>
      <c r="F1645" s="2">
        <v>269.31099999999998</v>
      </c>
      <c r="G1645" s="2">
        <v>270.20800000000003</v>
      </c>
      <c r="H1645" s="2">
        <v>0.89700000000000002</v>
      </c>
      <c r="I1645" s="2">
        <v>268.91800000000001</v>
      </c>
      <c r="J1645" s="2">
        <v>268.959</v>
      </c>
      <c r="K1645" s="15">
        <v>1.25</v>
      </c>
      <c r="L1645" s="2">
        <v>20.478000000000002</v>
      </c>
      <c r="N1645" s="7">
        <f t="shared" si="211"/>
        <v>440</v>
      </c>
      <c r="O1645" s="1">
        <f t="shared" si="206"/>
        <v>131</v>
      </c>
      <c r="P1645" s="1" t="str">
        <f t="shared" si="208"/>
        <v>440,131</v>
      </c>
      <c r="Q1645" s="6" t="s">
        <v>10</v>
      </c>
      <c r="R1645" s="1">
        <v>90</v>
      </c>
      <c r="S1645" s="1">
        <v>2.5</v>
      </c>
      <c r="T1645" s="1" t="str">
        <f t="shared" si="207"/>
        <v>-text 440,131 2.5 90 268.959</v>
      </c>
    </row>
    <row r="1646" spans="1:20" x14ac:dyDescent="0.35">
      <c r="A1646" s="1">
        <v>283960</v>
      </c>
      <c r="B1646" s="7">
        <v>1173367.3</v>
      </c>
      <c r="C1646" s="2">
        <v>269.96699999999998</v>
      </c>
      <c r="D1646" s="2">
        <v>270.875</v>
      </c>
      <c r="E1646" s="2">
        <v>0.90800000000000003</v>
      </c>
      <c r="F1646" s="2">
        <v>269.29500000000002</v>
      </c>
      <c r="G1646" s="2">
        <v>270.16199999999998</v>
      </c>
      <c r="H1646" s="2">
        <v>0.86699999999999999</v>
      </c>
      <c r="I1646" s="2">
        <v>268.68400000000003</v>
      </c>
      <c r="J1646" s="2">
        <v>268.75099999999998</v>
      </c>
      <c r="K1646" s="15">
        <v>1.411</v>
      </c>
      <c r="L1646" s="2">
        <v>20.646999999999998</v>
      </c>
      <c r="N1646" s="7">
        <f t="shared" si="211"/>
        <v>460</v>
      </c>
      <c r="O1646" s="1">
        <f t="shared" si="206"/>
        <v>131</v>
      </c>
      <c r="P1646" s="1" t="str">
        <f t="shared" si="208"/>
        <v>460,131</v>
      </c>
      <c r="Q1646" s="6" t="s">
        <v>10</v>
      </c>
      <c r="R1646" s="1">
        <v>90</v>
      </c>
      <c r="S1646" s="1">
        <v>2.5</v>
      </c>
      <c r="T1646" s="1" t="str">
        <f t="shared" si="207"/>
        <v>-text 460,131 2.5 90 268.751</v>
      </c>
    </row>
    <row r="1647" spans="1:20" x14ac:dyDescent="0.35">
      <c r="A1647" s="1">
        <v>283980</v>
      </c>
      <c r="B1647" s="7">
        <v>1173387.3</v>
      </c>
      <c r="C1647" s="2">
        <v>270.00200000000001</v>
      </c>
      <c r="D1647" s="2">
        <v>270.82900000000001</v>
      </c>
      <c r="E1647" s="2">
        <v>0.82599999999999996</v>
      </c>
      <c r="F1647" s="2">
        <v>269.33</v>
      </c>
      <c r="G1647" s="2">
        <v>270.11599999999999</v>
      </c>
      <c r="H1647" s="2">
        <v>0.78500000000000003</v>
      </c>
      <c r="I1647" s="2">
        <v>268.59800000000001</v>
      </c>
      <c r="J1647" s="2">
        <v>268.86700000000002</v>
      </c>
      <c r="K1647" s="15">
        <v>1.2490000000000001</v>
      </c>
      <c r="L1647" s="2">
        <v>20.798999999999999</v>
      </c>
      <c r="N1647" s="7">
        <f t="shared" si="211"/>
        <v>480</v>
      </c>
      <c r="O1647" s="1">
        <f t="shared" si="206"/>
        <v>131</v>
      </c>
      <c r="P1647" s="1" t="str">
        <f t="shared" si="208"/>
        <v>480,131</v>
      </c>
      <c r="Q1647" s="6" t="s">
        <v>10</v>
      </c>
      <c r="R1647" s="1">
        <v>90</v>
      </c>
      <c r="S1647" s="1">
        <v>2.5</v>
      </c>
      <c r="T1647" s="1" t="str">
        <f t="shared" si="207"/>
        <v>-text 480,131 2.5 90 268.867</v>
      </c>
    </row>
    <row r="1648" spans="1:20" x14ac:dyDescent="0.35">
      <c r="A1648" s="1">
        <v>284000</v>
      </c>
      <c r="B1648" s="7">
        <v>1173407.3</v>
      </c>
      <c r="C1648" s="2">
        <v>270.03800000000001</v>
      </c>
      <c r="D1648" s="2">
        <v>270.78199999999998</v>
      </c>
      <c r="E1648" s="2">
        <v>0.74399999999999999</v>
      </c>
      <c r="F1648" s="2">
        <v>269.36599999999999</v>
      </c>
      <c r="G1648" s="2">
        <v>270.06900000000002</v>
      </c>
      <c r="H1648" s="2">
        <v>0.70299999999999996</v>
      </c>
      <c r="I1648" s="2">
        <v>268.51100000000002</v>
      </c>
      <c r="J1648" s="2">
        <v>269.11599999999999</v>
      </c>
      <c r="K1648" s="15">
        <v>0.95299999999999996</v>
      </c>
      <c r="L1648" s="2">
        <v>20.952000000000002</v>
      </c>
      <c r="N1648" s="7">
        <f>N1645+(B1648-B1645)</f>
        <v>500</v>
      </c>
      <c r="O1648" s="1">
        <f t="shared" si="206"/>
        <v>131</v>
      </c>
      <c r="P1648" s="1" t="str">
        <f t="shared" ref="P1648" si="212">CONCATENATE(N1648,",",O1648)</f>
        <v>500,131</v>
      </c>
      <c r="Q1648" s="6" t="s">
        <v>10</v>
      </c>
      <c r="R1648" s="1">
        <v>90</v>
      </c>
      <c r="S1648" s="1">
        <v>2.5</v>
      </c>
      <c r="T1648" s="1" t="str">
        <f t="shared" si="207"/>
        <v>-text 500,131 2.5 90 269.116</v>
      </c>
    </row>
    <row r="1649" spans="1:20" s="10" customFormat="1" x14ac:dyDescent="0.35">
      <c r="B1649" s="11"/>
      <c r="C1649" s="9"/>
      <c r="D1649" s="9"/>
      <c r="E1649" s="9"/>
      <c r="F1649" s="9"/>
      <c r="G1649" s="9"/>
      <c r="H1649" s="9"/>
      <c r="I1649" s="9"/>
      <c r="J1649" s="9"/>
      <c r="K1649" s="16"/>
      <c r="L1649" s="9"/>
      <c r="M1649" s="9"/>
      <c r="N1649" s="11"/>
      <c r="Q1649" s="12"/>
    </row>
    <row r="1650" spans="1:20" x14ac:dyDescent="0.35">
      <c r="A1650" s="1">
        <v>284000</v>
      </c>
      <c r="B1650" s="7">
        <v>1173407.3</v>
      </c>
      <c r="C1650" s="2">
        <v>270.03800000000001</v>
      </c>
      <c r="D1650" s="2">
        <v>270.78199999999998</v>
      </c>
      <c r="E1650" s="2">
        <v>0.74399999999999999</v>
      </c>
      <c r="F1650" s="2">
        <v>269.36599999999999</v>
      </c>
      <c r="G1650" s="2">
        <v>270.06900000000002</v>
      </c>
      <c r="H1650" s="2">
        <v>0.70299999999999996</v>
      </c>
      <c r="I1650" s="2">
        <v>268.51100000000002</v>
      </c>
      <c r="J1650" s="2">
        <v>269.11599999999999</v>
      </c>
      <c r="K1650" s="15">
        <v>0.95299999999999996</v>
      </c>
      <c r="L1650" s="2">
        <v>20.952000000000002</v>
      </c>
      <c r="N1650" s="7">
        <v>0</v>
      </c>
      <c r="O1650" s="1">
        <f t="shared" si="206"/>
        <v>131</v>
      </c>
      <c r="P1650" s="1" t="str">
        <f t="shared" si="208"/>
        <v>0,131</v>
      </c>
      <c r="Q1650" s="6" t="s">
        <v>10</v>
      </c>
      <c r="R1650" s="1">
        <v>90</v>
      </c>
      <c r="S1650" s="1">
        <v>2.5</v>
      </c>
      <c r="T1650" s="1" t="str">
        <f t="shared" si="207"/>
        <v>-text 0,131 2.5 90 269.116</v>
      </c>
    </row>
    <row r="1651" spans="1:20" x14ac:dyDescent="0.35">
      <c r="A1651" s="1">
        <v>284020</v>
      </c>
      <c r="B1651" s="7">
        <v>1173427.3</v>
      </c>
      <c r="C1651" s="2">
        <v>270.09300000000002</v>
      </c>
      <c r="D1651" s="2">
        <v>270.73599999999999</v>
      </c>
      <c r="E1651" s="2">
        <v>0.64300000000000002</v>
      </c>
      <c r="F1651" s="2">
        <v>269.42099999999999</v>
      </c>
      <c r="G1651" s="2">
        <v>270.02300000000002</v>
      </c>
      <c r="H1651" s="2">
        <v>0.60199999999999998</v>
      </c>
      <c r="I1651" s="2">
        <v>268.70400000000001</v>
      </c>
      <c r="J1651" s="2">
        <v>269.267</v>
      </c>
      <c r="K1651" s="15">
        <v>0.75600000000000001</v>
      </c>
      <c r="L1651" s="2">
        <v>21.164000000000001</v>
      </c>
      <c r="N1651" s="7">
        <f t="shared" ref="N1651:N1674" si="213">N1650+(B1651-B1650)</f>
        <v>20</v>
      </c>
      <c r="O1651" s="1">
        <f t="shared" si="206"/>
        <v>131</v>
      </c>
      <c r="P1651" s="1" t="str">
        <f t="shared" si="208"/>
        <v>20,131</v>
      </c>
      <c r="Q1651" s="6" t="s">
        <v>10</v>
      </c>
      <c r="R1651" s="1">
        <v>90</v>
      </c>
      <c r="S1651" s="1">
        <v>2.5</v>
      </c>
      <c r="T1651" s="1" t="str">
        <f t="shared" si="207"/>
        <v>-text 20,131 2.5 90 269.267</v>
      </c>
    </row>
    <row r="1652" spans="1:20" x14ac:dyDescent="0.35">
      <c r="A1652" s="1">
        <v>284040</v>
      </c>
      <c r="B1652" s="7">
        <v>1173447.3</v>
      </c>
      <c r="C1652" s="2">
        <v>270.05399999999997</v>
      </c>
      <c r="D1652" s="2">
        <v>270.69</v>
      </c>
      <c r="E1652" s="2">
        <v>0.63600000000000001</v>
      </c>
      <c r="F1652" s="2">
        <v>269.38200000000001</v>
      </c>
      <c r="G1652" s="2">
        <v>269.97699999999998</v>
      </c>
      <c r="H1652" s="2">
        <v>0.59499999999999997</v>
      </c>
      <c r="I1652" s="2">
        <v>268.05599999999998</v>
      </c>
      <c r="J1652" s="2">
        <v>267.55799999999999</v>
      </c>
      <c r="K1652" s="15">
        <v>2.419</v>
      </c>
      <c r="L1652" s="2">
        <v>21.32</v>
      </c>
      <c r="N1652" s="7">
        <f t="shared" si="213"/>
        <v>40</v>
      </c>
      <c r="O1652" s="1">
        <f t="shared" si="206"/>
        <v>131</v>
      </c>
      <c r="P1652" s="1" t="str">
        <f t="shared" si="208"/>
        <v>40,131</v>
      </c>
      <c r="Q1652" s="6" t="s">
        <v>10</v>
      </c>
      <c r="R1652" s="1">
        <v>90</v>
      </c>
      <c r="S1652" s="1">
        <v>2.5</v>
      </c>
      <c r="T1652" s="1" t="str">
        <f t="shared" si="207"/>
        <v>-text 40,131 2.5 90 267.558</v>
      </c>
    </row>
    <row r="1653" spans="1:20" x14ac:dyDescent="0.35">
      <c r="A1653" s="1">
        <v>284060</v>
      </c>
      <c r="B1653" s="7">
        <v>1173467.3</v>
      </c>
      <c r="C1653" s="2">
        <v>270.005</v>
      </c>
      <c r="D1653" s="2">
        <v>270.64299999999997</v>
      </c>
      <c r="E1653" s="2">
        <v>0.63900000000000001</v>
      </c>
      <c r="F1653" s="2">
        <v>269.33300000000003</v>
      </c>
      <c r="G1653" s="2">
        <v>269.93</v>
      </c>
      <c r="H1653" s="2">
        <v>0.59799999999999998</v>
      </c>
      <c r="I1653" s="2">
        <v>267.89499999999998</v>
      </c>
      <c r="J1653" s="2">
        <v>267.67500000000001</v>
      </c>
      <c r="K1653" s="15">
        <v>2.2549999999999999</v>
      </c>
      <c r="L1653" s="2">
        <v>21.471</v>
      </c>
      <c r="N1653" s="7">
        <f t="shared" si="213"/>
        <v>60</v>
      </c>
      <c r="O1653" s="1">
        <f t="shared" si="206"/>
        <v>131</v>
      </c>
      <c r="P1653" s="1" t="str">
        <f t="shared" si="208"/>
        <v>60,131</v>
      </c>
      <c r="Q1653" s="6" t="s">
        <v>10</v>
      </c>
      <c r="R1653" s="1">
        <v>90</v>
      </c>
      <c r="S1653" s="1">
        <v>2.5</v>
      </c>
      <c r="T1653" s="1" t="str">
        <f t="shared" si="207"/>
        <v>-text 60,131 2.5 90 267.675</v>
      </c>
    </row>
    <row r="1654" spans="1:20" x14ac:dyDescent="0.35">
      <c r="A1654" s="1">
        <v>284080</v>
      </c>
      <c r="B1654" s="7">
        <v>1173487.3</v>
      </c>
      <c r="C1654" s="2">
        <v>269.96800000000002</v>
      </c>
      <c r="D1654" s="2">
        <v>270.59699999999998</v>
      </c>
      <c r="E1654" s="2">
        <v>0.629</v>
      </c>
      <c r="F1654" s="2">
        <v>269.29599999999999</v>
      </c>
      <c r="G1654" s="2">
        <v>269.88400000000001</v>
      </c>
      <c r="H1654" s="2">
        <v>0.58799999999999997</v>
      </c>
      <c r="I1654" s="2">
        <v>268.26299999999998</v>
      </c>
      <c r="J1654" s="2">
        <v>267.74900000000002</v>
      </c>
      <c r="K1654" s="15">
        <v>2.1349999999999998</v>
      </c>
      <c r="L1654" s="2">
        <v>21.634</v>
      </c>
      <c r="N1654" s="7">
        <f t="shared" si="213"/>
        <v>80</v>
      </c>
      <c r="O1654" s="1">
        <f t="shared" si="206"/>
        <v>131</v>
      </c>
      <c r="P1654" s="1" t="str">
        <f t="shared" si="208"/>
        <v>80,131</v>
      </c>
      <c r="Q1654" s="6" t="s">
        <v>10</v>
      </c>
      <c r="R1654" s="1">
        <v>90</v>
      </c>
      <c r="S1654" s="1">
        <v>2.5</v>
      </c>
      <c r="T1654" s="1" t="str">
        <f t="shared" si="207"/>
        <v>-text 80,131 2.5 90 267.749</v>
      </c>
    </row>
    <row r="1655" spans="1:20" x14ac:dyDescent="0.35">
      <c r="A1655" s="1">
        <v>284100</v>
      </c>
      <c r="B1655" s="7">
        <v>1173507.3</v>
      </c>
      <c r="C1655" s="2">
        <v>269.94200000000001</v>
      </c>
      <c r="D1655" s="2">
        <v>270.55099999999999</v>
      </c>
      <c r="E1655" s="2">
        <v>0.60899999999999999</v>
      </c>
      <c r="F1655" s="2">
        <v>269.27</v>
      </c>
      <c r="G1655" s="2">
        <v>269.83800000000002</v>
      </c>
      <c r="H1655" s="2">
        <v>0.56799999999999995</v>
      </c>
      <c r="I1655" s="2">
        <v>267.83999999999997</v>
      </c>
      <c r="J1655" s="2">
        <v>267.42500000000001</v>
      </c>
      <c r="K1655" s="15">
        <v>2.4129999999999998</v>
      </c>
      <c r="L1655" s="2">
        <v>21.808</v>
      </c>
      <c r="N1655" s="7">
        <f t="shared" si="213"/>
        <v>100</v>
      </c>
      <c r="O1655" s="1">
        <f t="shared" ref="O1655:O1722" si="214">19+16+16+16+16+16+16+16</f>
        <v>131</v>
      </c>
      <c r="P1655" s="1" t="str">
        <f t="shared" si="208"/>
        <v>100,131</v>
      </c>
      <c r="Q1655" s="6" t="s">
        <v>10</v>
      </c>
      <c r="R1655" s="1">
        <v>90</v>
      </c>
      <c r="S1655" s="1">
        <v>2.5</v>
      </c>
      <c r="T1655" s="1" t="str">
        <f t="shared" ref="T1655:T1722" si="215">$Q1655&amp;" "&amp;$P1655&amp;" "&amp;$S1655&amp;" "&amp;$R1655&amp;" "&amp;$J1655</f>
        <v>-text 100,131 2.5 90 267.425</v>
      </c>
    </row>
    <row r="1656" spans="1:20" x14ac:dyDescent="0.35">
      <c r="A1656" s="1">
        <v>284120</v>
      </c>
      <c r="B1656" s="7">
        <v>1173527.3</v>
      </c>
      <c r="C1656" s="2">
        <v>269.91399999999999</v>
      </c>
      <c r="D1656" s="2">
        <v>270.50400000000002</v>
      </c>
      <c r="E1656" s="2">
        <v>0.59</v>
      </c>
      <c r="F1656" s="2">
        <v>269.24200000000002</v>
      </c>
      <c r="G1656" s="2">
        <v>269.791</v>
      </c>
      <c r="H1656" s="2">
        <v>0.54900000000000004</v>
      </c>
      <c r="I1656" s="2">
        <v>267.74099999999999</v>
      </c>
      <c r="J1656" s="2">
        <v>267.35500000000002</v>
      </c>
      <c r="K1656" s="15">
        <v>2.4369999999999998</v>
      </c>
      <c r="L1656" s="2">
        <v>21.984000000000002</v>
      </c>
      <c r="N1656" s="7">
        <f t="shared" si="213"/>
        <v>120</v>
      </c>
      <c r="O1656" s="1">
        <f t="shared" si="214"/>
        <v>131</v>
      </c>
      <c r="P1656" s="1" t="str">
        <f t="shared" si="208"/>
        <v>120,131</v>
      </c>
      <c r="Q1656" s="6" t="s">
        <v>10</v>
      </c>
      <c r="R1656" s="1">
        <v>90</v>
      </c>
      <c r="S1656" s="1">
        <v>2.5</v>
      </c>
      <c r="T1656" s="1" t="str">
        <f t="shared" si="215"/>
        <v>-text 120,131 2.5 90 267.355</v>
      </c>
    </row>
    <row r="1657" spans="1:20" x14ac:dyDescent="0.35">
      <c r="A1657" s="1">
        <v>284140</v>
      </c>
      <c r="B1657" s="7">
        <v>1173547.3</v>
      </c>
      <c r="C1657" s="2">
        <v>269.88499999999999</v>
      </c>
      <c r="D1657" s="2">
        <v>270.45800000000003</v>
      </c>
      <c r="E1657" s="2">
        <v>0.57399999999999995</v>
      </c>
      <c r="F1657" s="2">
        <v>269.21300000000002</v>
      </c>
      <c r="G1657" s="2">
        <v>269.745</v>
      </c>
      <c r="H1657" s="2">
        <v>0.53300000000000003</v>
      </c>
      <c r="I1657" s="2">
        <v>267.59300000000002</v>
      </c>
      <c r="J1657" s="2">
        <v>267.24700000000001</v>
      </c>
      <c r="K1657" s="15">
        <v>2.4980000000000002</v>
      </c>
      <c r="L1657" s="2">
        <v>22.166</v>
      </c>
      <c r="N1657" s="7">
        <f t="shared" si="213"/>
        <v>140</v>
      </c>
      <c r="O1657" s="1">
        <f t="shared" si="214"/>
        <v>131</v>
      </c>
      <c r="P1657" s="1" t="str">
        <f t="shared" ref="P1657:P1724" si="216">CONCATENATE(N1657,",",O1657)</f>
        <v>140,131</v>
      </c>
      <c r="Q1657" s="6" t="s">
        <v>10</v>
      </c>
      <c r="R1657" s="1">
        <v>90</v>
      </c>
      <c r="S1657" s="1">
        <v>2.5</v>
      </c>
      <c r="T1657" s="1" t="str">
        <f t="shared" si="215"/>
        <v>-text 140,131 2.5 90 267.247</v>
      </c>
    </row>
    <row r="1658" spans="1:20" x14ac:dyDescent="0.35">
      <c r="A1658" s="1">
        <v>284160</v>
      </c>
      <c r="B1658" s="7">
        <v>1173567.3</v>
      </c>
      <c r="C1658" s="2">
        <v>269.85500000000002</v>
      </c>
      <c r="D1658" s="2">
        <v>270.41199999999998</v>
      </c>
      <c r="E1658" s="2">
        <v>0.55700000000000005</v>
      </c>
      <c r="F1658" s="2">
        <v>269.18299999999999</v>
      </c>
      <c r="G1658" s="2">
        <v>269.69900000000001</v>
      </c>
      <c r="H1658" s="2">
        <v>0.51600000000000001</v>
      </c>
      <c r="I1658" s="2">
        <v>267.71199999999999</v>
      </c>
      <c r="J1658" s="2">
        <v>267.61900000000003</v>
      </c>
      <c r="K1658" s="15">
        <v>2.08</v>
      </c>
      <c r="L1658" s="2">
        <v>22.347000000000001</v>
      </c>
      <c r="N1658" s="7">
        <f t="shared" si="213"/>
        <v>160</v>
      </c>
      <c r="O1658" s="1">
        <f t="shared" si="214"/>
        <v>131</v>
      </c>
      <c r="P1658" s="1" t="str">
        <f t="shared" si="216"/>
        <v>160,131</v>
      </c>
      <c r="Q1658" s="6" t="s">
        <v>10</v>
      </c>
      <c r="R1658" s="1">
        <v>90</v>
      </c>
      <c r="S1658" s="1">
        <v>2.5</v>
      </c>
      <c r="T1658" s="1" t="str">
        <f t="shared" si="215"/>
        <v>-text 160,131 2.5 90 267.619</v>
      </c>
    </row>
    <row r="1659" spans="1:20" x14ac:dyDescent="0.35">
      <c r="A1659" s="1">
        <v>284180</v>
      </c>
      <c r="B1659" s="7">
        <v>1173587.3</v>
      </c>
      <c r="C1659" s="2">
        <v>269.84899999999999</v>
      </c>
      <c r="D1659" s="2">
        <v>270.38</v>
      </c>
      <c r="E1659" s="2">
        <v>0.53100000000000003</v>
      </c>
      <c r="F1659" s="2">
        <v>269.17700000000002</v>
      </c>
      <c r="G1659" s="2">
        <v>269.66699999999997</v>
      </c>
      <c r="H1659" s="2">
        <v>0.49</v>
      </c>
      <c r="I1659" s="2">
        <v>268.58999999999997</v>
      </c>
      <c r="J1659" s="2">
        <v>268.32799999999997</v>
      </c>
      <c r="K1659" s="15">
        <v>1.339</v>
      </c>
      <c r="L1659" s="2">
        <v>22.52</v>
      </c>
      <c r="N1659" s="7">
        <f t="shared" si="213"/>
        <v>180</v>
      </c>
      <c r="O1659" s="1">
        <f t="shared" si="214"/>
        <v>131</v>
      </c>
      <c r="P1659" s="1" t="str">
        <f t="shared" si="216"/>
        <v>180,131</v>
      </c>
      <c r="Q1659" s="6" t="s">
        <v>10</v>
      </c>
      <c r="R1659" s="1">
        <v>90</v>
      </c>
      <c r="S1659" s="1">
        <v>2.5</v>
      </c>
      <c r="T1659" s="1" t="str">
        <f t="shared" si="215"/>
        <v>-text 180,131 2.5 90 268.328</v>
      </c>
    </row>
    <row r="1660" spans="1:20" x14ac:dyDescent="0.35">
      <c r="A1660" s="1">
        <v>284200</v>
      </c>
      <c r="B1660" s="7">
        <v>1173607.3</v>
      </c>
      <c r="C1660" s="2">
        <v>269.88900000000001</v>
      </c>
      <c r="D1660" s="2">
        <v>270.45600000000002</v>
      </c>
      <c r="E1660" s="2">
        <v>0.56699999999999995</v>
      </c>
      <c r="F1660" s="2">
        <v>269.21699999999998</v>
      </c>
      <c r="G1660" s="2">
        <v>269.74299999999999</v>
      </c>
      <c r="H1660" s="2">
        <v>0.52600000000000002</v>
      </c>
      <c r="I1660" s="2">
        <v>269.17</v>
      </c>
      <c r="J1660" s="2">
        <v>268.58</v>
      </c>
      <c r="K1660" s="15">
        <v>1.163</v>
      </c>
      <c r="L1660" s="2">
        <v>22.696999999999999</v>
      </c>
      <c r="N1660" s="7">
        <f t="shared" si="213"/>
        <v>200</v>
      </c>
      <c r="O1660" s="1">
        <f t="shared" si="214"/>
        <v>131</v>
      </c>
      <c r="P1660" s="1" t="str">
        <f t="shared" si="216"/>
        <v>200,131</v>
      </c>
      <c r="Q1660" s="6" t="s">
        <v>10</v>
      </c>
      <c r="R1660" s="1">
        <v>90</v>
      </c>
      <c r="S1660" s="1">
        <v>2.5</v>
      </c>
      <c r="T1660" s="1" t="str">
        <f t="shared" si="215"/>
        <v>-text 200,131 2.5 90 268.58</v>
      </c>
    </row>
    <row r="1661" spans="1:20" x14ac:dyDescent="0.35">
      <c r="A1661" s="1">
        <v>284220</v>
      </c>
      <c r="B1661" s="7">
        <v>1173627.3</v>
      </c>
      <c r="C1661" s="2">
        <v>269.84899999999999</v>
      </c>
      <c r="D1661" s="2">
        <v>270.53199999999998</v>
      </c>
      <c r="E1661" s="2">
        <v>0.68400000000000005</v>
      </c>
      <c r="F1661" s="2">
        <v>269.17700000000002</v>
      </c>
      <c r="G1661" s="2">
        <v>269.81900000000002</v>
      </c>
      <c r="H1661" s="2">
        <v>0.64300000000000002</v>
      </c>
      <c r="I1661" s="2">
        <v>269.03899999999999</v>
      </c>
      <c r="J1661" s="2">
        <v>268.56299999999999</v>
      </c>
      <c r="K1661" s="15">
        <v>1.256</v>
      </c>
      <c r="L1661" s="2">
        <v>22.89</v>
      </c>
      <c r="N1661" s="7">
        <f t="shared" si="213"/>
        <v>220</v>
      </c>
      <c r="O1661" s="1">
        <f t="shared" si="214"/>
        <v>131</v>
      </c>
      <c r="P1661" s="1" t="str">
        <f t="shared" si="216"/>
        <v>220,131</v>
      </c>
      <c r="Q1661" s="6" t="s">
        <v>10</v>
      </c>
      <c r="R1661" s="1">
        <v>90</v>
      </c>
      <c r="S1661" s="1">
        <v>2.5</v>
      </c>
      <c r="T1661" s="1" t="str">
        <f t="shared" si="215"/>
        <v>-text 220,131 2.5 90 268.563</v>
      </c>
    </row>
    <row r="1662" spans="1:20" x14ac:dyDescent="0.35">
      <c r="A1662" s="1">
        <v>284240</v>
      </c>
      <c r="B1662" s="7">
        <v>1173647.3</v>
      </c>
      <c r="C1662" s="2">
        <v>269.80799999999999</v>
      </c>
      <c r="D1662" s="2">
        <v>270.608</v>
      </c>
      <c r="E1662" s="2">
        <v>0.8</v>
      </c>
      <c r="F1662" s="2">
        <v>269.13600000000002</v>
      </c>
      <c r="G1662" s="2">
        <v>269.89499999999998</v>
      </c>
      <c r="H1662" s="2">
        <v>0.75900000000000001</v>
      </c>
      <c r="I1662" s="2">
        <v>268.51299999999998</v>
      </c>
      <c r="J1662" s="2">
        <v>268.471</v>
      </c>
      <c r="K1662" s="15">
        <v>1.425</v>
      </c>
      <c r="L1662" s="2">
        <v>23.074000000000002</v>
      </c>
      <c r="N1662" s="7">
        <f t="shared" si="213"/>
        <v>240</v>
      </c>
      <c r="O1662" s="1">
        <f t="shared" si="214"/>
        <v>131</v>
      </c>
      <c r="P1662" s="1" t="str">
        <f t="shared" si="216"/>
        <v>240,131</v>
      </c>
      <c r="Q1662" s="6" t="s">
        <v>10</v>
      </c>
      <c r="R1662" s="1">
        <v>90</v>
      </c>
      <c r="S1662" s="1">
        <v>2.5</v>
      </c>
      <c r="T1662" s="1" t="str">
        <f t="shared" si="215"/>
        <v>-text 240,131 2.5 90 268.471</v>
      </c>
    </row>
    <row r="1663" spans="1:20" x14ac:dyDescent="0.35">
      <c r="A1663" s="1">
        <v>284260</v>
      </c>
      <c r="B1663" s="7">
        <v>1173667.3</v>
      </c>
      <c r="C1663" s="2">
        <v>269.77199999999999</v>
      </c>
      <c r="D1663" s="2">
        <v>270.68400000000003</v>
      </c>
      <c r="E1663" s="2">
        <v>0.91300000000000003</v>
      </c>
      <c r="F1663" s="2">
        <v>269.10000000000002</v>
      </c>
      <c r="G1663" s="2">
        <v>269.971</v>
      </c>
      <c r="H1663" s="2">
        <v>0.872</v>
      </c>
      <c r="I1663" s="2">
        <v>268.42899999999997</v>
      </c>
      <c r="J1663" s="2">
        <v>268.38900000000001</v>
      </c>
      <c r="K1663" s="15">
        <v>1.583</v>
      </c>
      <c r="L1663" s="2">
        <v>23.238</v>
      </c>
      <c r="N1663" s="7">
        <f t="shared" si="213"/>
        <v>260</v>
      </c>
      <c r="O1663" s="1">
        <f t="shared" si="214"/>
        <v>131</v>
      </c>
      <c r="P1663" s="1" t="str">
        <f t="shared" si="216"/>
        <v>260,131</v>
      </c>
      <c r="Q1663" s="6" t="s">
        <v>10</v>
      </c>
      <c r="R1663" s="1">
        <v>90</v>
      </c>
      <c r="S1663" s="1">
        <v>2.5</v>
      </c>
      <c r="T1663" s="1" t="str">
        <f t="shared" si="215"/>
        <v>-text 260,131 2.5 90 268.389</v>
      </c>
    </row>
    <row r="1664" spans="1:20" x14ac:dyDescent="0.35">
      <c r="A1664" s="1">
        <v>284280</v>
      </c>
      <c r="B1664" s="7">
        <v>1173687.3</v>
      </c>
      <c r="C1664" s="2">
        <v>269.73200000000003</v>
      </c>
      <c r="D1664" s="2">
        <v>270.76100000000002</v>
      </c>
      <c r="E1664" s="2">
        <v>1.0289999999999999</v>
      </c>
      <c r="F1664" s="2">
        <v>269.06</v>
      </c>
      <c r="G1664" s="2">
        <v>270.048</v>
      </c>
      <c r="H1664" s="2">
        <v>0.98799999999999999</v>
      </c>
      <c r="I1664" s="2">
        <v>268.12700000000001</v>
      </c>
      <c r="J1664" s="2">
        <v>267.822</v>
      </c>
      <c r="K1664" s="15">
        <v>2.226</v>
      </c>
      <c r="L1664" s="2">
        <v>23.411000000000001</v>
      </c>
      <c r="N1664" s="7">
        <f t="shared" si="213"/>
        <v>280</v>
      </c>
      <c r="O1664" s="1">
        <f t="shared" si="214"/>
        <v>131</v>
      </c>
      <c r="P1664" s="1" t="str">
        <f t="shared" si="216"/>
        <v>280,131</v>
      </c>
      <c r="Q1664" s="6" t="s">
        <v>10</v>
      </c>
      <c r="R1664" s="1">
        <v>90</v>
      </c>
      <c r="S1664" s="1">
        <v>2.5</v>
      </c>
      <c r="T1664" s="1" t="str">
        <f t="shared" si="215"/>
        <v>-text 280,131 2.5 90 267.822</v>
      </c>
    </row>
    <row r="1665" spans="1:20" x14ac:dyDescent="0.35">
      <c r="A1665" s="1">
        <v>284300</v>
      </c>
      <c r="B1665" s="7">
        <v>1173707.3</v>
      </c>
      <c r="C1665" s="2">
        <v>269.68700000000001</v>
      </c>
      <c r="D1665" s="2">
        <v>270.83699999999999</v>
      </c>
      <c r="E1665" s="2">
        <v>1.149</v>
      </c>
      <c r="F1665" s="2">
        <v>269.01499999999999</v>
      </c>
      <c r="G1665" s="2">
        <v>270.12400000000002</v>
      </c>
      <c r="H1665" s="2">
        <v>1.1080000000000001</v>
      </c>
      <c r="I1665" s="2">
        <v>268.16800000000001</v>
      </c>
      <c r="J1665" s="2">
        <v>267.80399999999997</v>
      </c>
      <c r="K1665" s="15">
        <v>2.3199999999999998</v>
      </c>
      <c r="L1665" s="2">
        <v>23.593</v>
      </c>
      <c r="N1665" s="7">
        <f t="shared" si="213"/>
        <v>300</v>
      </c>
      <c r="O1665" s="1">
        <f t="shared" si="214"/>
        <v>131</v>
      </c>
      <c r="P1665" s="1" t="str">
        <f t="shared" si="216"/>
        <v>300,131</v>
      </c>
      <c r="Q1665" s="6" t="s">
        <v>10</v>
      </c>
      <c r="R1665" s="1">
        <v>90</v>
      </c>
      <c r="S1665" s="1">
        <v>2.5</v>
      </c>
      <c r="T1665" s="1" t="str">
        <f t="shared" si="215"/>
        <v>-text 300,131 2.5 90 267.804</v>
      </c>
    </row>
    <row r="1666" spans="1:20" x14ac:dyDescent="0.35">
      <c r="A1666" s="1">
        <v>284320</v>
      </c>
      <c r="B1666" s="7">
        <v>1173727.3</v>
      </c>
      <c r="C1666" s="2">
        <v>269.64999999999998</v>
      </c>
      <c r="D1666" s="2">
        <v>270.91300000000001</v>
      </c>
      <c r="E1666" s="2">
        <v>1.2629999999999999</v>
      </c>
      <c r="F1666" s="2">
        <v>268.97800000000001</v>
      </c>
      <c r="G1666" s="2">
        <v>270.2</v>
      </c>
      <c r="H1666" s="2">
        <v>1.222</v>
      </c>
      <c r="I1666" s="2">
        <v>268.24</v>
      </c>
      <c r="J1666" s="2">
        <v>268.06</v>
      </c>
      <c r="K1666" s="15">
        <v>2.1389999999999998</v>
      </c>
      <c r="L1666" s="2">
        <v>23.768000000000001</v>
      </c>
      <c r="N1666" s="7">
        <f t="shared" si="213"/>
        <v>320</v>
      </c>
      <c r="O1666" s="1">
        <f t="shared" si="214"/>
        <v>131</v>
      </c>
      <c r="P1666" s="1" t="str">
        <f t="shared" si="216"/>
        <v>320,131</v>
      </c>
      <c r="Q1666" s="6" t="s">
        <v>10</v>
      </c>
      <c r="R1666" s="1">
        <v>90</v>
      </c>
      <c r="S1666" s="1">
        <v>2.5</v>
      </c>
      <c r="T1666" s="1" t="str">
        <f t="shared" si="215"/>
        <v>-text 320,131 2.5 90 268.06</v>
      </c>
    </row>
    <row r="1667" spans="1:20" x14ac:dyDescent="0.35">
      <c r="A1667" s="1">
        <v>284340</v>
      </c>
      <c r="B1667" s="7">
        <v>1173747.3</v>
      </c>
      <c r="C1667" s="2">
        <v>269.62099999999998</v>
      </c>
      <c r="D1667" s="2">
        <v>270.98899999999998</v>
      </c>
      <c r="E1667" s="2">
        <v>1.3680000000000001</v>
      </c>
      <c r="F1667" s="2">
        <v>268.94900000000001</v>
      </c>
      <c r="G1667" s="2">
        <v>270.27600000000001</v>
      </c>
      <c r="H1667" s="2">
        <v>1.327</v>
      </c>
      <c r="I1667" s="2">
        <v>268.23200000000003</v>
      </c>
      <c r="J1667" s="2">
        <v>268.11</v>
      </c>
      <c r="K1667" s="15">
        <v>2.1659999999999999</v>
      </c>
      <c r="L1667" s="2">
        <v>23.934000000000001</v>
      </c>
      <c r="N1667" s="7">
        <f t="shared" si="213"/>
        <v>340</v>
      </c>
      <c r="O1667" s="1">
        <f t="shared" si="214"/>
        <v>131</v>
      </c>
      <c r="P1667" s="1" t="str">
        <f t="shared" si="216"/>
        <v>340,131</v>
      </c>
      <c r="Q1667" s="6" t="s">
        <v>10</v>
      </c>
      <c r="R1667" s="1">
        <v>90</v>
      </c>
      <c r="S1667" s="1">
        <v>2.5</v>
      </c>
      <c r="T1667" s="1" t="str">
        <f t="shared" si="215"/>
        <v>-text 340,131 2.5 90 268.11</v>
      </c>
    </row>
    <row r="1668" spans="1:20" x14ac:dyDescent="0.35">
      <c r="A1668" s="1">
        <v>284360</v>
      </c>
      <c r="B1668" s="7">
        <v>1173767.3</v>
      </c>
      <c r="C1668" s="2">
        <v>269.61900000000003</v>
      </c>
      <c r="D1668" s="2">
        <v>271.065</v>
      </c>
      <c r="E1668" s="2">
        <v>1.446</v>
      </c>
      <c r="F1668" s="2">
        <v>268.947</v>
      </c>
      <c r="G1668" s="2">
        <v>270.35199999999998</v>
      </c>
      <c r="H1668" s="2">
        <v>1.405</v>
      </c>
      <c r="I1668" s="2">
        <v>268.12799999999999</v>
      </c>
      <c r="J1668" s="2">
        <v>267.82900000000001</v>
      </c>
      <c r="K1668" s="15">
        <v>2.5230000000000001</v>
      </c>
      <c r="L1668" s="2">
        <v>24.111999999999998</v>
      </c>
      <c r="N1668" s="7">
        <f t="shared" si="213"/>
        <v>360</v>
      </c>
      <c r="O1668" s="1">
        <f t="shared" si="214"/>
        <v>131</v>
      </c>
      <c r="P1668" s="1" t="str">
        <f t="shared" si="216"/>
        <v>360,131</v>
      </c>
      <c r="Q1668" s="6" t="s">
        <v>10</v>
      </c>
      <c r="R1668" s="1">
        <v>90</v>
      </c>
      <c r="S1668" s="1">
        <v>2.5</v>
      </c>
      <c r="T1668" s="1" t="str">
        <f t="shared" si="215"/>
        <v>-text 360,131 2.5 90 267.829</v>
      </c>
    </row>
    <row r="1669" spans="1:20" x14ac:dyDescent="0.35">
      <c r="A1669" s="1">
        <v>284380</v>
      </c>
      <c r="B1669" s="7">
        <v>1173787.3</v>
      </c>
      <c r="C1669" s="2">
        <v>269.65699999999998</v>
      </c>
      <c r="D1669" s="2">
        <v>271.14100000000002</v>
      </c>
      <c r="E1669" s="2">
        <v>1.484</v>
      </c>
      <c r="F1669" s="2">
        <v>268.98500000000001</v>
      </c>
      <c r="G1669" s="2">
        <v>270.428</v>
      </c>
      <c r="H1669" s="2">
        <v>1.4430000000000001</v>
      </c>
      <c r="I1669" s="2">
        <v>268.08300000000003</v>
      </c>
      <c r="J1669" s="2">
        <v>267.86599999999999</v>
      </c>
      <c r="K1669" s="15">
        <v>2.5619999999999998</v>
      </c>
      <c r="L1669" s="2">
        <v>24.306999999999999</v>
      </c>
      <c r="N1669" s="7">
        <f t="shared" si="213"/>
        <v>380</v>
      </c>
      <c r="O1669" s="1">
        <f t="shared" si="214"/>
        <v>131</v>
      </c>
      <c r="P1669" s="1" t="str">
        <f t="shared" si="216"/>
        <v>380,131</v>
      </c>
      <c r="Q1669" s="6" t="s">
        <v>10</v>
      </c>
      <c r="R1669" s="1">
        <v>90</v>
      </c>
      <c r="S1669" s="1">
        <v>2.5</v>
      </c>
      <c r="T1669" s="1" t="str">
        <f t="shared" si="215"/>
        <v>-text 380,131 2.5 90 267.866</v>
      </c>
    </row>
    <row r="1670" spans="1:20" x14ac:dyDescent="0.35">
      <c r="A1670" s="1">
        <v>284400</v>
      </c>
      <c r="B1670" s="7">
        <v>1173807.3</v>
      </c>
      <c r="C1670" s="2">
        <v>269.66699999999997</v>
      </c>
      <c r="D1670" s="2">
        <v>271.21699999999998</v>
      </c>
      <c r="E1670" s="2">
        <v>1.55</v>
      </c>
      <c r="F1670" s="2">
        <v>268.995</v>
      </c>
      <c r="G1670" s="2">
        <v>270.50400000000002</v>
      </c>
      <c r="H1670" s="2">
        <v>1.5089999999999999</v>
      </c>
      <c r="I1670" s="2">
        <v>268.08999999999997</v>
      </c>
      <c r="J1670" s="2">
        <v>268.12</v>
      </c>
      <c r="K1670" s="15">
        <v>2.3839999999999999</v>
      </c>
      <c r="L1670" s="2">
        <v>24.478000000000002</v>
      </c>
      <c r="N1670" s="7">
        <f t="shared" si="213"/>
        <v>400</v>
      </c>
      <c r="O1670" s="1">
        <f t="shared" si="214"/>
        <v>131</v>
      </c>
      <c r="P1670" s="1" t="str">
        <f t="shared" si="216"/>
        <v>400,131</v>
      </c>
      <c r="Q1670" s="6" t="s">
        <v>10</v>
      </c>
      <c r="R1670" s="1">
        <v>90</v>
      </c>
      <c r="S1670" s="1">
        <v>2.5</v>
      </c>
      <c r="T1670" s="1" t="str">
        <f t="shared" si="215"/>
        <v>-text 400,131 2.5 90 268.12</v>
      </c>
    </row>
    <row r="1671" spans="1:20" x14ac:dyDescent="0.35">
      <c r="A1671" s="1">
        <v>284420</v>
      </c>
      <c r="B1671" s="7">
        <v>1173827.3</v>
      </c>
      <c r="C1671" s="2">
        <v>269.66000000000003</v>
      </c>
      <c r="D1671" s="2">
        <v>271.29300000000001</v>
      </c>
      <c r="E1671" s="2">
        <v>1.633</v>
      </c>
      <c r="F1671" s="2">
        <v>268.988</v>
      </c>
      <c r="G1671" s="2">
        <v>270.58</v>
      </c>
      <c r="H1671" s="2">
        <v>1.5920000000000001</v>
      </c>
      <c r="I1671" s="2">
        <v>268.18099999999998</v>
      </c>
      <c r="J1671" s="2">
        <v>268.29500000000002</v>
      </c>
      <c r="K1671" s="15">
        <v>2.2850000000000001</v>
      </c>
      <c r="L1671" s="2">
        <v>24.634</v>
      </c>
      <c r="N1671" s="7">
        <f t="shared" si="213"/>
        <v>420</v>
      </c>
      <c r="O1671" s="1">
        <f t="shared" si="214"/>
        <v>131</v>
      </c>
      <c r="P1671" s="1" t="str">
        <f t="shared" si="216"/>
        <v>420,131</v>
      </c>
      <c r="Q1671" s="6" t="s">
        <v>10</v>
      </c>
      <c r="R1671" s="1">
        <v>90</v>
      </c>
      <c r="S1671" s="1">
        <v>2.5</v>
      </c>
      <c r="T1671" s="1" t="str">
        <f t="shared" si="215"/>
        <v>-text 420,131 2.5 90 268.295</v>
      </c>
    </row>
    <row r="1672" spans="1:20" x14ac:dyDescent="0.35">
      <c r="A1672" s="1">
        <v>284440</v>
      </c>
      <c r="B1672" s="7">
        <v>1173847.3</v>
      </c>
      <c r="C1672" s="2">
        <v>269.65199999999999</v>
      </c>
      <c r="D1672" s="2">
        <v>271.36900000000003</v>
      </c>
      <c r="E1672" s="2">
        <v>1.7170000000000001</v>
      </c>
      <c r="F1672" s="2">
        <v>268.98</v>
      </c>
      <c r="G1672" s="2">
        <v>270.65600000000001</v>
      </c>
      <c r="H1672" s="2">
        <v>1.6759999999999999</v>
      </c>
      <c r="I1672" s="2">
        <v>268.16800000000001</v>
      </c>
      <c r="J1672" s="2">
        <v>268.202</v>
      </c>
      <c r="K1672" s="15">
        <v>2.4550000000000001</v>
      </c>
      <c r="L1672" s="2">
        <v>24.79</v>
      </c>
      <c r="N1672" s="7">
        <f t="shared" si="213"/>
        <v>440</v>
      </c>
      <c r="O1672" s="1">
        <f t="shared" si="214"/>
        <v>131</v>
      </c>
      <c r="P1672" s="1" t="str">
        <f t="shared" si="216"/>
        <v>440,131</v>
      </c>
      <c r="Q1672" s="6" t="s">
        <v>10</v>
      </c>
      <c r="R1672" s="1">
        <v>90</v>
      </c>
      <c r="S1672" s="1">
        <v>2.5</v>
      </c>
      <c r="T1672" s="1" t="str">
        <f t="shared" si="215"/>
        <v>-text 440,131 2.5 90 268.202</v>
      </c>
    </row>
    <row r="1673" spans="1:20" x14ac:dyDescent="0.35">
      <c r="A1673" s="1">
        <v>284460</v>
      </c>
      <c r="B1673" s="7">
        <v>1173867.3</v>
      </c>
      <c r="C1673" s="2">
        <v>269.61200000000002</v>
      </c>
      <c r="D1673" s="2">
        <v>271.44499999999999</v>
      </c>
      <c r="E1673" s="2">
        <v>1.833</v>
      </c>
      <c r="F1673" s="2">
        <v>268.94</v>
      </c>
      <c r="G1673" s="2">
        <v>270.73200000000003</v>
      </c>
      <c r="H1673" s="2">
        <v>1.792</v>
      </c>
      <c r="I1673" s="2">
        <v>268.10599999999999</v>
      </c>
      <c r="J1673" s="2">
        <v>268.13600000000002</v>
      </c>
      <c r="K1673" s="15">
        <v>2.5960000000000001</v>
      </c>
      <c r="L1673" s="2">
        <v>24.954999999999998</v>
      </c>
      <c r="N1673" s="7">
        <f t="shared" si="213"/>
        <v>460</v>
      </c>
      <c r="O1673" s="1">
        <f t="shared" si="214"/>
        <v>131</v>
      </c>
      <c r="P1673" s="1" t="str">
        <f t="shared" si="216"/>
        <v>460,131</v>
      </c>
      <c r="Q1673" s="6" t="s">
        <v>10</v>
      </c>
      <c r="R1673" s="1">
        <v>90</v>
      </c>
      <c r="S1673" s="1">
        <v>2.5</v>
      </c>
      <c r="T1673" s="1" t="str">
        <f t="shared" si="215"/>
        <v>-text 460,131 2.5 90 268.136</v>
      </c>
    </row>
    <row r="1674" spans="1:20" x14ac:dyDescent="0.35">
      <c r="A1674" s="1">
        <v>284480</v>
      </c>
      <c r="B1674" s="7">
        <v>1173887.3</v>
      </c>
      <c r="C1674" s="2">
        <v>269.56599999999997</v>
      </c>
      <c r="D1674" s="2">
        <v>271.52100000000002</v>
      </c>
      <c r="E1674" s="2">
        <v>1.9550000000000001</v>
      </c>
      <c r="F1674" s="2">
        <v>268.89400000000001</v>
      </c>
      <c r="G1674" s="2">
        <v>270.80799999999999</v>
      </c>
      <c r="H1674" s="2">
        <v>1.9139999999999999</v>
      </c>
      <c r="I1674" s="2">
        <v>267.98599999999999</v>
      </c>
      <c r="J1674" s="2">
        <v>267.89499999999998</v>
      </c>
      <c r="K1674" s="15">
        <v>2.9129999999999998</v>
      </c>
      <c r="L1674" s="2">
        <v>25.12</v>
      </c>
      <c r="N1674" s="7">
        <f t="shared" si="213"/>
        <v>480</v>
      </c>
      <c r="O1674" s="1">
        <f t="shared" si="214"/>
        <v>131</v>
      </c>
      <c r="P1674" s="1" t="str">
        <f t="shared" si="216"/>
        <v>480,131</v>
      </c>
      <c r="Q1674" s="6" t="s">
        <v>10</v>
      </c>
      <c r="R1674" s="1">
        <v>90</v>
      </c>
      <c r="S1674" s="1">
        <v>2.5</v>
      </c>
      <c r="T1674" s="1" t="str">
        <f t="shared" si="215"/>
        <v>-text 480,131 2.5 90 267.895</v>
      </c>
    </row>
    <row r="1675" spans="1:20" x14ac:dyDescent="0.35">
      <c r="A1675" s="1">
        <v>284500</v>
      </c>
      <c r="B1675" s="7">
        <v>1173907.3</v>
      </c>
      <c r="C1675" s="2">
        <v>269.52699999999999</v>
      </c>
      <c r="D1675" s="2">
        <v>271.59699999999998</v>
      </c>
      <c r="E1675" s="2">
        <v>2.0699999999999998</v>
      </c>
      <c r="F1675" s="2">
        <v>268.85500000000002</v>
      </c>
      <c r="G1675" s="2">
        <v>270.88400000000001</v>
      </c>
      <c r="H1675" s="2">
        <v>2.0289999999999999</v>
      </c>
      <c r="I1675" s="2">
        <v>267.97899999999998</v>
      </c>
      <c r="J1675" s="2">
        <v>267.983</v>
      </c>
      <c r="K1675" s="15">
        <v>2.9020000000000001</v>
      </c>
      <c r="L1675" s="2">
        <v>25.282</v>
      </c>
      <c r="N1675" s="7">
        <f>N1672+(B1675-B1672)</f>
        <v>500</v>
      </c>
      <c r="O1675" s="1">
        <f t="shared" si="214"/>
        <v>131</v>
      </c>
      <c r="P1675" s="1" t="str">
        <f t="shared" ref="P1675" si="217">CONCATENATE(N1675,",",O1675)</f>
        <v>500,131</v>
      </c>
      <c r="Q1675" s="6" t="s">
        <v>10</v>
      </c>
      <c r="R1675" s="1">
        <v>90</v>
      </c>
      <c r="S1675" s="1">
        <v>2.5</v>
      </c>
      <c r="T1675" s="1" t="str">
        <f t="shared" si="215"/>
        <v>-text 500,131 2.5 90 267.983</v>
      </c>
    </row>
    <row r="1676" spans="1:20" s="10" customFormat="1" x14ac:dyDescent="0.35">
      <c r="B1676" s="11"/>
      <c r="C1676" s="9"/>
      <c r="D1676" s="9"/>
      <c r="E1676" s="9"/>
      <c r="F1676" s="9"/>
      <c r="G1676" s="9"/>
      <c r="H1676" s="9"/>
      <c r="I1676" s="9"/>
      <c r="J1676" s="9"/>
      <c r="K1676" s="16"/>
      <c r="L1676" s="9"/>
      <c r="M1676" s="9"/>
      <c r="N1676" s="11"/>
      <c r="Q1676" s="12"/>
    </row>
    <row r="1677" spans="1:20" x14ac:dyDescent="0.35">
      <c r="A1677" s="1">
        <v>284500</v>
      </c>
      <c r="B1677" s="7">
        <v>1173907.3</v>
      </c>
      <c r="C1677" s="2">
        <v>269.52699999999999</v>
      </c>
      <c r="D1677" s="2">
        <v>271.59699999999998</v>
      </c>
      <c r="E1677" s="2">
        <v>2.0699999999999998</v>
      </c>
      <c r="F1677" s="2">
        <v>268.85500000000002</v>
      </c>
      <c r="G1677" s="2">
        <v>270.88400000000001</v>
      </c>
      <c r="H1677" s="2">
        <v>2.0289999999999999</v>
      </c>
      <c r="I1677" s="2">
        <v>267.97899999999998</v>
      </c>
      <c r="J1677" s="2">
        <v>267.983</v>
      </c>
      <c r="K1677" s="15">
        <v>2.9020000000000001</v>
      </c>
      <c r="L1677" s="2">
        <v>25.282</v>
      </c>
      <c r="N1677" s="7">
        <v>0</v>
      </c>
      <c r="O1677" s="1">
        <f t="shared" si="214"/>
        <v>131</v>
      </c>
      <c r="P1677" s="1" t="str">
        <f t="shared" si="216"/>
        <v>0,131</v>
      </c>
      <c r="Q1677" s="6" t="s">
        <v>10</v>
      </c>
      <c r="R1677" s="1">
        <v>90</v>
      </c>
      <c r="S1677" s="1">
        <v>2.5</v>
      </c>
      <c r="T1677" s="1" t="str">
        <f t="shared" si="215"/>
        <v>-text 0,131 2.5 90 267.983</v>
      </c>
    </row>
    <row r="1678" spans="1:20" x14ac:dyDescent="0.35">
      <c r="A1678" s="1">
        <v>284520</v>
      </c>
      <c r="B1678" s="7">
        <v>1173927.3</v>
      </c>
      <c r="C1678" s="2">
        <v>269.49099999999999</v>
      </c>
      <c r="D1678" s="2">
        <v>271.67399999999998</v>
      </c>
      <c r="E1678" s="2">
        <v>2.1819999999999999</v>
      </c>
      <c r="F1678" s="2">
        <v>268.81900000000002</v>
      </c>
      <c r="G1678" s="2">
        <v>270.96100000000001</v>
      </c>
      <c r="H1678" s="2">
        <v>2.141</v>
      </c>
      <c r="I1678" s="2">
        <v>267.95400000000001</v>
      </c>
      <c r="J1678" s="2">
        <v>267.88099999999997</v>
      </c>
      <c r="K1678" s="15">
        <v>3.08</v>
      </c>
      <c r="L1678" s="2">
        <v>25.442</v>
      </c>
      <c r="N1678" s="7">
        <f t="shared" ref="N1678:N1701" si="218">N1677+(B1678-B1677)</f>
        <v>20</v>
      </c>
      <c r="O1678" s="1">
        <f t="shared" si="214"/>
        <v>131</v>
      </c>
      <c r="P1678" s="1" t="str">
        <f t="shared" si="216"/>
        <v>20,131</v>
      </c>
      <c r="Q1678" s="6" t="s">
        <v>10</v>
      </c>
      <c r="R1678" s="1">
        <v>90</v>
      </c>
      <c r="S1678" s="1">
        <v>2.5</v>
      </c>
      <c r="T1678" s="1" t="str">
        <f t="shared" si="215"/>
        <v>-text 20,131 2.5 90 267.881</v>
      </c>
    </row>
    <row r="1679" spans="1:20" x14ac:dyDescent="0.35">
      <c r="A1679" s="1">
        <v>284540</v>
      </c>
      <c r="B1679" s="7">
        <v>1173947.3</v>
      </c>
      <c r="C1679" s="2">
        <v>269.47199999999998</v>
      </c>
      <c r="D1679" s="2">
        <v>271.75</v>
      </c>
      <c r="E1679" s="2">
        <v>2.278</v>
      </c>
      <c r="F1679" s="2">
        <v>268.8</v>
      </c>
      <c r="G1679" s="2">
        <v>271.03699999999998</v>
      </c>
      <c r="H1679" s="2">
        <v>2.2370000000000001</v>
      </c>
      <c r="I1679" s="2">
        <v>267.88099999999997</v>
      </c>
      <c r="J1679" s="2">
        <v>267.78500000000003</v>
      </c>
      <c r="K1679" s="15">
        <v>3.2519999999999998</v>
      </c>
      <c r="L1679" s="2">
        <v>25.617999999999999</v>
      </c>
      <c r="N1679" s="7">
        <f t="shared" si="218"/>
        <v>40</v>
      </c>
      <c r="O1679" s="1">
        <f t="shared" si="214"/>
        <v>131</v>
      </c>
      <c r="P1679" s="1" t="str">
        <f t="shared" si="216"/>
        <v>40,131</v>
      </c>
      <c r="Q1679" s="6" t="s">
        <v>10</v>
      </c>
      <c r="R1679" s="1">
        <v>90</v>
      </c>
      <c r="S1679" s="1">
        <v>2.5</v>
      </c>
      <c r="T1679" s="1" t="str">
        <f t="shared" si="215"/>
        <v>-text 40,131 2.5 90 267.785</v>
      </c>
    </row>
    <row r="1680" spans="1:20" x14ac:dyDescent="0.35">
      <c r="A1680" s="1">
        <v>284560</v>
      </c>
      <c r="B1680" s="7">
        <v>1173967.3</v>
      </c>
      <c r="C1680" s="2">
        <v>269.464</v>
      </c>
      <c r="D1680" s="2">
        <v>271.82600000000002</v>
      </c>
      <c r="E1680" s="2">
        <v>2.3610000000000002</v>
      </c>
      <c r="F1680" s="2">
        <v>268.79199999999997</v>
      </c>
      <c r="G1680" s="2">
        <v>271.113</v>
      </c>
      <c r="H1680" s="2">
        <v>2.3199999999999998</v>
      </c>
      <c r="I1680" s="2">
        <v>267.827</v>
      </c>
      <c r="J1680" s="2">
        <v>267.71899999999999</v>
      </c>
      <c r="K1680" s="15">
        <v>3.3940000000000001</v>
      </c>
      <c r="L1680" s="2">
        <v>25.806999999999999</v>
      </c>
      <c r="N1680" s="7">
        <f t="shared" si="218"/>
        <v>60</v>
      </c>
      <c r="O1680" s="1">
        <f t="shared" si="214"/>
        <v>131</v>
      </c>
      <c r="P1680" s="1" t="str">
        <f t="shared" si="216"/>
        <v>60,131</v>
      </c>
      <c r="Q1680" s="6" t="s">
        <v>10</v>
      </c>
      <c r="R1680" s="1">
        <v>90</v>
      </c>
      <c r="S1680" s="1">
        <v>2.5</v>
      </c>
      <c r="T1680" s="1" t="str">
        <f t="shared" si="215"/>
        <v>-text 60,131 2.5 90 267.719</v>
      </c>
    </row>
    <row r="1681" spans="1:20" x14ac:dyDescent="0.35">
      <c r="A1681" s="1">
        <v>284580</v>
      </c>
      <c r="B1681" s="7">
        <v>1173987.3</v>
      </c>
      <c r="C1681" s="2">
        <v>269.44</v>
      </c>
      <c r="D1681" s="2">
        <v>271.90199999999999</v>
      </c>
      <c r="E1681" s="2">
        <v>2.4620000000000002</v>
      </c>
      <c r="F1681" s="2">
        <v>268.76799999999997</v>
      </c>
      <c r="G1681" s="2">
        <v>271.18900000000002</v>
      </c>
      <c r="H1681" s="2">
        <v>2.4209999999999998</v>
      </c>
      <c r="I1681" s="2">
        <v>267.77499999999998</v>
      </c>
      <c r="J1681" s="2">
        <v>267.64600000000002</v>
      </c>
      <c r="K1681" s="15">
        <v>3.5430000000000001</v>
      </c>
      <c r="L1681" s="2">
        <v>25.97</v>
      </c>
      <c r="N1681" s="7">
        <f t="shared" si="218"/>
        <v>80</v>
      </c>
      <c r="O1681" s="1">
        <f t="shared" si="214"/>
        <v>131</v>
      </c>
      <c r="P1681" s="1" t="str">
        <f t="shared" si="216"/>
        <v>80,131</v>
      </c>
      <c r="Q1681" s="6" t="s">
        <v>10</v>
      </c>
      <c r="R1681" s="1">
        <v>90</v>
      </c>
      <c r="S1681" s="1">
        <v>2.5</v>
      </c>
      <c r="T1681" s="1" t="str">
        <f t="shared" si="215"/>
        <v>-text 80,131 2.5 90 267.646</v>
      </c>
    </row>
    <row r="1682" spans="1:20" x14ac:dyDescent="0.35">
      <c r="A1682" s="1">
        <v>284600</v>
      </c>
      <c r="B1682" s="7">
        <v>1174007.3</v>
      </c>
      <c r="C1682" s="2">
        <v>269.411</v>
      </c>
      <c r="D1682" s="2">
        <v>271.97800000000001</v>
      </c>
      <c r="E1682" s="2">
        <v>2.5670000000000002</v>
      </c>
      <c r="F1682" s="2">
        <v>268.73899999999998</v>
      </c>
      <c r="G1682" s="2">
        <v>271.26499999999999</v>
      </c>
      <c r="H1682" s="2">
        <v>2.5259999999999998</v>
      </c>
      <c r="I1682" s="2">
        <v>267.67099999999999</v>
      </c>
      <c r="J1682" s="2">
        <v>267.54300000000001</v>
      </c>
      <c r="K1682" s="15">
        <v>3.722</v>
      </c>
      <c r="L1682" s="2">
        <v>26.126999999999999</v>
      </c>
      <c r="N1682" s="7">
        <f t="shared" si="218"/>
        <v>100</v>
      </c>
      <c r="O1682" s="1">
        <f t="shared" si="214"/>
        <v>131</v>
      </c>
      <c r="P1682" s="1" t="str">
        <f t="shared" si="216"/>
        <v>100,131</v>
      </c>
      <c r="Q1682" s="6" t="s">
        <v>10</v>
      </c>
      <c r="R1682" s="1">
        <v>90</v>
      </c>
      <c r="S1682" s="1">
        <v>2.5</v>
      </c>
      <c r="T1682" s="1" t="str">
        <f t="shared" si="215"/>
        <v>-text 100,131 2.5 90 267.543</v>
      </c>
    </row>
    <row r="1683" spans="1:20" x14ac:dyDescent="0.35">
      <c r="A1683" s="1">
        <v>284620</v>
      </c>
      <c r="B1683" s="7">
        <v>1174027.3</v>
      </c>
      <c r="C1683" s="2">
        <v>269.38400000000001</v>
      </c>
      <c r="D1683" s="2">
        <v>272.05399999999997</v>
      </c>
      <c r="E1683" s="2">
        <v>2.67</v>
      </c>
      <c r="F1683" s="2">
        <v>268.71199999999999</v>
      </c>
      <c r="G1683" s="2">
        <v>271.34100000000001</v>
      </c>
      <c r="H1683" s="2">
        <v>2.629</v>
      </c>
      <c r="I1683" s="2">
        <v>267.56900000000002</v>
      </c>
      <c r="J1683" s="2">
        <v>267.43</v>
      </c>
      <c r="K1683" s="15">
        <v>3.911</v>
      </c>
      <c r="L1683" s="2">
        <v>26.289000000000001</v>
      </c>
      <c r="N1683" s="7">
        <f t="shared" si="218"/>
        <v>120</v>
      </c>
      <c r="O1683" s="1">
        <f t="shared" si="214"/>
        <v>131</v>
      </c>
      <c r="P1683" s="1" t="str">
        <f t="shared" si="216"/>
        <v>120,131</v>
      </c>
      <c r="Q1683" s="6" t="s">
        <v>10</v>
      </c>
      <c r="R1683" s="1">
        <v>90</v>
      </c>
      <c r="S1683" s="1">
        <v>2.5</v>
      </c>
      <c r="T1683" s="1" t="str">
        <f t="shared" si="215"/>
        <v>-text 120,131 2.5 90 267.43</v>
      </c>
    </row>
    <row r="1684" spans="1:20" x14ac:dyDescent="0.35">
      <c r="A1684" s="1">
        <v>284640</v>
      </c>
      <c r="B1684" s="7">
        <v>1174047.3</v>
      </c>
      <c r="C1684" s="2">
        <v>269.35599999999999</v>
      </c>
      <c r="D1684" s="2">
        <v>272.13</v>
      </c>
      <c r="E1684" s="2">
        <v>2.774</v>
      </c>
      <c r="F1684" s="2">
        <v>268.68400000000003</v>
      </c>
      <c r="G1684" s="2">
        <v>271.41699999999997</v>
      </c>
      <c r="H1684" s="2">
        <v>2.7330000000000001</v>
      </c>
      <c r="I1684" s="2">
        <v>267.56700000000001</v>
      </c>
      <c r="J1684" s="2">
        <v>267.43299999999999</v>
      </c>
      <c r="K1684" s="15">
        <v>3.984</v>
      </c>
      <c r="L1684" s="2">
        <v>26.452000000000002</v>
      </c>
      <c r="N1684" s="7">
        <f t="shared" si="218"/>
        <v>140</v>
      </c>
      <c r="O1684" s="1">
        <f t="shared" si="214"/>
        <v>131</v>
      </c>
      <c r="P1684" s="1" t="str">
        <f t="shared" si="216"/>
        <v>140,131</v>
      </c>
      <c r="Q1684" s="6" t="s">
        <v>10</v>
      </c>
      <c r="R1684" s="1">
        <v>90</v>
      </c>
      <c r="S1684" s="1">
        <v>2.5</v>
      </c>
      <c r="T1684" s="1" t="str">
        <f t="shared" si="215"/>
        <v>-text 140,131 2.5 90 267.433</v>
      </c>
    </row>
    <row r="1685" spans="1:20" x14ac:dyDescent="0.35">
      <c r="A1685" s="1">
        <v>284660</v>
      </c>
      <c r="B1685" s="7">
        <v>1174067.3</v>
      </c>
      <c r="C1685" s="2">
        <v>269.33999999999997</v>
      </c>
      <c r="D1685" s="2">
        <v>272.20600000000002</v>
      </c>
      <c r="E1685" s="2">
        <v>2.8660000000000001</v>
      </c>
      <c r="F1685" s="2">
        <v>268.66800000000001</v>
      </c>
      <c r="G1685" s="2">
        <v>271.49299999999999</v>
      </c>
      <c r="H1685" s="2">
        <v>2.8250000000000002</v>
      </c>
      <c r="I1685" s="2">
        <v>267.56299999999999</v>
      </c>
      <c r="J1685" s="2">
        <v>267.43200000000002</v>
      </c>
      <c r="K1685" s="15">
        <v>4.0609999999999999</v>
      </c>
      <c r="L1685" s="2">
        <v>26.611999999999998</v>
      </c>
      <c r="N1685" s="7">
        <f t="shared" si="218"/>
        <v>160</v>
      </c>
      <c r="O1685" s="1">
        <f t="shared" si="214"/>
        <v>131</v>
      </c>
      <c r="P1685" s="1" t="str">
        <f t="shared" si="216"/>
        <v>160,131</v>
      </c>
      <c r="Q1685" s="6" t="s">
        <v>10</v>
      </c>
      <c r="R1685" s="1">
        <v>90</v>
      </c>
      <c r="S1685" s="1">
        <v>2.5</v>
      </c>
      <c r="T1685" s="1" t="str">
        <f t="shared" si="215"/>
        <v>-text 160,131 2.5 90 267.432</v>
      </c>
    </row>
    <row r="1686" spans="1:20" x14ac:dyDescent="0.35">
      <c r="A1686" s="1">
        <v>284680</v>
      </c>
      <c r="B1686" s="7">
        <v>1174087.3</v>
      </c>
      <c r="C1686" s="2">
        <v>269.32600000000002</v>
      </c>
      <c r="D1686" s="2">
        <v>272.28199999999998</v>
      </c>
      <c r="E1686" s="2">
        <v>2.956</v>
      </c>
      <c r="F1686" s="2">
        <v>268.654</v>
      </c>
      <c r="G1686" s="2">
        <v>271.56900000000002</v>
      </c>
      <c r="H1686" s="2">
        <v>2.915</v>
      </c>
      <c r="I1686" s="2">
        <v>267.48899999999998</v>
      </c>
      <c r="J1686" s="2">
        <v>267.42399999999998</v>
      </c>
      <c r="K1686" s="15">
        <v>4.1459999999999999</v>
      </c>
      <c r="L1686" s="2">
        <v>26.771999999999998</v>
      </c>
      <c r="N1686" s="7">
        <f t="shared" si="218"/>
        <v>180</v>
      </c>
      <c r="O1686" s="1">
        <f t="shared" si="214"/>
        <v>131</v>
      </c>
      <c r="P1686" s="1" t="str">
        <f t="shared" si="216"/>
        <v>180,131</v>
      </c>
      <c r="Q1686" s="6" t="s">
        <v>10</v>
      </c>
      <c r="R1686" s="1">
        <v>90</v>
      </c>
      <c r="S1686" s="1">
        <v>2.5</v>
      </c>
      <c r="T1686" s="1" t="str">
        <f t="shared" si="215"/>
        <v>-text 180,131 2.5 90 267.424</v>
      </c>
    </row>
    <row r="1687" spans="1:20" x14ac:dyDescent="0.35">
      <c r="A1687" s="1">
        <v>284700</v>
      </c>
      <c r="B1687" s="7">
        <v>1174107.3</v>
      </c>
      <c r="C1687" s="2">
        <v>269.327</v>
      </c>
      <c r="D1687" s="2">
        <v>272.358</v>
      </c>
      <c r="E1687" s="2">
        <v>3.0310000000000001</v>
      </c>
      <c r="F1687" s="2">
        <v>268.65499999999997</v>
      </c>
      <c r="G1687" s="2">
        <v>271.64499999999998</v>
      </c>
      <c r="H1687" s="2">
        <v>2.99</v>
      </c>
      <c r="I1687" s="2">
        <v>267.471</v>
      </c>
      <c r="J1687" s="2">
        <v>267.41500000000002</v>
      </c>
      <c r="K1687" s="15">
        <v>4.2300000000000004</v>
      </c>
      <c r="L1687" s="2">
        <v>26.934000000000001</v>
      </c>
      <c r="N1687" s="7">
        <f t="shared" si="218"/>
        <v>200</v>
      </c>
      <c r="O1687" s="1">
        <f t="shared" si="214"/>
        <v>131</v>
      </c>
      <c r="P1687" s="1" t="str">
        <f t="shared" si="216"/>
        <v>200,131</v>
      </c>
      <c r="Q1687" s="6" t="s">
        <v>10</v>
      </c>
      <c r="R1687" s="1">
        <v>90</v>
      </c>
      <c r="S1687" s="1">
        <v>2.5</v>
      </c>
      <c r="T1687" s="1" t="str">
        <f t="shared" si="215"/>
        <v>-text 200,131 2.5 90 267.415</v>
      </c>
    </row>
    <row r="1688" spans="1:20" x14ac:dyDescent="0.35">
      <c r="A1688" s="1">
        <v>284720</v>
      </c>
      <c r="B1688" s="7">
        <v>1174127.3</v>
      </c>
      <c r="C1688" s="2">
        <v>269.33699999999999</v>
      </c>
      <c r="D1688" s="2">
        <v>272.43400000000003</v>
      </c>
      <c r="E1688" s="2">
        <v>3.097</v>
      </c>
      <c r="F1688" s="2">
        <v>268.66500000000002</v>
      </c>
      <c r="G1688" s="2">
        <v>271.721</v>
      </c>
      <c r="H1688" s="2">
        <v>3.056</v>
      </c>
      <c r="I1688" s="2">
        <v>267.45800000000003</v>
      </c>
      <c r="J1688" s="2">
        <v>267.39699999999999</v>
      </c>
      <c r="K1688" s="15">
        <v>4.3239999999999998</v>
      </c>
      <c r="L1688" s="2">
        <v>27.097999999999999</v>
      </c>
      <c r="N1688" s="7">
        <f t="shared" si="218"/>
        <v>220</v>
      </c>
      <c r="O1688" s="1">
        <f t="shared" si="214"/>
        <v>131</v>
      </c>
      <c r="P1688" s="1" t="str">
        <f t="shared" si="216"/>
        <v>220,131</v>
      </c>
      <c r="Q1688" s="6" t="s">
        <v>10</v>
      </c>
      <c r="R1688" s="1">
        <v>90</v>
      </c>
      <c r="S1688" s="1">
        <v>2.5</v>
      </c>
      <c r="T1688" s="1" t="str">
        <f t="shared" si="215"/>
        <v>-text 220,131 2.5 90 267.397</v>
      </c>
    </row>
    <row r="1689" spans="1:20" x14ac:dyDescent="0.35">
      <c r="A1689" s="1">
        <v>284740</v>
      </c>
      <c r="B1689" s="7">
        <v>1174147.3</v>
      </c>
      <c r="C1689" s="2">
        <v>269.32100000000003</v>
      </c>
      <c r="D1689" s="2">
        <v>272.51</v>
      </c>
      <c r="E1689" s="2">
        <v>3.1890000000000001</v>
      </c>
      <c r="F1689" s="2">
        <v>268.649</v>
      </c>
      <c r="G1689" s="2">
        <v>271.79700000000003</v>
      </c>
      <c r="H1689" s="2">
        <v>3.1480000000000001</v>
      </c>
      <c r="I1689" s="2">
        <v>267.39400000000001</v>
      </c>
      <c r="J1689" s="2">
        <v>267.34300000000002</v>
      </c>
      <c r="K1689" s="15">
        <v>4.4550000000000001</v>
      </c>
      <c r="L1689" s="2">
        <v>27.253</v>
      </c>
      <c r="N1689" s="7">
        <f t="shared" si="218"/>
        <v>240</v>
      </c>
      <c r="O1689" s="1">
        <f t="shared" si="214"/>
        <v>131</v>
      </c>
      <c r="P1689" s="1" t="str">
        <f t="shared" si="216"/>
        <v>240,131</v>
      </c>
      <c r="Q1689" s="6" t="s">
        <v>10</v>
      </c>
      <c r="R1689" s="1">
        <v>90</v>
      </c>
      <c r="S1689" s="1">
        <v>2.5</v>
      </c>
      <c r="T1689" s="1" t="str">
        <f t="shared" si="215"/>
        <v>-text 240,131 2.5 90 267.343</v>
      </c>
    </row>
    <row r="1690" spans="1:20" x14ac:dyDescent="0.35">
      <c r="A1690" s="1">
        <v>284760</v>
      </c>
      <c r="B1690" s="7">
        <v>1174167.3</v>
      </c>
      <c r="C1690" s="2">
        <v>269.29199999999997</v>
      </c>
      <c r="D1690" s="2">
        <v>272.58600000000001</v>
      </c>
      <c r="E1690" s="2">
        <v>3.294</v>
      </c>
      <c r="F1690" s="2">
        <v>268.62</v>
      </c>
      <c r="G1690" s="2">
        <v>271.87299999999999</v>
      </c>
      <c r="H1690" s="2">
        <v>3.2530000000000001</v>
      </c>
      <c r="I1690" s="2">
        <v>267.346</v>
      </c>
      <c r="J1690" s="2">
        <v>267.29000000000002</v>
      </c>
      <c r="K1690" s="15">
        <v>4.5830000000000002</v>
      </c>
      <c r="L1690" s="2">
        <v>27.404</v>
      </c>
      <c r="N1690" s="7">
        <f t="shared" si="218"/>
        <v>260</v>
      </c>
      <c r="O1690" s="1">
        <f t="shared" si="214"/>
        <v>131</v>
      </c>
      <c r="P1690" s="1" t="str">
        <f t="shared" si="216"/>
        <v>260,131</v>
      </c>
      <c r="Q1690" s="6" t="s">
        <v>10</v>
      </c>
      <c r="R1690" s="1">
        <v>90</v>
      </c>
      <c r="S1690" s="1">
        <v>2.5</v>
      </c>
      <c r="T1690" s="1" t="str">
        <f t="shared" si="215"/>
        <v>-text 260,131 2.5 90 267.29</v>
      </c>
    </row>
    <row r="1691" spans="1:20" x14ac:dyDescent="0.35">
      <c r="A1691" s="1">
        <v>284780</v>
      </c>
      <c r="B1691" s="7">
        <v>1174187.3</v>
      </c>
      <c r="C1691" s="2">
        <v>269.26600000000002</v>
      </c>
      <c r="D1691" s="2">
        <v>272.66300000000001</v>
      </c>
      <c r="E1691" s="2">
        <v>3.3969999999999998</v>
      </c>
      <c r="F1691" s="2">
        <v>268.59399999999999</v>
      </c>
      <c r="G1691" s="2">
        <v>271.95</v>
      </c>
      <c r="H1691" s="2">
        <v>3.3559999999999999</v>
      </c>
      <c r="I1691" s="2">
        <v>267.37400000000002</v>
      </c>
      <c r="J1691" s="2">
        <v>267.25299999999999</v>
      </c>
      <c r="K1691" s="15">
        <v>4.6970000000000001</v>
      </c>
      <c r="L1691" s="2">
        <v>27.562000000000001</v>
      </c>
      <c r="N1691" s="7">
        <f t="shared" si="218"/>
        <v>280</v>
      </c>
      <c r="O1691" s="1">
        <f t="shared" si="214"/>
        <v>131</v>
      </c>
      <c r="P1691" s="1" t="str">
        <f t="shared" si="216"/>
        <v>280,131</v>
      </c>
      <c r="Q1691" s="6" t="s">
        <v>10</v>
      </c>
      <c r="R1691" s="1">
        <v>90</v>
      </c>
      <c r="S1691" s="1">
        <v>2.5</v>
      </c>
      <c r="T1691" s="1" t="str">
        <f t="shared" si="215"/>
        <v>-text 280,131 2.5 90 267.253</v>
      </c>
    </row>
    <row r="1692" spans="1:20" x14ac:dyDescent="0.35">
      <c r="A1692" s="1">
        <v>284800</v>
      </c>
      <c r="B1692" s="7">
        <v>1174207.3</v>
      </c>
      <c r="C1692" s="2">
        <v>269.25099999999998</v>
      </c>
      <c r="D1692" s="2">
        <v>272.73899999999998</v>
      </c>
      <c r="E1692" s="2">
        <v>3.488</v>
      </c>
      <c r="F1692" s="2">
        <v>268.57900000000001</v>
      </c>
      <c r="G1692" s="2">
        <v>272.02600000000001</v>
      </c>
      <c r="H1692" s="2">
        <v>3.4470000000000001</v>
      </c>
      <c r="I1692" s="2">
        <v>267.363</v>
      </c>
      <c r="J1692" s="2">
        <v>267.22699999999998</v>
      </c>
      <c r="K1692" s="15">
        <v>4.7990000000000004</v>
      </c>
      <c r="L1692" s="2">
        <v>27.745999999999999</v>
      </c>
      <c r="N1692" s="7">
        <f t="shared" si="218"/>
        <v>300</v>
      </c>
      <c r="O1692" s="1">
        <f t="shared" si="214"/>
        <v>131</v>
      </c>
      <c r="P1692" s="1" t="str">
        <f t="shared" si="216"/>
        <v>300,131</v>
      </c>
      <c r="Q1692" s="6" t="s">
        <v>10</v>
      </c>
      <c r="R1692" s="1">
        <v>90</v>
      </c>
      <c r="S1692" s="1">
        <v>2.5</v>
      </c>
      <c r="T1692" s="1" t="str">
        <f t="shared" si="215"/>
        <v>-text 300,131 2.5 90 267.227</v>
      </c>
    </row>
    <row r="1693" spans="1:20" x14ac:dyDescent="0.35">
      <c r="A1693" s="1">
        <v>284820</v>
      </c>
      <c r="B1693" s="7">
        <v>1174227.2</v>
      </c>
      <c r="C1693" s="2">
        <v>269.26900000000001</v>
      </c>
      <c r="D1693" s="2">
        <v>272.815</v>
      </c>
      <c r="E1693" s="2">
        <v>3.5459999999999998</v>
      </c>
      <c r="F1693" s="2">
        <v>268.59699999999998</v>
      </c>
      <c r="G1693" s="2">
        <v>272.10199999999998</v>
      </c>
      <c r="H1693" s="2">
        <v>3.5049999999999999</v>
      </c>
      <c r="I1693" s="2">
        <v>267.34199999999998</v>
      </c>
      <c r="J1693" s="2">
        <v>267.22699999999998</v>
      </c>
      <c r="K1693" s="15">
        <v>4.8739999999999997</v>
      </c>
      <c r="L1693" s="2">
        <v>27.905000000000001</v>
      </c>
      <c r="N1693" s="7">
        <f t="shared" si="218"/>
        <v>319.89999999990687</v>
      </c>
      <c r="O1693" s="1">
        <f t="shared" si="214"/>
        <v>131</v>
      </c>
      <c r="P1693" s="1" t="str">
        <f t="shared" si="216"/>
        <v>319.899999999907,131</v>
      </c>
      <c r="Q1693" s="6" t="s">
        <v>10</v>
      </c>
      <c r="R1693" s="1">
        <v>90</v>
      </c>
      <c r="S1693" s="1">
        <v>2.5</v>
      </c>
      <c r="T1693" s="1" t="str">
        <f t="shared" si="215"/>
        <v>-text 319.899999999907,131 2.5 90 267.227</v>
      </c>
    </row>
    <row r="1694" spans="1:20" x14ac:dyDescent="0.35">
      <c r="A1694" s="1">
        <v>284840</v>
      </c>
      <c r="B1694" s="7">
        <v>1174247.2</v>
      </c>
      <c r="C1694" s="2">
        <v>269.34399999999999</v>
      </c>
      <c r="D1694" s="2">
        <v>272.89100000000002</v>
      </c>
      <c r="E1694" s="2">
        <v>3.5470000000000002</v>
      </c>
      <c r="F1694" s="2">
        <v>268.67200000000003</v>
      </c>
      <c r="G1694" s="2">
        <v>272.178</v>
      </c>
      <c r="H1694" s="2">
        <v>3.5059999999999998</v>
      </c>
      <c r="I1694" s="2">
        <v>267.29300000000001</v>
      </c>
      <c r="J1694" s="2">
        <v>267.19299999999998</v>
      </c>
      <c r="K1694" s="15">
        <v>4.9850000000000003</v>
      </c>
      <c r="L1694" s="2">
        <v>28.024999999999999</v>
      </c>
      <c r="N1694" s="7">
        <f t="shared" si="218"/>
        <v>339.89999999990687</v>
      </c>
      <c r="O1694" s="1">
        <f t="shared" si="214"/>
        <v>131</v>
      </c>
      <c r="P1694" s="1" t="str">
        <f t="shared" si="216"/>
        <v>339.899999999907,131</v>
      </c>
      <c r="Q1694" s="6" t="s">
        <v>10</v>
      </c>
      <c r="R1694" s="1">
        <v>90</v>
      </c>
      <c r="S1694" s="1">
        <v>2.5</v>
      </c>
      <c r="T1694" s="1" t="str">
        <f t="shared" si="215"/>
        <v>-text 339.899999999907,131 2.5 90 267.193</v>
      </c>
    </row>
    <row r="1695" spans="1:20" x14ac:dyDescent="0.35">
      <c r="A1695" s="1">
        <v>284860</v>
      </c>
      <c r="B1695" s="7">
        <v>1174267.3</v>
      </c>
      <c r="C1695" s="2">
        <v>269.39600000000002</v>
      </c>
      <c r="D1695" s="2">
        <v>272.96699999999998</v>
      </c>
      <c r="E1695" s="2">
        <v>3.5710000000000002</v>
      </c>
      <c r="F1695" s="2">
        <v>268.72399999999999</v>
      </c>
      <c r="G1695" s="2">
        <v>272.25400000000002</v>
      </c>
      <c r="H1695" s="2">
        <v>3.53</v>
      </c>
      <c r="I1695" s="2">
        <v>267.23899999999998</v>
      </c>
      <c r="J1695" s="2">
        <v>267.15100000000001</v>
      </c>
      <c r="K1695" s="15">
        <v>5.1029999999999998</v>
      </c>
      <c r="L1695" s="2">
        <v>28.155000000000001</v>
      </c>
      <c r="N1695" s="7">
        <f t="shared" si="218"/>
        <v>360</v>
      </c>
      <c r="O1695" s="1">
        <f t="shared" si="214"/>
        <v>131</v>
      </c>
      <c r="P1695" s="1" t="str">
        <f t="shared" si="216"/>
        <v>360,131</v>
      </c>
      <c r="Q1695" s="6" t="s">
        <v>10</v>
      </c>
      <c r="R1695" s="1">
        <v>90</v>
      </c>
      <c r="S1695" s="1">
        <v>2.5</v>
      </c>
      <c r="T1695" s="1" t="str">
        <f t="shared" si="215"/>
        <v>-text 360,131 2.5 90 267.151</v>
      </c>
    </row>
    <row r="1696" spans="1:20" x14ac:dyDescent="0.35">
      <c r="A1696" s="1">
        <v>284880</v>
      </c>
      <c r="B1696" s="7">
        <v>1174287.3</v>
      </c>
      <c r="C1696" s="2">
        <v>269.39800000000002</v>
      </c>
      <c r="D1696" s="2">
        <v>273.04300000000001</v>
      </c>
      <c r="E1696" s="2">
        <v>3.645</v>
      </c>
      <c r="F1696" s="2">
        <v>268.726</v>
      </c>
      <c r="G1696" s="2">
        <v>272.33</v>
      </c>
      <c r="H1696" s="2">
        <v>3.6040000000000001</v>
      </c>
      <c r="I1696" s="2">
        <v>267.21199999999999</v>
      </c>
      <c r="J1696" s="2">
        <v>267.096</v>
      </c>
      <c r="K1696" s="15">
        <v>5.234</v>
      </c>
      <c r="L1696" s="2">
        <v>28.309000000000001</v>
      </c>
      <c r="N1696" s="7">
        <f t="shared" si="218"/>
        <v>380</v>
      </c>
      <c r="O1696" s="1">
        <f t="shared" si="214"/>
        <v>131</v>
      </c>
      <c r="P1696" s="1" t="str">
        <f t="shared" si="216"/>
        <v>380,131</v>
      </c>
      <c r="Q1696" s="6" t="s">
        <v>10</v>
      </c>
      <c r="R1696" s="1">
        <v>90</v>
      </c>
      <c r="S1696" s="1">
        <v>2.5</v>
      </c>
      <c r="T1696" s="1" t="str">
        <f t="shared" si="215"/>
        <v>-text 380,131 2.5 90 267.096</v>
      </c>
    </row>
    <row r="1697" spans="1:20" x14ac:dyDescent="0.35">
      <c r="A1697" s="1">
        <v>284900</v>
      </c>
      <c r="B1697" s="7">
        <v>1174307.3</v>
      </c>
      <c r="C1697" s="2">
        <v>269.40300000000002</v>
      </c>
      <c r="D1697" s="2">
        <v>273.11900000000003</v>
      </c>
      <c r="E1697" s="2">
        <v>3.7170000000000001</v>
      </c>
      <c r="F1697" s="2">
        <v>268.73099999999999</v>
      </c>
      <c r="G1697" s="2">
        <v>272.40600000000001</v>
      </c>
      <c r="H1697" s="2">
        <v>3.6760000000000002</v>
      </c>
      <c r="I1697" s="2">
        <v>267.23500000000001</v>
      </c>
      <c r="J1697" s="2">
        <v>267.00599999999997</v>
      </c>
      <c r="K1697" s="15">
        <v>5.4</v>
      </c>
      <c r="L1697" s="2">
        <v>28.466999999999999</v>
      </c>
      <c r="N1697" s="7">
        <f t="shared" si="218"/>
        <v>400</v>
      </c>
      <c r="O1697" s="1">
        <f t="shared" si="214"/>
        <v>131</v>
      </c>
      <c r="P1697" s="1" t="str">
        <f t="shared" si="216"/>
        <v>400,131</v>
      </c>
      <c r="Q1697" s="6" t="s">
        <v>10</v>
      </c>
      <c r="R1697" s="1">
        <v>90</v>
      </c>
      <c r="S1697" s="1">
        <v>2.5</v>
      </c>
      <c r="T1697" s="1" t="str">
        <f t="shared" si="215"/>
        <v>-text 400,131 2.5 90 267.006</v>
      </c>
    </row>
    <row r="1698" spans="1:20" x14ac:dyDescent="0.35">
      <c r="A1698" s="1">
        <v>284920</v>
      </c>
      <c r="B1698" s="7">
        <v>1174327.3</v>
      </c>
      <c r="C1698" s="2">
        <v>269.411</v>
      </c>
      <c r="D1698" s="2">
        <v>273.19499999999999</v>
      </c>
      <c r="E1698" s="2">
        <v>3.7839999999999998</v>
      </c>
      <c r="F1698" s="2">
        <v>268.73899999999998</v>
      </c>
      <c r="G1698" s="2">
        <v>272.48200000000003</v>
      </c>
      <c r="H1698" s="2">
        <v>3.7429999999999999</v>
      </c>
      <c r="I1698" s="2">
        <v>267.19499999999999</v>
      </c>
      <c r="J1698" s="2">
        <v>266.92</v>
      </c>
      <c r="K1698" s="15">
        <v>5.5629999999999997</v>
      </c>
      <c r="L1698" s="2">
        <v>28.63</v>
      </c>
      <c r="N1698" s="7">
        <f t="shared" si="218"/>
        <v>420</v>
      </c>
      <c r="O1698" s="1">
        <f t="shared" si="214"/>
        <v>131</v>
      </c>
      <c r="P1698" s="1" t="str">
        <f t="shared" si="216"/>
        <v>420,131</v>
      </c>
      <c r="Q1698" s="6" t="s">
        <v>10</v>
      </c>
      <c r="R1698" s="1">
        <v>90</v>
      </c>
      <c r="S1698" s="1">
        <v>2.5</v>
      </c>
      <c r="T1698" s="1" t="str">
        <f t="shared" si="215"/>
        <v>-text 420,131 2.5 90 266.92</v>
      </c>
    </row>
    <row r="1699" spans="1:20" x14ac:dyDescent="0.35">
      <c r="A1699" s="1">
        <v>284940</v>
      </c>
      <c r="B1699" s="7">
        <v>1174347.3</v>
      </c>
      <c r="C1699" s="2">
        <v>269.41899999999998</v>
      </c>
      <c r="D1699" s="2">
        <v>273.27100000000002</v>
      </c>
      <c r="E1699" s="2">
        <v>3.8530000000000002</v>
      </c>
      <c r="F1699" s="2">
        <v>268.74700000000001</v>
      </c>
      <c r="G1699" s="2">
        <v>272.55799999999999</v>
      </c>
      <c r="H1699" s="2">
        <v>3.8119999999999998</v>
      </c>
      <c r="I1699" s="2">
        <v>267.03399999999999</v>
      </c>
      <c r="J1699" s="2">
        <v>266.911</v>
      </c>
      <c r="K1699" s="15">
        <v>5.6470000000000002</v>
      </c>
      <c r="L1699" s="2">
        <v>28.794</v>
      </c>
      <c r="N1699" s="7">
        <f t="shared" si="218"/>
        <v>440</v>
      </c>
      <c r="O1699" s="1">
        <f t="shared" si="214"/>
        <v>131</v>
      </c>
      <c r="P1699" s="1" t="str">
        <f t="shared" si="216"/>
        <v>440,131</v>
      </c>
      <c r="Q1699" s="6" t="s">
        <v>10</v>
      </c>
      <c r="R1699" s="1">
        <v>90</v>
      </c>
      <c r="S1699" s="1">
        <v>2.5</v>
      </c>
      <c r="T1699" s="1" t="str">
        <f t="shared" si="215"/>
        <v>-text 440,131 2.5 90 266.911</v>
      </c>
    </row>
    <row r="1700" spans="1:20" x14ac:dyDescent="0.35">
      <c r="A1700" s="1">
        <v>284960</v>
      </c>
      <c r="B1700" s="7">
        <v>1174367.3</v>
      </c>
      <c r="C1700" s="2">
        <v>269.399</v>
      </c>
      <c r="D1700" s="2">
        <v>273.34699999999998</v>
      </c>
      <c r="E1700" s="2">
        <v>3.948</v>
      </c>
      <c r="F1700" s="2">
        <v>268.72699999999998</v>
      </c>
      <c r="G1700" s="2">
        <v>272.63400000000001</v>
      </c>
      <c r="H1700" s="2">
        <v>3.907</v>
      </c>
      <c r="I1700" s="2">
        <v>266.91500000000002</v>
      </c>
      <c r="J1700" s="2">
        <v>266.82900000000001</v>
      </c>
      <c r="K1700" s="15">
        <v>5.8049999999999997</v>
      </c>
      <c r="L1700" s="2">
        <v>28.966999999999999</v>
      </c>
      <c r="N1700" s="7">
        <f t="shared" si="218"/>
        <v>460</v>
      </c>
      <c r="O1700" s="1">
        <f t="shared" si="214"/>
        <v>131</v>
      </c>
      <c r="P1700" s="1" t="str">
        <f t="shared" si="216"/>
        <v>460,131</v>
      </c>
      <c r="Q1700" s="6" t="s">
        <v>10</v>
      </c>
      <c r="R1700" s="1">
        <v>90</v>
      </c>
      <c r="S1700" s="1">
        <v>2.5</v>
      </c>
      <c r="T1700" s="1" t="str">
        <f t="shared" si="215"/>
        <v>-text 460,131 2.5 90 266.829</v>
      </c>
    </row>
    <row r="1701" spans="1:20" x14ac:dyDescent="0.35">
      <c r="A1701" s="1">
        <v>284980</v>
      </c>
      <c r="B1701" s="7">
        <v>1174387.3</v>
      </c>
      <c r="C1701" s="2">
        <v>269.38</v>
      </c>
      <c r="D1701" s="2">
        <v>273.42399999999998</v>
      </c>
      <c r="E1701" s="2">
        <v>4.0439999999999996</v>
      </c>
      <c r="F1701" s="2">
        <v>268.70800000000003</v>
      </c>
      <c r="G1701" s="2">
        <v>272.71100000000001</v>
      </c>
      <c r="H1701" s="2">
        <v>4.0030000000000001</v>
      </c>
      <c r="I1701" s="2">
        <v>266.83699999999999</v>
      </c>
      <c r="J1701" s="2">
        <v>266.80200000000002</v>
      </c>
      <c r="K1701" s="15">
        <v>5.9080000000000004</v>
      </c>
      <c r="L1701" s="2">
        <v>29.138999999999999</v>
      </c>
      <c r="N1701" s="7">
        <f t="shared" si="218"/>
        <v>480</v>
      </c>
      <c r="O1701" s="1">
        <f t="shared" si="214"/>
        <v>131</v>
      </c>
      <c r="P1701" s="1" t="str">
        <f t="shared" si="216"/>
        <v>480,131</v>
      </c>
      <c r="Q1701" s="6" t="s">
        <v>10</v>
      </c>
      <c r="R1701" s="1">
        <v>90</v>
      </c>
      <c r="S1701" s="1">
        <v>2.5</v>
      </c>
      <c r="T1701" s="1" t="str">
        <f t="shared" si="215"/>
        <v>-text 480,131 2.5 90 266.802</v>
      </c>
    </row>
    <row r="1702" spans="1:20" x14ac:dyDescent="0.35">
      <c r="A1702" s="1">
        <v>285000</v>
      </c>
      <c r="B1702" s="7">
        <v>1174407.3</v>
      </c>
      <c r="C1702" s="2">
        <v>269.39299999999997</v>
      </c>
      <c r="D1702" s="2">
        <v>273.5</v>
      </c>
      <c r="E1702" s="2">
        <v>4.1070000000000002</v>
      </c>
      <c r="F1702" s="2">
        <v>268.721</v>
      </c>
      <c r="G1702" s="2">
        <v>272.78699999999998</v>
      </c>
      <c r="H1702" s="2">
        <v>4.0659999999999998</v>
      </c>
      <c r="I1702" s="2">
        <v>266.92200000000003</v>
      </c>
      <c r="J1702" s="2">
        <v>266.80700000000002</v>
      </c>
      <c r="K1702" s="15">
        <v>5.98</v>
      </c>
      <c r="L1702" s="2">
        <v>29.306999999999999</v>
      </c>
      <c r="N1702" s="7">
        <f>N1699+(B1702-B1699)</f>
        <v>500</v>
      </c>
      <c r="O1702" s="1">
        <f t="shared" si="214"/>
        <v>131</v>
      </c>
      <c r="P1702" s="1" t="str">
        <f t="shared" ref="P1702" si="219">CONCATENATE(N1702,",",O1702)</f>
        <v>500,131</v>
      </c>
      <c r="Q1702" s="6" t="s">
        <v>10</v>
      </c>
      <c r="R1702" s="1">
        <v>90</v>
      </c>
      <c r="S1702" s="1">
        <v>2.5</v>
      </c>
      <c r="T1702" s="1" t="str">
        <f t="shared" si="215"/>
        <v>-text 500,131 2.5 90 266.807</v>
      </c>
    </row>
    <row r="1703" spans="1:20" s="10" customFormat="1" x14ac:dyDescent="0.35">
      <c r="B1703" s="11"/>
      <c r="C1703" s="9"/>
      <c r="D1703" s="9"/>
      <c r="E1703" s="9"/>
      <c r="F1703" s="9"/>
      <c r="G1703" s="9"/>
      <c r="H1703" s="9"/>
      <c r="I1703" s="9"/>
      <c r="J1703" s="9"/>
      <c r="K1703" s="16"/>
      <c r="L1703" s="9"/>
      <c r="M1703" s="9"/>
      <c r="N1703" s="11"/>
      <c r="Q1703" s="12"/>
    </row>
    <row r="1704" spans="1:20" x14ac:dyDescent="0.35">
      <c r="A1704" s="1">
        <v>285000</v>
      </c>
      <c r="B1704" s="7">
        <v>1174407.3</v>
      </c>
      <c r="C1704" s="2">
        <v>269.39299999999997</v>
      </c>
      <c r="D1704" s="2">
        <v>273.5</v>
      </c>
      <c r="E1704" s="2">
        <v>4.1070000000000002</v>
      </c>
      <c r="F1704" s="2">
        <v>268.721</v>
      </c>
      <c r="G1704" s="2">
        <v>272.78699999999998</v>
      </c>
      <c r="H1704" s="2">
        <v>4.0659999999999998</v>
      </c>
      <c r="I1704" s="2">
        <v>266.92200000000003</v>
      </c>
      <c r="J1704" s="2">
        <v>266.80700000000002</v>
      </c>
      <c r="K1704" s="15">
        <v>5.98</v>
      </c>
      <c r="L1704" s="2">
        <v>29.306999999999999</v>
      </c>
      <c r="N1704" s="7">
        <v>0</v>
      </c>
      <c r="O1704" s="1">
        <f t="shared" si="214"/>
        <v>131</v>
      </c>
      <c r="P1704" s="1" t="str">
        <f t="shared" si="216"/>
        <v>0,131</v>
      </c>
      <c r="Q1704" s="6" t="s">
        <v>10</v>
      </c>
      <c r="R1704" s="1">
        <v>90</v>
      </c>
      <c r="S1704" s="1">
        <v>2.5</v>
      </c>
      <c r="T1704" s="1" t="str">
        <f t="shared" si="215"/>
        <v>-text 0,131 2.5 90 266.807</v>
      </c>
    </row>
    <row r="1705" spans="1:20" x14ac:dyDescent="0.35">
      <c r="A1705" s="1">
        <v>285020</v>
      </c>
      <c r="B1705" s="7">
        <v>1174427.3</v>
      </c>
      <c r="C1705" s="2">
        <v>269.41399999999999</v>
      </c>
      <c r="D1705" s="2">
        <v>273.57600000000002</v>
      </c>
      <c r="E1705" s="2">
        <v>4.1619999999999999</v>
      </c>
      <c r="F1705" s="2">
        <v>268.74200000000002</v>
      </c>
      <c r="G1705" s="2">
        <v>272.863</v>
      </c>
      <c r="H1705" s="2">
        <v>4.1210000000000004</v>
      </c>
      <c r="I1705" s="2">
        <v>266.887</v>
      </c>
      <c r="J1705" s="2">
        <v>266.88099999999997</v>
      </c>
      <c r="K1705" s="15">
        <v>5.9820000000000002</v>
      </c>
      <c r="L1705" s="2">
        <v>29.474</v>
      </c>
      <c r="N1705" s="7">
        <f t="shared" ref="N1705:N1729" si="220">N1704+(B1705-B1704)</f>
        <v>20</v>
      </c>
      <c r="O1705" s="1">
        <f t="shared" si="214"/>
        <v>131</v>
      </c>
      <c r="P1705" s="1" t="str">
        <f t="shared" si="216"/>
        <v>20,131</v>
      </c>
      <c r="Q1705" s="6" t="s">
        <v>10</v>
      </c>
      <c r="R1705" s="1">
        <v>90</v>
      </c>
      <c r="S1705" s="1">
        <v>2.5</v>
      </c>
      <c r="T1705" s="1" t="str">
        <f t="shared" si="215"/>
        <v>-text 20,131 2.5 90 266.881</v>
      </c>
    </row>
    <row r="1706" spans="1:20" x14ac:dyDescent="0.35">
      <c r="A1706" s="1">
        <v>285040</v>
      </c>
      <c r="B1706" s="7">
        <v>1174447.3</v>
      </c>
      <c r="C1706" s="2">
        <v>269.43900000000002</v>
      </c>
      <c r="D1706" s="2">
        <v>273.65199999999999</v>
      </c>
      <c r="E1706" s="2">
        <v>4.2119999999999997</v>
      </c>
      <c r="F1706" s="2">
        <v>268.767</v>
      </c>
      <c r="G1706" s="2">
        <v>272.93900000000002</v>
      </c>
      <c r="H1706" s="2">
        <v>4.1710000000000003</v>
      </c>
      <c r="I1706" s="2">
        <v>266.69600000000003</v>
      </c>
      <c r="J1706" s="2">
        <v>266.88400000000001</v>
      </c>
      <c r="K1706" s="15">
        <v>6.0549999999999997</v>
      </c>
      <c r="L1706" s="2">
        <v>29.643000000000001</v>
      </c>
      <c r="N1706" s="7">
        <f t="shared" si="220"/>
        <v>40</v>
      </c>
      <c r="O1706" s="1">
        <f t="shared" si="214"/>
        <v>131</v>
      </c>
      <c r="P1706" s="1" t="str">
        <f t="shared" si="216"/>
        <v>40,131</v>
      </c>
      <c r="Q1706" s="6" t="s">
        <v>10</v>
      </c>
      <c r="R1706" s="1">
        <v>90</v>
      </c>
      <c r="S1706" s="1">
        <v>2.5</v>
      </c>
      <c r="T1706" s="1" t="str">
        <f t="shared" si="215"/>
        <v>-text 40,131 2.5 90 266.884</v>
      </c>
    </row>
    <row r="1707" spans="1:20" x14ac:dyDescent="0.35">
      <c r="A1707" s="1">
        <v>285060</v>
      </c>
      <c r="B1707" s="7">
        <v>1174467.3</v>
      </c>
      <c r="C1707" s="2">
        <v>269.46699999999998</v>
      </c>
      <c r="D1707" s="2">
        <v>273.72800000000001</v>
      </c>
      <c r="E1707" s="2">
        <v>4.2610000000000001</v>
      </c>
      <c r="F1707" s="2">
        <v>268.79500000000002</v>
      </c>
      <c r="G1707" s="2">
        <v>273.01499999999999</v>
      </c>
      <c r="H1707" s="2">
        <v>4.22</v>
      </c>
      <c r="I1707" s="2">
        <v>266.512</v>
      </c>
      <c r="J1707" s="2">
        <v>267.911</v>
      </c>
      <c r="K1707" s="15">
        <v>5.1040000000000001</v>
      </c>
      <c r="L1707" s="2">
        <v>29.812999999999999</v>
      </c>
      <c r="N1707" s="7">
        <f t="shared" si="220"/>
        <v>60</v>
      </c>
      <c r="O1707" s="1">
        <f t="shared" si="214"/>
        <v>131</v>
      </c>
      <c r="P1707" s="1" t="str">
        <f t="shared" si="216"/>
        <v>60,131</v>
      </c>
      <c r="Q1707" s="6" t="s">
        <v>10</v>
      </c>
      <c r="R1707" s="1">
        <v>90</v>
      </c>
      <c r="S1707" s="1">
        <v>2.5</v>
      </c>
      <c r="T1707" s="1" t="str">
        <f t="shared" si="215"/>
        <v>-text 60,131 2.5 90 267.911</v>
      </c>
    </row>
    <row r="1708" spans="1:20" x14ac:dyDescent="0.35">
      <c r="A1708" s="1">
        <v>285080</v>
      </c>
      <c r="B1708" s="7">
        <v>1174487.3</v>
      </c>
      <c r="C1708" s="2">
        <v>269.49099999999999</v>
      </c>
      <c r="D1708" s="2">
        <v>273.80399999999997</v>
      </c>
      <c r="E1708" s="2">
        <v>4.3129999999999997</v>
      </c>
      <c r="F1708" s="2">
        <v>268.81900000000002</v>
      </c>
      <c r="G1708" s="2">
        <v>273.09100000000001</v>
      </c>
      <c r="H1708" s="2">
        <v>4.2720000000000002</v>
      </c>
      <c r="I1708" s="2">
        <v>266.53899999999999</v>
      </c>
      <c r="J1708" s="2">
        <v>266.83300000000003</v>
      </c>
      <c r="K1708" s="15">
        <v>6.258</v>
      </c>
      <c r="L1708" s="2">
        <v>29.978000000000002</v>
      </c>
      <c r="N1708" s="7">
        <f t="shared" si="220"/>
        <v>80</v>
      </c>
      <c r="O1708" s="1">
        <f t="shared" si="214"/>
        <v>131</v>
      </c>
      <c r="P1708" s="1" t="str">
        <f t="shared" si="216"/>
        <v>80,131</v>
      </c>
      <c r="Q1708" s="6" t="s">
        <v>10</v>
      </c>
      <c r="R1708" s="1">
        <v>90</v>
      </c>
      <c r="S1708" s="1">
        <v>2.5</v>
      </c>
      <c r="T1708" s="1" t="str">
        <f t="shared" si="215"/>
        <v>-text 80,131 2.5 90 266.833</v>
      </c>
    </row>
    <row r="1709" spans="1:20" x14ac:dyDescent="0.35">
      <c r="A1709" s="1">
        <v>285100</v>
      </c>
      <c r="B1709" s="7">
        <v>1174507.3</v>
      </c>
      <c r="C1709" s="2">
        <v>269.512</v>
      </c>
      <c r="D1709" s="2">
        <v>273.88</v>
      </c>
      <c r="E1709" s="2">
        <v>4.3680000000000003</v>
      </c>
      <c r="F1709" s="2">
        <v>268.83999999999997</v>
      </c>
      <c r="G1709" s="2">
        <v>273.16699999999997</v>
      </c>
      <c r="H1709" s="2">
        <v>4.327</v>
      </c>
      <c r="I1709" s="2">
        <v>266.47500000000002</v>
      </c>
      <c r="J1709" s="2">
        <v>266.572</v>
      </c>
      <c r="K1709" s="15">
        <v>6.5949999999999998</v>
      </c>
      <c r="L1709" s="2">
        <v>30.137</v>
      </c>
      <c r="N1709" s="7">
        <f t="shared" si="220"/>
        <v>100</v>
      </c>
      <c r="O1709" s="1">
        <f t="shared" si="214"/>
        <v>131</v>
      </c>
      <c r="P1709" s="1" t="str">
        <f t="shared" si="216"/>
        <v>100,131</v>
      </c>
      <c r="Q1709" s="6" t="s">
        <v>10</v>
      </c>
      <c r="R1709" s="1">
        <v>90</v>
      </c>
      <c r="S1709" s="1">
        <v>2.5</v>
      </c>
      <c r="T1709" s="1" t="str">
        <f t="shared" si="215"/>
        <v>-text 100,131 2.5 90 266.572</v>
      </c>
    </row>
    <row r="1710" spans="1:20" x14ac:dyDescent="0.35">
      <c r="A1710" s="1">
        <v>285120</v>
      </c>
      <c r="B1710" s="7">
        <v>1174527.3</v>
      </c>
      <c r="C1710" s="2">
        <v>269.53300000000002</v>
      </c>
      <c r="D1710" s="2">
        <v>273.95600000000002</v>
      </c>
      <c r="E1710" s="2">
        <v>4.423</v>
      </c>
      <c r="F1710" s="2">
        <v>268.86099999999999</v>
      </c>
      <c r="G1710" s="2">
        <v>273.24299999999999</v>
      </c>
      <c r="H1710" s="2">
        <v>4.3819999999999997</v>
      </c>
      <c r="I1710" s="2">
        <v>266.08800000000002</v>
      </c>
      <c r="J1710" s="2">
        <v>266.25700000000001</v>
      </c>
      <c r="K1710" s="15">
        <v>6.9859999999999998</v>
      </c>
      <c r="L1710" s="2">
        <v>30.295999999999999</v>
      </c>
      <c r="N1710" s="7">
        <f t="shared" si="220"/>
        <v>120</v>
      </c>
      <c r="O1710" s="1">
        <f t="shared" si="214"/>
        <v>131</v>
      </c>
      <c r="P1710" s="1" t="str">
        <f t="shared" si="216"/>
        <v>120,131</v>
      </c>
      <c r="Q1710" s="6" t="s">
        <v>10</v>
      </c>
      <c r="R1710" s="1">
        <v>90</v>
      </c>
      <c r="S1710" s="1">
        <v>2.5</v>
      </c>
      <c r="T1710" s="1" t="str">
        <f t="shared" si="215"/>
        <v>-text 120,131 2.5 90 266.257</v>
      </c>
    </row>
    <row r="1711" spans="1:20" x14ac:dyDescent="0.35">
      <c r="A1711" s="1">
        <v>285140</v>
      </c>
      <c r="B1711" s="7">
        <v>1174547.3</v>
      </c>
      <c r="C1711" s="2">
        <v>269.55</v>
      </c>
      <c r="D1711" s="2">
        <v>274.03199999999998</v>
      </c>
      <c r="E1711" s="2">
        <v>4.4820000000000002</v>
      </c>
      <c r="F1711" s="2">
        <v>268.87799999999999</v>
      </c>
      <c r="G1711" s="2">
        <v>273.31900000000002</v>
      </c>
      <c r="H1711" s="2">
        <v>4.4409999999999998</v>
      </c>
      <c r="I1711" s="2">
        <v>265.92099999999999</v>
      </c>
      <c r="J1711" s="2">
        <v>265.91699999999997</v>
      </c>
      <c r="K1711" s="15">
        <v>7.4020000000000001</v>
      </c>
      <c r="L1711" s="2">
        <v>30.465</v>
      </c>
      <c r="N1711" s="7">
        <f t="shared" si="220"/>
        <v>140</v>
      </c>
      <c r="O1711" s="1">
        <f t="shared" si="214"/>
        <v>131</v>
      </c>
      <c r="P1711" s="1" t="str">
        <f t="shared" si="216"/>
        <v>140,131</v>
      </c>
      <c r="Q1711" s="6" t="s">
        <v>10</v>
      </c>
      <c r="R1711" s="1">
        <v>90</v>
      </c>
      <c r="S1711" s="1">
        <v>2.5</v>
      </c>
      <c r="T1711" s="1" t="str">
        <f t="shared" si="215"/>
        <v>-text 140,131 2.5 90 265.917</v>
      </c>
    </row>
    <row r="1712" spans="1:20" x14ac:dyDescent="0.35">
      <c r="A1712" s="1">
        <v>285160</v>
      </c>
      <c r="B1712" s="7">
        <v>1174567.3</v>
      </c>
      <c r="C1712" s="2">
        <v>269.56700000000001</v>
      </c>
      <c r="D1712" s="2">
        <v>274.108</v>
      </c>
      <c r="E1712" s="2">
        <v>4.5410000000000004</v>
      </c>
      <c r="F1712" s="2">
        <v>268.89499999999998</v>
      </c>
      <c r="G1712" s="2">
        <v>273.39499999999998</v>
      </c>
      <c r="H1712" s="2">
        <v>4.5</v>
      </c>
      <c r="I1712" s="2">
        <v>266</v>
      </c>
      <c r="J1712" s="2">
        <v>266.15499999999997</v>
      </c>
      <c r="K1712" s="15">
        <v>7.24</v>
      </c>
      <c r="L1712" s="2">
        <v>30.635999999999999</v>
      </c>
      <c r="N1712" s="7">
        <f t="shared" si="220"/>
        <v>160</v>
      </c>
      <c r="O1712" s="1">
        <f t="shared" si="214"/>
        <v>131</v>
      </c>
      <c r="P1712" s="1" t="str">
        <f t="shared" si="216"/>
        <v>160,131</v>
      </c>
      <c r="Q1712" s="6" t="s">
        <v>10</v>
      </c>
      <c r="R1712" s="1">
        <v>90</v>
      </c>
      <c r="S1712" s="1">
        <v>2.5</v>
      </c>
      <c r="T1712" s="1" t="str">
        <f t="shared" si="215"/>
        <v>-text 160,131 2.5 90 266.155</v>
      </c>
    </row>
    <row r="1713" spans="1:20" x14ac:dyDescent="0.35">
      <c r="A1713" s="1">
        <v>285180</v>
      </c>
      <c r="B1713" s="7">
        <v>1174587.3</v>
      </c>
      <c r="C1713" s="2">
        <v>269.58800000000002</v>
      </c>
      <c r="D1713" s="2">
        <v>274.18400000000003</v>
      </c>
      <c r="E1713" s="2">
        <v>4.5960000000000001</v>
      </c>
      <c r="F1713" s="2">
        <v>268.916</v>
      </c>
      <c r="G1713" s="2">
        <v>273.471</v>
      </c>
      <c r="H1713" s="2">
        <v>4.5549999999999997</v>
      </c>
      <c r="I1713" s="2">
        <v>265.91899999999998</v>
      </c>
      <c r="J1713" s="2">
        <v>266.20299999999997</v>
      </c>
      <c r="K1713" s="15">
        <v>7.2690000000000001</v>
      </c>
      <c r="L1713" s="2">
        <v>30.802</v>
      </c>
      <c r="N1713" s="7">
        <f t="shared" si="220"/>
        <v>180</v>
      </c>
      <c r="O1713" s="1">
        <f t="shared" si="214"/>
        <v>131</v>
      </c>
      <c r="P1713" s="1" t="str">
        <f t="shared" si="216"/>
        <v>180,131</v>
      </c>
      <c r="Q1713" s="6" t="s">
        <v>10</v>
      </c>
      <c r="R1713" s="1">
        <v>90</v>
      </c>
      <c r="S1713" s="1">
        <v>2.5</v>
      </c>
      <c r="T1713" s="1" t="str">
        <f t="shared" si="215"/>
        <v>-text 180,131 2.5 90 266.203</v>
      </c>
    </row>
    <row r="1714" spans="1:20" x14ac:dyDescent="0.35">
      <c r="A1714" s="1">
        <v>285200</v>
      </c>
      <c r="B1714" s="7">
        <v>1174607.3</v>
      </c>
      <c r="C1714" s="2">
        <v>269.61599999999999</v>
      </c>
      <c r="D1714" s="2">
        <v>274.26</v>
      </c>
      <c r="E1714" s="2">
        <v>4.6449999999999996</v>
      </c>
      <c r="F1714" s="2">
        <v>268.94400000000002</v>
      </c>
      <c r="G1714" s="2">
        <v>273.54700000000003</v>
      </c>
      <c r="H1714" s="2">
        <v>4.6040000000000001</v>
      </c>
      <c r="I1714" s="2">
        <v>265.97500000000002</v>
      </c>
      <c r="J1714" s="2">
        <v>266.14100000000002</v>
      </c>
      <c r="K1714" s="15">
        <v>7.407</v>
      </c>
      <c r="L1714" s="2">
        <v>30.965</v>
      </c>
      <c r="N1714" s="7">
        <f t="shared" si="220"/>
        <v>200</v>
      </c>
      <c r="O1714" s="1">
        <f t="shared" si="214"/>
        <v>131</v>
      </c>
      <c r="P1714" s="1" t="str">
        <f t="shared" si="216"/>
        <v>200,131</v>
      </c>
      <c r="Q1714" s="6" t="s">
        <v>10</v>
      </c>
      <c r="R1714" s="1">
        <v>90</v>
      </c>
      <c r="S1714" s="1">
        <v>2.5</v>
      </c>
      <c r="T1714" s="1" t="str">
        <f t="shared" si="215"/>
        <v>-text 200,131 2.5 90 266.141</v>
      </c>
    </row>
    <row r="1715" spans="1:20" x14ac:dyDescent="0.35">
      <c r="A1715" s="1">
        <v>285220</v>
      </c>
      <c r="B1715" s="7">
        <v>1174627.3999999999</v>
      </c>
      <c r="C1715" s="2">
        <v>269.63499999999999</v>
      </c>
      <c r="D1715" s="2">
        <v>274.33699999999999</v>
      </c>
      <c r="E1715" s="2">
        <v>4.7009999999999996</v>
      </c>
      <c r="F1715" s="2">
        <v>268.96300000000002</v>
      </c>
      <c r="G1715" s="2">
        <v>273.62400000000002</v>
      </c>
      <c r="H1715" s="2">
        <v>4.66</v>
      </c>
      <c r="I1715" s="2">
        <v>266.04199999999997</v>
      </c>
      <c r="J1715" s="2">
        <v>266.16899999999998</v>
      </c>
      <c r="K1715" s="15">
        <v>7.4539999999999997</v>
      </c>
      <c r="L1715" s="2">
        <v>31.138000000000002</v>
      </c>
      <c r="N1715" s="7">
        <f t="shared" si="220"/>
        <v>220.0999999998603</v>
      </c>
      <c r="O1715" s="1">
        <f t="shared" si="214"/>
        <v>131</v>
      </c>
      <c r="P1715" s="1" t="str">
        <f t="shared" si="216"/>
        <v>220.09999999986,131</v>
      </c>
      <c r="Q1715" s="6" t="s">
        <v>10</v>
      </c>
      <c r="R1715" s="1">
        <v>90</v>
      </c>
      <c r="S1715" s="1">
        <v>2.5</v>
      </c>
      <c r="T1715" s="1" t="str">
        <f t="shared" si="215"/>
        <v>-text 220.09999999986,131 2.5 90 266.169</v>
      </c>
    </row>
    <row r="1716" spans="1:20" x14ac:dyDescent="0.35">
      <c r="A1716" s="1">
        <v>285240</v>
      </c>
      <c r="B1716" s="7">
        <v>1174647.3999999999</v>
      </c>
      <c r="C1716" s="2">
        <v>269.64699999999999</v>
      </c>
      <c r="D1716" s="2">
        <v>274.41300000000001</v>
      </c>
      <c r="E1716" s="2">
        <v>4.766</v>
      </c>
      <c r="F1716" s="2">
        <v>268.97500000000002</v>
      </c>
      <c r="G1716" s="2">
        <v>273.7</v>
      </c>
      <c r="H1716" s="2">
        <v>4.7249999999999996</v>
      </c>
      <c r="I1716" s="2">
        <v>266.09899999999999</v>
      </c>
      <c r="J1716" s="2">
        <v>266.14600000000002</v>
      </c>
      <c r="K1716" s="15">
        <v>7.5540000000000003</v>
      </c>
      <c r="L1716" s="2">
        <v>31.324000000000002</v>
      </c>
      <c r="N1716" s="7">
        <f t="shared" si="220"/>
        <v>240.0999999998603</v>
      </c>
      <c r="O1716" s="1">
        <f t="shared" si="214"/>
        <v>131</v>
      </c>
      <c r="P1716" s="1" t="str">
        <f t="shared" si="216"/>
        <v>240.09999999986,131</v>
      </c>
      <c r="Q1716" s="6" t="s">
        <v>10</v>
      </c>
      <c r="R1716" s="1">
        <v>90</v>
      </c>
      <c r="S1716" s="1">
        <v>2.5</v>
      </c>
      <c r="T1716" s="1" t="str">
        <f t="shared" si="215"/>
        <v>-text 240.09999999986,131 2.5 90 266.146</v>
      </c>
    </row>
    <row r="1717" spans="1:20" x14ac:dyDescent="0.35">
      <c r="A1717" s="1">
        <v>285260</v>
      </c>
      <c r="B1717" s="7">
        <v>1174667.3</v>
      </c>
      <c r="C1717" s="2">
        <v>269.65300000000002</v>
      </c>
      <c r="D1717" s="2">
        <v>274.48899999999998</v>
      </c>
      <c r="E1717" s="2">
        <v>4.835</v>
      </c>
      <c r="F1717" s="2">
        <v>268.98099999999999</v>
      </c>
      <c r="G1717" s="2">
        <v>273.77600000000001</v>
      </c>
      <c r="H1717" s="2">
        <v>4.7939999999999996</v>
      </c>
      <c r="I1717" s="2">
        <v>266.11500000000001</v>
      </c>
      <c r="J1717" s="2">
        <v>266.27100000000002</v>
      </c>
      <c r="K1717" s="15">
        <v>7.5049999999999999</v>
      </c>
      <c r="L1717" s="2">
        <v>31.507999999999999</v>
      </c>
      <c r="N1717" s="7">
        <f t="shared" si="220"/>
        <v>260</v>
      </c>
      <c r="O1717" s="1">
        <f t="shared" si="214"/>
        <v>131</v>
      </c>
      <c r="P1717" s="1" t="str">
        <f t="shared" si="216"/>
        <v>260,131</v>
      </c>
      <c r="Q1717" s="6" t="s">
        <v>10</v>
      </c>
      <c r="R1717" s="1">
        <v>90</v>
      </c>
      <c r="S1717" s="1">
        <v>2.5</v>
      </c>
      <c r="T1717" s="1" t="str">
        <f t="shared" si="215"/>
        <v>-text 260,131 2.5 90 266.271</v>
      </c>
    </row>
    <row r="1718" spans="1:20" x14ac:dyDescent="0.35">
      <c r="A1718" s="1">
        <v>285280</v>
      </c>
      <c r="B1718" s="7">
        <v>1174687.3</v>
      </c>
      <c r="C1718" s="2">
        <v>269.62900000000002</v>
      </c>
      <c r="D1718" s="2">
        <v>274.565</v>
      </c>
      <c r="E1718" s="2">
        <v>4.9359999999999999</v>
      </c>
      <c r="F1718" s="2">
        <v>268.95699999999999</v>
      </c>
      <c r="G1718" s="2">
        <v>273.85199999999998</v>
      </c>
      <c r="H1718" s="2">
        <v>4.8949999999999996</v>
      </c>
      <c r="I1718" s="2">
        <v>266.10300000000001</v>
      </c>
      <c r="J1718" s="2">
        <v>266.43599999999998</v>
      </c>
      <c r="K1718" s="15">
        <v>7.4160000000000004</v>
      </c>
      <c r="L1718" s="2">
        <v>31.681999999999999</v>
      </c>
      <c r="N1718" s="7">
        <f t="shared" si="220"/>
        <v>280</v>
      </c>
      <c r="O1718" s="1">
        <f t="shared" si="214"/>
        <v>131</v>
      </c>
      <c r="P1718" s="1" t="str">
        <f t="shared" si="216"/>
        <v>280,131</v>
      </c>
      <c r="Q1718" s="6" t="s">
        <v>10</v>
      </c>
      <c r="R1718" s="1">
        <v>90</v>
      </c>
      <c r="S1718" s="1">
        <v>2.5</v>
      </c>
      <c r="T1718" s="1" t="str">
        <f t="shared" si="215"/>
        <v>-text 280,131 2.5 90 266.436</v>
      </c>
    </row>
    <row r="1719" spans="1:20" x14ac:dyDescent="0.35">
      <c r="A1719" s="1">
        <v>285300</v>
      </c>
      <c r="B1719" s="7">
        <v>1174707.3</v>
      </c>
      <c r="C1719" s="2">
        <v>269.60899999999998</v>
      </c>
      <c r="D1719" s="2">
        <v>274.64100000000002</v>
      </c>
      <c r="E1719" s="2">
        <v>5.0309999999999997</v>
      </c>
      <c r="F1719" s="2">
        <v>268.93700000000001</v>
      </c>
      <c r="G1719" s="2">
        <v>273.928</v>
      </c>
      <c r="H1719" s="2">
        <v>4.99</v>
      </c>
      <c r="I1719" s="2">
        <v>266.08199999999999</v>
      </c>
      <c r="J1719" s="2">
        <v>266.18799999999999</v>
      </c>
      <c r="K1719" s="15">
        <v>7.7389999999999999</v>
      </c>
      <c r="L1719" s="2">
        <v>31.853999999999999</v>
      </c>
      <c r="N1719" s="7">
        <f t="shared" si="220"/>
        <v>300</v>
      </c>
      <c r="O1719" s="1">
        <f t="shared" si="214"/>
        <v>131</v>
      </c>
      <c r="P1719" s="1" t="str">
        <f t="shared" si="216"/>
        <v>300,131</v>
      </c>
      <c r="Q1719" s="6" t="s">
        <v>10</v>
      </c>
      <c r="R1719" s="1">
        <v>90</v>
      </c>
      <c r="S1719" s="1">
        <v>2.5</v>
      </c>
      <c r="T1719" s="1" t="str">
        <f t="shared" si="215"/>
        <v>-text 300,131 2.5 90 266.188</v>
      </c>
    </row>
    <row r="1720" spans="1:20" x14ac:dyDescent="0.35">
      <c r="A1720" s="1">
        <v>285320</v>
      </c>
      <c r="B1720" s="7">
        <v>1174727.3</v>
      </c>
      <c r="C1720" s="2">
        <v>269.673</v>
      </c>
      <c r="D1720" s="2">
        <v>274.71699999999998</v>
      </c>
      <c r="E1720" s="2">
        <v>5.0439999999999996</v>
      </c>
      <c r="F1720" s="2">
        <v>269.00099999999998</v>
      </c>
      <c r="G1720" s="2">
        <v>274.00400000000002</v>
      </c>
      <c r="H1720" s="2">
        <v>5.0030000000000001</v>
      </c>
      <c r="I1720" s="2">
        <v>266.03100000000001</v>
      </c>
      <c r="J1720" s="2">
        <v>266.18200000000002</v>
      </c>
      <c r="K1720" s="15">
        <v>7.8209999999999997</v>
      </c>
      <c r="L1720" s="2">
        <v>32.003999999999998</v>
      </c>
      <c r="N1720" s="7">
        <f t="shared" si="220"/>
        <v>320</v>
      </c>
      <c r="O1720" s="1">
        <f t="shared" si="214"/>
        <v>131</v>
      </c>
      <c r="P1720" s="1" t="str">
        <f t="shared" si="216"/>
        <v>320,131</v>
      </c>
      <c r="Q1720" s="6" t="s">
        <v>10</v>
      </c>
      <c r="R1720" s="1">
        <v>90</v>
      </c>
      <c r="S1720" s="1">
        <v>2.5</v>
      </c>
      <c r="T1720" s="1" t="str">
        <f t="shared" si="215"/>
        <v>-text 320,131 2.5 90 266.182</v>
      </c>
    </row>
    <row r="1721" spans="1:20" x14ac:dyDescent="0.35">
      <c r="A1721" s="1">
        <v>285340</v>
      </c>
      <c r="B1721" s="7">
        <v>1174747.3</v>
      </c>
      <c r="C1721" s="2">
        <v>269.73700000000002</v>
      </c>
      <c r="D1721" s="2">
        <v>274.79300000000001</v>
      </c>
      <c r="E1721" s="2">
        <v>5.056</v>
      </c>
      <c r="F1721" s="2">
        <v>269.065</v>
      </c>
      <c r="G1721" s="2">
        <v>274.08</v>
      </c>
      <c r="H1721" s="2">
        <v>5.0149999999999997</v>
      </c>
      <c r="I1721" s="2">
        <v>265.98200000000003</v>
      </c>
      <c r="J1721" s="2">
        <v>266.18</v>
      </c>
      <c r="K1721" s="15">
        <v>7.9</v>
      </c>
      <c r="L1721" s="2">
        <v>32.155000000000001</v>
      </c>
      <c r="N1721" s="7">
        <f t="shared" si="220"/>
        <v>340</v>
      </c>
      <c r="O1721" s="1">
        <f t="shared" si="214"/>
        <v>131</v>
      </c>
      <c r="P1721" s="1" t="str">
        <f t="shared" si="216"/>
        <v>340,131</v>
      </c>
      <c r="Q1721" s="6" t="s">
        <v>10</v>
      </c>
      <c r="R1721" s="1">
        <v>90</v>
      </c>
      <c r="S1721" s="1">
        <v>2.5</v>
      </c>
      <c r="T1721" s="1" t="str">
        <f t="shared" si="215"/>
        <v>-text 340,131 2.5 90 266.18</v>
      </c>
    </row>
    <row r="1722" spans="1:20" x14ac:dyDescent="0.35">
      <c r="A1722" s="1">
        <v>285360</v>
      </c>
      <c r="B1722" s="7">
        <v>1174767.3</v>
      </c>
      <c r="C1722" s="2">
        <v>269.78899999999999</v>
      </c>
      <c r="D1722" s="2">
        <v>274.86900000000003</v>
      </c>
      <c r="E1722" s="2">
        <v>5.08</v>
      </c>
      <c r="F1722" s="2">
        <v>269.11700000000002</v>
      </c>
      <c r="G1722" s="2">
        <v>274.15600000000001</v>
      </c>
      <c r="H1722" s="2">
        <v>5.0389999999999997</v>
      </c>
      <c r="I1722" s="2">
        <v>265.97500000000002</v>
      </c>
      <c r="J1722" s="2">
        <v>266.43900000000002</v>
      </c>
      <c r="K1722" s="15">
        <v>7.7169999999999996</v>
      </c>
      <c r="L1722" s="2">
        <v>32.326999999999998</v>
      </c>
      <c r="N1722" s="7">
        <f t="shared" si="220"/>
        <v>360</v>
      </c>
      <c r="O1722" s="1">
        <f t="shared" si="214"/>
        <v>131</v>
      </c>
      <c r="P1722" s="1" t="str">
        <f t="shared" si="216"/>
        <v>360,131</v>
      </c>
      <c r="Q1722" s="6" t="s">
        <v>10</v>
      </c>
      <c r="R1722" s="1">
        <v>90</v>
      </c>
      <c r="S1722" s="1">
        <v>2.5</v>
      </c>
      <c r="T1722" s="1" t="str">
        <f t="shared" si="215"/>
        <v>-text 360,131 2.5 90 266.439</v>
      </c>
    </row>
    <row r="1723" spans="1:20" x14ac:dyDescent="0.35">
      <c r="A1723" s="1">
        <v>285380</v>
      </c>
      <c r="B1723" s="7">
        <v>1174787.3</v>
      </c>
      <c r="C1723" s="2">
        <v>269.83800000000002</v>
      </c>
      <c r="D1723" s="2">
        <v>274.94499999999999</v>
      </c>
      <c r="E1723" s="2">
        <v>5.1070000000000002</v>
      </c>
      <c r="F1723" s="2">
        <v>269.166</v>
      </c>
      <c r="G1723" s="2">
        <v>274.23200000000003</v>
      </c>
      <c r="H1723" s="2">
        <v>5.0659999999999998</v>
      </c>
      <c r="I1723" s="2">
        <v>265.98599999999999</v>
      </c>
      <c r="J1723" s="2">
        <v>266.459</v>
      </c>
      <c r="K1723" s="15">
        <v>7.7729999999999997</v>
      </c>
      <c r="L1723" s="2">
        <v>32.506</v>
      </c>
      <c r="N1723" s="7">
        <f t="shared" si="220"/>
        <v>380</v>
      </c>
      <c r="O1723" s="1">
        <f t="shared" ref="O1723:O1792" si="221">19+16+16+16+16+16+16+16</f>
        <v>131</v>
      </c>
      <c r="P1723" s="1" t="str">
        <f t="shared" si="216"/>
        <v>380,131</v>
      </c>
      <c r="Q1723" s="6" t="s">
        <v>10</v>
      </c>
      <c r="R1723" s="1">
        <v>90</v>
      </c>
      <c r="S1723" s="1">
        <v>2.5</v>
      </c>
      <c r="T1723" s="1" t="str">
        <f t="shared" ref="T1723:T1792" si="222">$Q1723&amp;" "&amp;$P1723&amp;" "&amp;$S1723&amp;" "&amp;$R1723&amp;" "&amp;$J1723</f>
        <v>-text 380,131 2.5 90 266.459</v>
      </c>
    </row>
    <row r="1724" spans="1:20" x14ac:dyDescent="0.35">
      <c r="A1724" s="1">
        <v>285400</v>
      </c>
      <c r="B1724" s="7">
        <v>1174807.3999999999</v>
      </c>
      <c r="C1724" s="2">
        <v>269.87900000000002</v>
      </c>
      <c r="D1724" s="2">
        <v>275.02100000000002</v>
      </c>
      <c r="E1724" s="2">
        <v>5.1420000000000003</v>
      </c>
      <c r="F1724" s="2">
        <v>269.20699999999999</v>
      </c>
      <c r="G1724" s="2">
        <v>274.30799999999999</v>
      </c>
      <c r="H1724" s="2">
        <v>5.101</v>
      </c>
      <c r="I1724" s="2">
        <v>266.02199999999999</v>
      </c>
      <c r="J1724" s="2">
        <v>266.315</v>
      </c>
      <c r="K1724" s="15">
        <v>7.9939999999999998</v>
      </c>
      <c r="L1724" s="2">
        <v>32.695</v>
      </c>
      <c r="N1724" s="7">
        <f t="shared" si="220"/>
        <v>400.0999999998603</v>
      </c>
      <c r="O1724" s="1">
        <f t="shared" si="221"/>
        <v>131</v>
      </c>
      <c r="P1724" s="1" t="str">
        <f t="shared" si="216"/>
        <v>400.09999999986,131</v>
      </c>
      <c r="Q1724" s="6" t="s">
        <v>10</v>
      </c>
      <c r="R1724" s="1">
        <v>90</v>
      </c>
      <c r="S1724" s="1">
        <v>2.5</v>
      </c>
      <c r="T1724" s="1" t="str">
        <f t="shared" si="222"/>
        <v>-text 400.09999999986,131 2.5 90 266.315</v>
      </c>
    </row>
    <row r="1725" spans="1:20" x14ac:dyDescent="0.35">
      <c r="A1725" s="1">
        <v>285400</v>
      </c>
      <c r="B1725" s="7">
        <v>1174807.3999999999</v>
      </c>
      <c r="C1725" s="2">
        <v>269.87900000000002</v>
      </c>
      <c r="D1725" s="2">
        <v>275.02100000000002</v>
      </c>
      <c r="E1725" s="2">
        <v>5.1420000000000003</v>
      </c>
      <c r="F1725" s="2">
        <v>269.20699999999999</v>
      </c>
      <c r="G1725" s="2">
        <v>274.30799999999999</v>
      </c>
      <c r="H1725" s="2">
        <v>5.101</v>
      </c>
      <c r="I1725" s="2">
        <v>266.02199999999999</v>
      </c>
      <c r="J1725" s="2">
        <v>266.315</v>
      </c>
      <c r="K1725" s="15">
        <v>7.9939999999999998</v>
      </c>
      <c r="L1725" s="2">
        <v>32.695</v>
      </c>
      <c r="N1725" s="7">
        <f t="shared" si="220"/>
        <v>400.0999999998603</v>
      </c>
      <c r="O1725" s="1">
        <f t="shared" si="221"/>
        <v>131</v>
      </c>
      <c r="P1725" s="1" t="str">
        <f t="shared" ref="P1725:P1794" si="223">CONCATENATE(N1725,",",O1725)</f>
        <v>400.09999999986,131</v>
      </c>
      <c r="Q1725" s="6" t="s">
        <v>10</v>
      </c>
      <c r="R1725" s="1">
        <v>90</v>
      </c>
      <c r="S1725" s="1">
        <v>2.5</v>
      </c>
      <c r="T1725" s="1" t="str">
        <f t="shared" si="222"/>
        <v>-text 400.09999999986,131 2.5 90 266.315</v>
      </c>
    </row>
    <row r="1726" spans="1:20" x14ac:dyDescent="0.35">
      <c r="A1726" s="1">
        <v>285420</v>
      </c>
      <c r="B1726" s="7">
        <v>1174827.3999999999</v>
      </c>
      <c r="C1726" s="2">
        <v>269.916</v>
      </c>
      <c r="D1726" s="2">
        <v>275.09800000000001</v>
      </c>
      <c r="E1726" s="2">
        <v>5.1820000000000004</v>
      </c>
      <c r="F1726" s="2">
        <v>269.24400000000003</v>
      </c>
      <c r="G1726" s="2">
        <v>274.38499999999999</v>
      </c>
      <c r="H1726" s="2">
        <v>5.141</v>
      </c>
      <c r="I1726" s="2">
        <v>266.24200000000002</v>
      </c>
      <c r="J1726" s="2">
        <v>266.24</v>
      </c>
      <c r="K1726" s="15">
        <v>8.1449999999999996</v>
      </c>
      <c r="L1726" s="2">
        <v>32.89</v>
      </c>
      <c r="N1726" s="7">
        <f t="shared" si="220"/>
        <v>420.0999999998603</v>
      </c>
      <c r="O1726" s="1">
        <f t="shared" si="221"/>
        <v>131</v>
      </c>
      <c r="P1726" s="1" t="str">
        <f t="shared" si="223"/>
        <v>420.09999999986,131</v>
      </c>
      <c r="Q1726" s="6" t="s">
        <v>10</v>
      </c>
      <c r="R1726" s="1">
        <v>90</v>
      </c>
      <c r="S1726" s="1">
        <v>2.5</v>
      </c>
      <c r="T1726" s="1" t="str">
        <f t="shared" si="222"/>
        <v>-text 420.09999999986,131 2.5 90 266.24</v>
      </c>
    </row>
    <row r="1727" spans="1:20" x14ac:dyDescent="0.35">
      <c r="A1727" s="1">
        <v>285440</v>
      </c>
      <c r="B1727" s="7">
        <v>1174847.3999999999</v>
      </c>
      <c r="C1727" s="2">
        <v>269.95100000000002</v>
      </c>
      <c r="D1727" s="2">
        <v>275.17399999999998</v>
      </c>
      <c r="E1727" s="2">
        <v>5.2220000000000004</v>
      </c>
      <c r="F1727" s="2">
        <v>269.279</v>
      </c>
      <c r="G1727" s="2">
        <v>274.46100000000001</v>
      </c>
      <c r="H1727" s="2">
        <v>5.181</v>
      </c>
      <c r="I1727" s="2">
        <v>266.18900000000002</v>
      </c>
      <c r="J1727" s="2">
        <v>266.24099999999999</v>
      </c>
      <c r="K1727" s="15">
        <v>8.2200000000000006</v>
      </c>
      <c r="L1727" s="2">
        <v>33.094999999999999</v>
      </c>
      <c r="N1727" s="7">
        <f t="shared" si="220"/>
        <v>440.0999999998603</v>
      </c>
      <c r="O1727" s="1">
        <f t="shared" si="221"/>
        <v>131</v>
      </c>
      <c r="P1727" s="1" t="str">
        <f t="shared" si="223"/>
        <v>440.09999999986,131</v>
      </c>
      <c r="Q1727" s="6" t="s">
        <v>10</v>
      </c>
      <c r="R1727" s="1">
        <v>90</v>
      </c>
      <c r="S1727" s="1">
        <v>2.5</v>
      </c>
      <c r="T1727" s="1" t="str">
        <f t="shared" si="222"/>
        <v>-text 440.09999999986,131 2.5 90 266.241</v>
      </c>
    </row>
    <row r="1728" spans="1:20" x14ac:dyDescent="0.35">
      <c r="A1728" s="1">
        <v>285460</v>
      </c>
      <c r="B1728" s="7">
        <v>1174867.3999999999</v>
      </c>
      <c r="C1728" s="2">
        <v>269.98099999999999</v>
      </c>
      <c r="D1728" s="2">
        <v>275.25</v>
      </c>
      <c r="E1728" s="2">
        <v>5.2690000000000001</v>
      </c>
      <c r="F1728" s="2">
        <v>269.30900000000003</v>
      </c>
      <c r="G1728" s="2">
        <v>274.53699999999998</v>
      </c>
      <c r="H1728" s="2">
        <v>5.2279999999999998</v>
      </c>
      <c r="I1728" s="2">
        <v>266.39499999999998</v>
      </c>
      <c r="J1728" s="2">
        <v>265.91899999999998</v>
      </c>
      <c r="K1728" s="15">
        <v>8.6180000000000003</v>
      </c>
      <c r="L1728" s="2">
        <v>33.365000000000002</v>
      </c>
      <c r="N1728" s="7">
        <f t="shared" si="220"/>
        <v>460.0999999998603</v>
      </c>
      <c r="O1728" s="1">
        <f t="shared" si="221"/>
        <v>131</v>
      </c>
      <c r="P1728" s="1" t="str">
        <f t="shared" si="223"/>
        <v>460.09999999986,131</v>
      </c>
      <c r="Q1728" s="6" t="s">
        <v>10</v>
      </c>
      <c r="R1728" s="1">
        <v>90</v>
      </c>
      <c r="S1728" s="1">
        <v>2.5</v>
      </c>
      <c r="T1728" s="1" t="str">
        <f t="shared" si="222"/>
        <v>-text 460.09999999986,131 2.5 90 265.919</v>
      </c>
    </row>
    <row r="1729" spans="1:20" x14ac:dyDescent="0.35">
      <c r="A1729" s="1">
        <v>285480</v>
      </c>
      <c r="B1729" s="7">
        <v>1174887.3999999999</v>
      </c>
      <c r="C1729" s="2">
        <v>269.97199999999998</v>
      </c>
      <c r="D1729" s="2">
        <v>275.32600000000002</v>
      </c>
      <c r="E1729" s="2">
        <v>5.3540000000000001</v>
      </c>
      <c r="F1729" s="2">
        <v>269.3</v>
      </c>
      <c r="G1729" s="2">
        <v>274.613</v>
      </c>
      <c r="H1729" s="2">
        <v>5.3129999999999997</v>
      </c>
      <c r="I1729" s="2">
        <v>267.03500000000003</v>
      </c>
      <c r="J1729" s="2">
        <v>265.93599999999998</v>
      </c>
      <c r="K1729" s="15">
        <v>8.6780000000000008</v>
      </c>
      <c r="L1729" s="2">
        <v>33.813000000000002</v>
      </c>
      <c r="N1729" s="7">
        <f t="shared" si="220"/>
        <v>480.0999999998603</v>
      </c>
      <c r="O1729" s="1">
        <f t="shared" si="221"/>
        <v>131</v>
      </c>
      <c r="P1729" s="1" t="str">
        <f t="shared" si="223"/>
        <v>480.09999999986,131</v>
      </c>
      <c r="Q1729" s="6" t="s">
        <v>10</v>
      </c>
      <c r="R1729" s="1">
        <v>90</v>
      </c>
      <c r="S1729" s="1">
        <v>2.5</v>
      </c>
      <c r="T1729" s="1" t="str">
        <f t="shared" si="222"/>
        <v>-text 480.09999999986,131 2.5 90 265.936</v>
      </c>
    </row>
    <row r="1730" spans="1:20" x14ac:dyDescent="0.35">
      <c r="A1730" s="1">
        <v>285500</v>
      </c>
      <c r="B1730" s="7">
        <v>1174907.5</v>
      </c>
      <c r="C1730" s="2">
        <v>269.94499999999999</v>
      </c>
      <c r="D1730" s="2">
        <v>275.40199999999999</v>
      </c>
      <c r="E1730" s="2">
        <v>5.4569999999999999</v>
      </c>
      <c r="F1730" s="2">
        <v>269.27300000000002</v>
      </c>
      <c r="G1730" s="2">
        <v>274.68900000000002</v>
      </c>
      <c r="H1730" s="2">
        <v>5.4160000000000004</v>
      </c>
      <c r="I1730" s="2">
        <v>266.65899999999999</v>
      </c>
      <c r="J1730" s="2">
        <v>265.81400000000002</v>
      </c>
      <c r="K1730" s="15">
        <v>8.875</v>
      </c>
      <c r="L1730" s="2">
        <v>34.491</v>
      </c>
      <c r="N1730" s="7">
        <f>N1727+(B1730-B1727)</f>
        <v>500.19999999995343</v>
      </c>
      <c r="O1730" s="1">
        <f t="shared" si="221"/>
        <v>131</v>
      </c>
      <c r="P1730" s="1" t="str">
        <f t="shared" ref="P1730" si="224">CONCATENATE(N1730,",",O1730)</f>
        <v>500.199999999953,131</v>
      </c>
      <c r="Q1730" s="6" t="s">
        <v>10</v>
      </c>
      <c r="R1730" s="1">
        <v>90</v>
      </c>
      <c r="S1730" s="1">
        <v>2.5</v>
      </c>
      <c r="T1730" s="1" t="str">
        <f t="shared" si="222"/>
        <v>-text 500.199999999953,131 2.5 90 265.814</v>
      </c>
    </row>
    <row r="1731" spans="1:20" s="10" customFormat="1" x14ac:dyDescent="0.35">
      <c r="B1731" s="11"/>
      <c r="C1731" s="9"/>
      <c r="D1731" s="9"/>
      <c r="E1731" s="9"/>
      <c r="F1731" s="9"/>
      <c r="G1731" s="9"/>
      <c r="H1731" s="9"/>
      <c r="I1731" s="9"/>
      <c r="J1731" s="9"/>
      <c r="K1731" s="16"/>
      <c r="L1731" s="9"/>
      <c r="M1731" s="9"/>
      <c r="N1731" s="11"/>
      <c r="Q1731" s="12"/>
    </row>
    <row r="1732" spans="1:20" x14ac:dyDescent="0.35">
      <c r="A1732" s="1">
        <v>285500</v>
      </c>
      <c r="B1732" s="7">
        <v>1174907.5</v>
      </c>
      <c r="C1732" s="2">
        <v>269.94499999999999</v>
      </c>
      <c r="D1732" s="2">
        <v>275.40199999999999</v>
      </c>
      <c r="E1732" s="2">
        <v>5.4569999999999999</v>
      </c>
      <c r="F1732" s="2">
        <v>269.27300000000002</v>
      </c>
      <c r="G1732" s="2">
        <v>274.68900000000002</v>
      </c>
      <c r="H1732" s="2">
        <v>5.4160000000000004</v>
      </c>
      <c r="I1732" s="2">
        <v>266.65899999999999</v>
      </c>
      <c r="J1732" s="2">
        <v>265.81400000000002</v>
      </c>
      <c r="K1732" s="15">
        <v>8.875</v>
      </c>
      <c r="L1732" s="2">
        <v>34.491</v>
      </c>
      <c r="N1732" s="7">
        <v>0</v>
      </c>
      <c r="O1732" s="1">
        <f t="shared" si="221"/>
        <v>131</v>
      </c>
      <c r="P1732" s="1" t="str">
        <f t="shared" si="223"/>
        <v>0,131</v>
      </c>
      <c r="Q1732" s="6" t="s">
        <v>10</v>
      </c>
      <c r="R1732" s="1">
        <v>90</v>
      </c>
      <c r="S1732" s="1">
        <v>2.5</v>
      </c>
      <c r="T1732" s="1" t="str">
        <f t="shared" si="222"/>
        <v>-text 0,131 2.5 90 265.814</v>
      </c>
    </row>
    <row r="1733" spans="1:20" x14ac:dyDescent="0.35">
      <c r="A1733" s="1">
        <v>285520</v>
      </c>
      <c r="B1733" s="7">
        <v>1174927.6000000001</v>
      </c>
      <c r="C1733" s="2">
        <v>269.91800000000001</v>
      </c>
      <c r="D1733" s="2">
        <v>275.47899999999998</v>
      </c>
      <c r="E1733" s="2">
        <v>5.5609999999999999</v>
      </c>
      <c r="F1733" s="2">
        <v>269.24599999999998</v>
      </c>
      <c r="G1733" s="2">
        <v>274.76600000000002</v>
      </c>
      <c r="H1733" s="2">
        <v>5.52</v>
      </c>
      <c r="I1733" s="2">
        <v>266.53699999999998</v>
      </c>
      <c r="J1733" s="2">
        <v>265.80200000000002</v>
      </c>
      <c r="K1733" s="15">
        <v>8.9629999999999992</v>
      </c>
      <c r="L1733" s="2">
        <v>35.476999999999997</v>
      </c>
      <c r="N1733" s="7">
        <f t="shared" ref="N1733:N1756" si="225">N1732+(B1733-B1732)</f>
        <v>20.100000000093132</v>
      </c>
      <c r="O1733" s="1">
        <f t="shared" si="221"/>
        <v>131</v>
      </c>
      <c r="P1733" s="1" t="str">
        <f t="shared" si="223"/>
        <v>20.1000000000931,131</v>
      </c>
      <c r="Q1733" s="6" t="s">
        <v>10</v>
      </c>
      <c r="R1733" s="1">
        <v>90</v>
      </c>
      <c r="S1733" s="1">
        <v>2.5</v>
      </c>
      <c r="T1733" s="1" t="str">
        <f t="shared" si="222"/>
        <v>-text 20.1000000000931,131 2.5 90 265.802</v>
      </c>
    </row>
    <row r="1734" spans="1:20" x14ac:dyDescent="0.35">
      <c r="A1734" s="1">
        <v>285540</v>
      </c>
      <c r="B1734" s="7">
        <v>1174947.8999999999</v>
      </c>
      <c r="C1734" s="2">
        <v>269.88499999999999</v>
      </c>
      <c r="D1734" s="2">
        <v>275.55599999999998</v>
      </c>
      <c r="E1734" s="2">
        <v>5.6710000000000003</v>
      </c>
      <c r="F1734" s="2">
        <v>269.21300000000002</v>
      </c>
      <c r="G1734" s="2">
        <v>274.84300000000002</v>
      </c>
      <c r="H1734" s="2">
        <v>5.63</v>
      </c>
      <c r="I1734" s="2">
        <v>266.00700000000001</v>
      </c>
      <c r="J1734" s="2">
        <v>265.51499999999999</v>
      </c>
      <c r="K1734" s="15">
        <v>9.3279999999999994</v>
      </c>
      <c r="L1734" s="2">
        <v>36.951999999999998</v>
      </c>
      <c r="N1734" s="7">
        <f t="shared" si="225"/>
        <v>40.399999999906868</v>
      </c>
      <c r="O1734" s="1">
        <f t="shared" si="221"/>
        <v>131</v>
      </c>
      <c r="P1734" s="1" t="str">
        <f t="shared" si="223"/>
        <v>40.3999999999069,131</v>
      </c>
      <c r="Q1734" s="6" t="s">
        <v>10</v>
      </c>
      <c r="R1734" s="1">
        <v>90</v>
      </c>
      <c r="S1734" s="1">
        <v>2.5</v>
      </c>
      <c r="T1734" s="1" t="str">
        <f t="shared" si="222"/>
        <v>-text 40.3999999999069,131 2.5 90 265.515</v>
      </c>
    </row>
    <row r="1735" spans="1:20" x14ac:dyDescent="0.35">
      <c r="A1735" s="1">
        <v>285560</v>
      </c>
      <c r="B1735" s="7">
        <v>1174968</v>
      </c>
      <c r="C1735" s="2">
        <v>269.84800000000001</v>
      </c>
      <c r="D1735" s="2">
        <v>275.63200000000001</v>
      </c>
      <c r="E1735" s="2">
        <v>5.7839999999999998</v>
      </c>
      <c r="F1735" s="2">
        <v>269.17599999999999</v>
      </c>
      <c r="G1735" s="2">
        <v>274.91899999999998</v>
      </c>
      <c r="H1735" s="2">
        <v>5.7430000000000003</v>
      </c>
      <c r="I1735" s="2">
        <v>266.21899999999999</v>
      </c>
      <c r="J1735" s="2">
        <v>265.09800000000001</v>
      </c>
      <c r="K1735" s="15">
        <v>9.8209999999999997</v>
      </c>
      <c r="L1735" s="2">
        <v>38.923999999999999</v>
      </c>
      <c r="N1735" s="7">
        <f t="shared" si="225"/>
        <v>60.5</v>
      </c>
      <c r="O1735" s="1">
        <f t="shared" si="221"/>
        <v>131</v>
      </c>
      <c r="P1735" s="1" t="str">
        <f t="shared" si="223"/>
        <v>60.5,131</v>
      </c>
      <c r="Q1735" s="6" t="s">
        <v>10</v>
      </c>
      <c r="R1735" s="1">
        <v>90</v>
      </c>
      <c r="S1735" s="1">
        <v>2.5</v>
      </c>
      <c r="T1735" s="1" t="str">
        <f t="shared" si="222"/>
        <v>-text 60.5,131 2.5 90 265.098</v>
      </c>
    </row>
    <row r="1736" spans="1:20" x14ac:dyDescent="0.35">
      <c r="A1736" s="1">
        <v>285580</v>
      </c>
      <c r="B1736" s="7">
        <v>1174988.3</v>
      </c>
      <c r="C1736" s="2">
        <v>269.81</v>
      </c>
      <c r="D1736" s="2">
        <v>275.70999999999998</v>
      </c>
      <c r="E1736" s="2">
        <v>5.9</v>
      </c>
      <c r="F1736" s="2">
        <v>269.13799999999998</v>
      </c>
      <c r="G1736" s="2">
        <v>274.99700000000001</v>
      </c>
      <c r="H1736" s="2">
        <v>5.859</v>
      </c>
      <c r="I1736" s="2">
        <v>265.83800000000002</v>
      </c>
      <c r="J1736" s="2">
        <v>264.46600000000001</v>
      </c>
      <c r="K1736" s="15">
        <v>10.531000000000001</v>
      </c>
      <c r="L1736" s="2">
        <v>41.459000000000003</v>
      </c>
      <c r="N1736" s="7">
        <f t="shared" si="225"/>
        <v>80.800000000046566</v>
      </c>
      <c r="O1736" s="1">
        <f t="shared" si="221"/>
        <v>131</v>
      </c>
      <c r="P1736" s="1" t="str">
        <f t="shared" si="223"/>
        <v>80.8000000000466,131</v>
      </c>
      <c r="Q1736" s="6" t="s">
        <v>10</v>
      </c>
      <c r="R1736" s="1">
        <v>90</v>
      </c>
      <c r="S1736" s="1">
        <v>2.5</v>
      </c>
      <c r="T1736" s="1" t="str">
        <f t="shared" si="222"/>
        <v>-text 80.8000000000466,131 2.5 90 264.466</v>
      </c>
    </row>
    <row r="1737" spans="1:20" x14ac:dyDescent="0.35">
      <c r="A1737" s="1">
        <v>285600</v>
      </c>
      <c r="B1737" s="7">
        <v>1175008.6000000001</v>
      </c>
      <c r="C1737" s="2">
        <v>269.77199999999999</v>
      </c>
      <c r="D1737" s="2">
        <v>275.78699999999998</v>
      </c>
      <c r="E1737" s="2">
        <v>6.0149999999999997</v>
      </c>
      <c r="F1737" s="2">
        <v>269.10000000000002</v>
      </c>
      <c r="G1737" s="2">
        <v>275.07400000000001</v>
      </c>
      <c r="H1737" s="2">
        <v>5.9740000000000002</v>
      </c>
      <c r="I1737" s="2">
        <v>266.35300000000001</v>
      </c>
      <c r="J1737" s="2">
        <v>265.91699999999997</v>
      </c>
      <c r="K1737" s="15">
        <v>9.157</v>
      </c>
      <c r="L1737" s="2">
        <v>44.542000000000002</v>
      </c>
      <c r="N1737" s="7">
        <f t="shared" si="225"/>
        <v>101.10000000009313</v>
      </c>
      <c r="O1737" s="1">
        <f t="shared" si="221"/>
        <v>131</v>
      </c>
      <c r="P1737" s="1" t="str">
        <f t="shared" si="223"/>
        <v>101.100000000093,131</v>
      </c>
      <c r="Q1737" s="6" t="s">
        <v>10</v>
      </c>
      <c r="R1737" s="1">
        <v>90</v>
      </c>
      <c r="S1737" s="1">
        <v>2.5</v>
      </c>
      <c r="T1737" s="1" t="str">
        <f t="shared" si="222"/>
        <v>-text 101.100000000093,131 2.5 90 265.917</v>
      </c>
    </row>
    <row r="1738" spans="1:20" x14ac:dyDescent="0.35">
      <c r="A1738" s="1">
        <v>285620</v>
      </c>
      <c r="B1738" s="7">
        <v>1175028.8999999999</v>
      </c>
      <c r="C1738" s="2">
        <v>269.73200000000003</v>
      </c>
      <c r="D1738" s="2">
        <v>275.86399999999998</v>
      </c>
      <c r="E1738" s="2">
        <v>6.1319999999999997</v>
      </c>
      <c r="F1738" s="2">
        <v>269.06</v>
      </c>
      <c r="G1738" s="2">
        <v>275.15100000000001</v>
      </c>
      <c r="H1738" s="2">
        <v>6.0910000000000002</v>
      </c>
      <c r="I1738" s="2">
        <v>266.38200000000001</v>
      </c>
      <c r="J1738" s="2">
        <v>265.92599999999999</v>
      </c>
      <c r="K1738" s="15">
        <v>9.2249999999999996</v>
      </c>
      <c r="L1738" s="2">
        <v>48.162999999999997</v>
      </c>
      <c r="N1738" s="7">
        <f t="shared" si="225"/>
        <v>121.39999999990687</v>
      </c>
      <c r="O1738" s="1">
        <f t="shared" si="221"/>
        <v>131</v>
      </c>
      <c r="P1738" s="1" t="str">
        <f t="shared" si="223"/>
        <v>121.399999999907,131</v>
      </c>
      <c r="Q1738" s="6" t="s">
        <v>10</v>
      </c>
      <c r="R1738" s="1">
        <v>90</v>
      </c>
      <c r="S1738" s="1">
        <v>2.5</v>
      </c>
      <c r="T1738" s="1" t="str">
        <f t="shared" si="222"/>
        <v>-text 121.399999999907,131 2.5 90 265.926</v>
      </c>
    </row>
    <row r="1739" spans="1:20" x14ac:dyDescent="0.35">
      <c r="A1739" s="1">
        <v>285640</v>
      </c>
      <c r="B1739" s="7">
        <v>1175049.3999999999</v>
      </c>
      <c r="C1739" s="2">
        <v>269.69200000000001</v>
      </c>
      <c r="D1739" s="2">
        <v>275.94200000000001</v>
      </c>
      <c r="E1739" s="2">
        <v>6.25</v>
      </c>
      <c r="F1739" s="2">
        <v>269.02</v>
      </c>
      <c r="G1739" s="2">
        <v>275.22899999999998</v>
      </c>
      <c r="H1739" s="2">
        <v>6.2089999999999996</v>
      </c>
      <c r="I1739" s="2">
        <v>266.209</v>
      </c>
      <c r="J1739" s="2">
        <v>265.93900000000002</v>
      </c>
      <c r="K1739" s="15">
        <v>9.2899999999999991</v>
      </c>
      <c r="L1739" s="2">
        <v>52.3</v>
      </c>
      <c r="N1739" s="7">
        <f t="shared" si="225"/>
        <v>141.89999999990687</v>
      </c>
      <c r="O1739" s="1">
        <f t="shared" si="221"/>
        <v>131</v>
      </c>
      <c r="P1739" s="1" t="str">
        <f t="shared" si="223"/>
        <v>141.899999999907,131</v>
      </c>
      <c r="Q1739" s="6" t="s">
        <v>10</v>
      </c>
      <c r="R1739" s="1">
        <v>90</v>
      </c>
      <c r="S1739" s="1">
        <v>2.5</v>
      </c>
      <c r="T1739" s="1" t="str">
        <f t="shared" si="222"/>
        <v>-text 141.899999999907,131 2.5 90 265.939</v>
      </c>
    </row>
    <row r="1740" spans="1:20" x14ac:dyDescent="0.35">
      <c r="A1740" s="1">
        <v>285660</v>
      </c>
      <c r="B1740" s="7">
        <v>1175069.8999999999</v>
      </c>
      <c r="C1740" s="2">
        <v>269.65100000000001</v>
      </c>
      <c r="D1740" s="2">
        <v>276.02</v>
      </c>
      <c r="E1740" s="2">
        <v>6.37</v>
      </c>
      <c r="F1740" s="2">
        <v>268.97899999999998</v>
      </c>
      <c r="G1740" s="2">
        <v>275.30700000000002</v>
      </c>
      <c r="H1740" s="2">
        <v>6.3289999999999997</v>
      </c>
      <c r="I1740" s="2">
        <v>266.18799999999999</v>
      </c>
      <c r="J1740" s="2">
        <v>265.99799999999999</v>
      </c>
      <c r="K1740" s="15">
        <v>9.31</v>
      </c>
      <c r="L1740" s="2">
        <v>56.915999999999997</v>
      </c>
      <c r="N1740" s="7">
        <f t="shared" si="225"/>
        <v>162.39999999990687</v>
      </c>
      <c r="O1740" s="1">
        <f t="shared" si="221"/>
        <v>131</v>
      </c>
      <c r="P1740" s="1" t="str">
        <f t="shared" si="223"/>
        <v>162.399999999907,131</v>
      </c>
      <c r="Q1740" s="6" t="s">
        <v>10</v>
      </c>
      <c r="R1740" s="1">
        <v>90</v>
      </c>
      <c r="S1740" s="1">
        <v>2.5</v>
      </c>
      <c r="T1740" s="1" t="str">
        <f t="shared" si="222"/>
        <v>-text 162.399999999907,131 2.5 90 265.998</v>
      </c>
    </row>
    <row r="1741" spans="1:20" x14ac:dyDescent="0.35">
      <c r="A1741" s="1">
        <v>285680</v>
      </c>
      <c r="B1741" s="7">
        <v>1175090.6000000001</v>
      </c>
      <c r="C1741" s="2">
        <v>269.608</v>
      </c>
      <c r="D1741" s="2">
        <v>276.09899999999999</v>
      </c>
      <c r="E1741" s="2">
        <v>6.49</v>
      </c>
      <c r="F1741" s="2">
        <v>268.93599999999998</v>
      </c>
      <c r="G1741" s="2">
        <v>275.38600000000002</v>
      </c>
      <c r="H1741" s="2">
        <v>6.4489999999999998</v>
      </c>
      <c r="I1741" s="2">
        <v>266.19</v>
      </c>
      <c r="J1741" s="2">
        <v>266.077</v>
      </c>
      <c r="K1741" s="15">
        <v>9.3089999999999993</v>
      </c>
      <c r="L1741" s="2">
        <v>61.912999999999997</v>
      </c>
      <c r="N1741" s="7">
        <f t="shared" si="225"/>
        <v>183.10000000009313</v>
      </c>
      <c r="O1741" s="1">
        <f t="shared" si="221"/>
        <v>131</v>
      </c>
      <c r="P1741" s="1" t="str">
        <f t="shared" si="223"/>
        <v>183.100000000093,131</v>
      </c>
      <c r="Q1741" s="6" t="s">
        <v>10</v>
      </c>
      <c r="R1741" s="1">
        <v>90</v>
      </c>
      <c r="S1741" s="1">
        <v>2.5</v>
      </c>
      <c r="T1741" s="1" t="str">
        <f t="shared" si="222"/>
        <v>-text 183.100000000093,131 2.5 90 266.077</v>
      </c>
    </row>
    <row r="1742" spans="1:20" x14ac:dyDescent="0.35">
      <c r="A1742" s="1">
        <v>285700</v>
      </c>
      <c r="B1742" s="7">
        <v>1175111.3</v>
      </c>
      <c r="C1742" s="2">
        <v>269.56599999999997</v>
      </c>
      <c r="D1742" s="2">
        <v>276.17700000000002</v>
      </c>
      <c r="E1742" s="2">
        <v>6.6109999999999998</v>
      </c>
      <c r="F1742" s="2">
        <v>268.89400000000001</v>
      </c>
      <c r="G1742" s="2">
        <v>275.464</v>
      </c>
      <c r="H1742" s="2">
        <v>6.57</v>
      </c>
      <c r="I1742" s="2">
        <v>266.17200000000003</v>
      </c>
      <c r="J1742" s="2">
        <v>266.17399999999998</v>
      </c>
      <c r="K1742" s="15">
        <v>9.2899999999999991</v>
      </c>
      <c r="L1742" s="2">
        <v>67.212999999999994</v>
      </c>
      <c r="N1742" s="7">
        <f t="shared" si="225"/>
        <v>203.80000000004657</v>
      </c>
      <c r="O1742" s="1">
        <f t="shared" si="221"/>
        <v>131</v>
      </c>
      <c r="P1742" s="1" t="str">
        <f t="shared" si="223"/>
        <v>203.800000000047,131</v>
      </c>
      <c r="Q1742" s="6" t="s">
        <v>10</v>
      </c>
      <c r="R1742" s="1">
        <v>90</v>
      </c>
      <c r="S1742" s="1">
        <v>2.5</v>
      </c>
      <c r="T1742" s="1" t="str">
        <f t="shared" si="222"/>
        <v>-text 203.800000000047,131 2.5 90 266.174</v>
      </c>
    </row>
    <row r="1743" spans="1:20" x14ac:dyDescent="0.35">
      <c r="A1743" s="1">
        <v>285720</v>
      </c>
      <c r="B1743" s="7">
        <v>1175132.2</v>
      </c>
      <c r="C1743" s="2">
        <v>269.53100000000001</v>
      </c>
      <c r="D1743" s="2">
        <v>276.25700000000001</v>
      </c>
      <c r="E1743" s="2">
        <v>6.726</v>
      </c>
      <c r="F1743" s="2">
        <v>268.85899999999998</v>
      </c>
      <c r="G1743" s="2">
        <v>275.54399999999998</v>
      </c>
      <c r="H1743" s="2">
        <v>6.6849999999999996</v>
      </c>
      <c r="I1743" s="2">
        <v>266.17899999999997</v>
      </c>
      <c r="J1743" s="2">
        <v>266.24099999999999</v>
      </c>
      <c r="K1743" s="15">
        <v>9.3030000000000008</v>
      </c>
      <c r="L1743" s="2">
        <v>72.846000000000004</v>
      </c>
      <c r="N1743" s="7">
        <f t="shared" si="225"/>
        <v>224.69999999995343</v>
      </c>
      <c r="O1743" s="1">
        <f t="shared" si="221"/>
        <v>131</v>
      </c>
      <c r="P1743" s="1" t="str">
        <f t="shared" si="223"/>
        <v>224.699999999953,131</v>
      </c>
      <c r="Q1743" s="6" t="s">
        <v>10</v>
      </c>
      <c r="R1743" s="1">
        <v>90</v>
      </c>
      <c r="S1743" s="1">
        <v>2.5</v>
      </c>
      <c r="T1743" s="1" t="str">
        <f t="shared" si="222"/>
        <v>-text 224.699999999953,131 2.5 90 266.241</v>
      </c>
    </row>
    <row r="1744" spans="1:20" x14ac:dyDescent="0.35">
      <c r="A1744" s="1">
        <v>285740</v>
      </c>
      <c r="B1744" s="7">
        <v>1175153.1000000001</v>
      </c>
      <c r="C1744" s="2">
        <v>269.48</v>
      </c>
      <c r="D1744" s="2">
        <v>276.33600000000001</v>
      </c>
      <c r="E1744" s="2">
        <v>6.8570000000000002</v>
      </c>
      <c r="F1744" s="2">
        <v>268.80799999999999</v>
      </c>
      <c r="G1744" s="2">
        <v>275.62299999999999</v>
      </c>
      <c r="H1744" s="2">
        <v>6.8159999999999998</v>
      </c>
      <c r="I1744" s="2">
        <v>266.13900000000001</v>
      </c>
      <c r="J1744" s="2">
        <v>266.22800000000001</v>
      </c>
      <c r="K1744" s="15">
        <v>9.3949999999999996</v>
      </c>
      <c r="L1744" s="2">
        <v>78.584000000000003</v>
      </c>
      <c r="N1744" s="7">
        <f t="shared" si="225"/>
        <v>245.60000000009313</v>
      </c>
      <c r="O1744" s="1">
        <f t="shared" si="221"/>
        <v>131</v>
      </c>
      <c r="P1744" s="1" t="str">
        <f t="shared" si="223"/>
        <v>245.600000000093,131</v>
      </c>
      <c r="Q1744" s="6" t="s">
        <v>10</v>
      </c>
      <c r="R1744" s="1">
        <v>90</v>
      </c>
      <c r="S1744" s="1">
        <v>2.5</v>
      </c>
      <c r="T1744" s="1" t="str">
        <f t="shared" si="222"/>
        <v>-text 245.600000000093,131 2.5 90 266.228</v>
      </c>
    </row>
    <row r="1745" spans="1:20" x14ac:dyDescent="0.35">
      <c r="A1745" s="1">
        <v>285760</v>
      </c>
      <c r="B1745" s="7">
        <v>1175173.8999999999</v>
      </c>
      <c r="C1745" s="2">
        <v>269.363</v>
      </c>
      <c r="D1745" s="2">
        <v>276.416</v>
      </c>
      <c r="E1745" s="2">
        <v>7.0529999999999999</v>
      </c>
      <c r="F1745" s="2">
        <v>268.69099999999997</v>
      </c>
      <c r="G1745" s="2">
        <v>275.70299999999997</v>
      </c>
      <c r="H1745" s="2">
        <v>7.0119999999999996</v>
      </c>
      <c r="I1745" s="2">
        <v>266.13200000000001</v>
      </c>
      <c r="J1745" s="2">
        <v>266.04700000000003</v>
      </c>
      <c r="K1745" s="15">
        <v>9.6549999999999994</v>
      </c>
      <c r="L1745" s="2">
        <v>84.375</v>
      </c>
      <c r="N1745" s="7">
        <f t="shared" si="225"/>
        <v>266.39999999990687</v>
      </c>
      <c r="O1745" s="1">
        <f t="shared" si="221"/>
        <v>131</v>
      </c>
      <c r="P1745" s="1" t="str">
        <f t="shared" si="223"/>
        <v>266.399999999907,131</v>
      </c>
      <c r="Q1745" s="6" t="s">
        <v>10</v>
      </c>
      <c r="R1745" s="1">
        <v>90</v>
      </c>
      <c r="S1745" s="1">
        <v>2.5</v>
      </c>
      <c r="T1745" s="1" t="str">
        <f t="shared" si="222"/>
        <v>-text 266.399999999907,131 2.5 90 266.047</v>
      </c>
    </row>
    <row r="1746" spans="1:20" x14ac:dyDescent="0.35">
      <c r="A1746" s="1">
        <v>285780</v>
      </c>
      <c r="B1746" s="7">
        <v>1175194.6000000001</v>
      </c>
      <c r="C1746" s="2">
        <v>269.35500000000002</v>
      </c>
      <c r="D1746" s="2">
        <v>276.495</v>
      </c>
      <c r="E1746" s="2">
        <v>7.1390000000000002</v>
      </c>
      <c r="F1746" s="2">
        <v>268.68299999999999</v>
      </c>
      <c r="G1746" s="2">
        <v>275.78199999999998</v>
      </c>
      <c r="H1746" s="2">
        <v>7.0979999999999999</v>
      </c>
      <c r="I1746" s="2">
        <v>266.10399999999998</v>
      </c>
      <c r="J1746" s="2">
        <v>265.7</v>
      </c>
      <c r="K1746" s="15">
        <v>10.081</v>
      </c>
      <c r="L1746" s="2">
        <v>90.132000000000005</v>
      </c>
      <c r="N1746" s="7">
        <f t="shared" si="225"/>
        <v>287.10000000009313</v>
      </c>
      <c r="O1746" s="1">
        <f t="shared" si="221"/>
        <v>131</v>
      </c>
      <c r="P1746" s="1" t="str">
        <f t="shared" si="223"/>
        <v>287.100000000093,131</v>
      </c>
      <c r="Q1746" s="6" t="s">
        <v>10</v>
      </c>
      <c r="R1746" s="1">
        <v>90</v>
      </c>
      <c r="S1746" s="1">
        <v>2.5</v>
      </c>
      <c r="T1746" s="1" t="str">
        <f t="shared" si="222"/>
        <v>-text 287.100000000093,131 2.5 90 265.7</v>
      </c>
    </row>
    <row r="1747" spans="1:20" x14ac:dyDescent="0.35">
      <c r="A1747" s="1">
        <v>285800</v>
      </c>
      <c r="B1747" s="7">
        <v>1175215.3999999999</v>
      </c>
      <c r="C1747" s="2">
        <v>269.387</v>
      </c>
      <c r="D1747" s="2">
        <v>276.57400000000001</v>
      </c>
      <c r="E1747" s="2">
        <v>7.1870000000000003</v>
      </c>
      <c r="F1747" s="2">
        <v>268.71499999999997</v>
      </c>
      <c r="G1747" s="2">
        <v>275.86099999999999</v>
      </c>
      <c r="H1747" s="2">
        <v>7.1459999999999999</v>
      </c>
      <c r="I1747" s="2">
        <v>265.99400000000003</v>
      </c>
      <c r="J1747" s="2">
        <v>266.16899999999998</v>
      </c>
      <c r="K1747" s="15">
        <v>9.6920000000000002</v>
      </c>
      <c r="L1747" s="2">
        <v>95.906999999999996</v>
      </c>
      <c r="N1747" s="7">
        <f t="shared" si="225"/>
        <v>307.89999999990687</v>
      </c>
      <c r="O1747" s="1">
        <f t="shared" si="221"/>
        <v>131</v>
      </c>
      <c r="P1747" s="1" t="str">
        <f t="shared" si="223"/>
        <v>307.899999999907,131</v>
      </c>
      <c r="Q1747" s="6" t="s">
        <v>10</v>
      </c>
      <c r="R1747" s="1">
        <v>90</v>
      </c>
      <c r="S1747" s="1">
        <v>2.5</v>
      </c>
      <c r="T1747" s="1" t="str">
        <f t="shared" si="222"/>
        <v>-text 307.899999999907,131 2.5 90 266.169</v>
      </c>
    </row>
    <row r="1748" spans="1:20" x14ac:dyDescent="0.35">
      <c r="A1748" s="1">
        <v>285820</v>
      </c>
      <c r="B1748" s="7">
        <v>1175236.2</v>
      </c>
      <c r="C1748" s="2">
        <v>269.38900000000001</v>
      </c>
      <c r="D1748" s="2">
        <v>276.65300000000002</v>
      </c>
      <c r="E1748" s="2">
        <v>7.2640000000000002</v>
      </c>
      <c r="F1748" s="2">
        <v>268.71699999999998</v>
      </c>
      <c r="G1748" s="2">
        <v>275.94</v>
      </c>
      <c r="H1748" s="2">
        <v>7.2229999999999999</v>
      </c>
      <c r="I1748" s="2">
        <v>265.88299999999998</v>
      </c>
      <c r="J1748" s="2">
        <v>264.85300000000001</v>
      </c>
      <c r="K1748" s="15">
        <v>11.086</v>
      </c>
      <c r="L1748" s="2">
        <v>101.651</v>
      </c>
      <c r="N1748" s="7">
        <f t="shared" si="225"/>
        <v>328.69999999995343</v>
      </c>
      <c r="O1748" s="1">
        <f t="shared" si="221"/>
        <v>131</v>
      </c>
      <c r="P1748" s="1" t="str">
        <f t="shared" si="223"/>
        <v>328.699999999953,131</v>
      </c>
      <c r="Q1748" s="6" t="s">
        <v>10</v>
      </c>
      <c r="R1748" s="1">
        <v>90</v>
      </c>
      <c r="S1748" s="1">
        <v>2.5</v>
      </c>
      <c r="T1748" s="1" t="str">
        <f t="shared" si="222"/>
        <v>-text 328.699999999953,131 2.5 90 264.853</v>
      </c>
    </row>
    <row r="1749" spans="1:20" x14ac:dyDescent="0.35">
      <c r="A1749" s="1">
        <v>285840</v>
      </c>
      <c r="B1749" s="7">
        <v>1175256.8</v>
      </c>
      <c r="C1749" s="2">
        <v>269.37700000000001</v>
      </c>
      <c r="D1749" s="2">
        <v>276.73099999999999</v>
      </c>
      <c r="E1749" s="2">
        <v>7.3540000000000001</v>
      </c>
      <c r="F1749" s="2">
        <v>268.70499999999998</v>
      </c>
      <c r="G1749" s="2">
        <v>276.01799999999997</v>
      </c>
      <c r="H1749" s="2">
        <v>7.3129999999999997</v>
      </c>
      <c r="I1749" s="2">
        <v>262.08800000000002</v>
      </c>
      <c r="J1749" s="2">
        <v>264.93299999999999</v>
      </c>
      <c r="K1749" s="15">
        <v>11.085000000000001</v>
      </c>
      <c r="L1749" s="2">
        <v>107.233</v>
      </c>
      <c r="N1749" s="7">
        <f t="shared" si="225"/>
        <v>349.30000000004657</v>
      </c>
      <c r="O1749" s="1">
        <f t="shared" si="221"/>
        <v>131</v>
      </c>
      <c r="P1749" s="1" t="str">
        <f t="shared" si="223"/>
        <v>349.300000000047,131</v>
      </c>
      <c r="Q1749" s="6" t="s">
        <v>10</v>
      </c>
      <c r="R1749" s="1">
        <v>90</v>
      </c>
      <c r="S1749" s="1">
        <v>2.5</v>
      </c>
      <c r="T1749" s="1" t="str">
        <f t="shared" si="222"/>
        <v>-text 349.300000000047,131 2.5 90 264.933</v>
      </c>
    </row>
    <row r="1750" spans="1:20" x14ac:dyDescent="0.35">
      <c r="A1750" s="1">
        <v>285860</v>
      </c>
      <c r="B1750" s="7">
        <v>1175277.5</v>
      </c>
      <c r="C1750" s="2">
        <v>269.36</v>
      </c>
      <c r="D1750" s="2">
        <v>276.81</v>
      </c>
      <c r="E1750" s="2">
        <v>7.45</v>
      </c>
      <c r="F1750" s="2">
        <v>268.68799999999999</v>
      </c>
      <c r="G1750" s="2">
        <v>276.09699999999998</v>
      </c>
      <c r="H1750" s="2">
        <v>7.4089999999999998</v>
      </c>
      <c r="I1750" s="2">
        <v>263.66800000000001</v>
      </c>
      <c r="J1750" s="2">
        <v>265.10899999999998</v>
      </c>
      <c r="K1750" s="15">
        <v>10.988</v>
      </c>
      <c r="L1750" s="2">
        <v>112.547</v>
      </c>
      <c r="N1750" s="7">
        <f t="shared" si="225"/>
        <v>370</v>
      </c>
      <c r="O1750" s="1">
        <f t="shared" si="221"/>
        <v>131</v>
      </c>
      <c r="P1750" s="1" t="str">
        <f t="shared" si="223"/>
        <v>370,131</v>
      </c>
      <c r="Q1750" s="6" t="s">
        <v>10</v>
      </c>
      <c r="R1750" s="1">
        <v>90</v>
      </c>
      <c r="S1750" s="1">
        <v>2.5</v>
      </c>
      <c r="T1750" s="1" t="str">
        <f t="shared" si="222"/>
        <v>-text 370,131 2.5 90 265.109</v>
      </c>
    </row>
    <row r="1751" spans="1:20" x14ac:dyDescent="0.35">
      <c r="A1751" s="1">
        <v>285880</v>
      </c>
      <c r="B1751" s="7">
        <v>1175298.2</v>
      </c>
      <c r="C1751" s="2">
        <v>269.34800000000001</v>
      </c>
      <c r="D1751" s="2">
        <v>276.88900000000001</v>
      </c>
      <c r="E1751" s="2">
        <v>7.5410000000000004</v>
      </c>
      <c r="F1751" s="2">
        <v>268.67599999999999</v>
      </c>
      <c r="G1751" s="2">
        <v>276.17599999999999</v>
      </c>
      <c r="H1751" s="2">
        <v>7.5</v>
      </c>
      <c r="I1751" s="2">
        <v>265.392</v>
      </c>
      <c r="J1751" s="2">
        <v>265.15800000000002</v>
      </c>
      <c r="K1751" s="15">
        <v>11.018000000000001</v>
      </c>
      <c r="L1751" s="2">
        <v>117.45099999999999</v>
      </c>
      <c r="N1751" s="7">
        <f t="shared" si="225"/>
        <v>390.69999999995343</v>
      </c>
      <c r="O1751" s="1">
        <f t="shared" si="221"/>
        <v>131</v>
      </c>
      <c r="P1751" s="1" t="str">
        <f t="shared" si="223"/>
        <v>390.699999999953,131</v>
      </c>
      <c r="Q1751" s="6" t="s">
        <v>10</v>
      </c>
      <c r="R1751" s="1">
        <v>90</v>
      </c>
      <c r="S1751" s="1">
        <v>2.5</v>
      </c>
      <c r="T1751" s="1" t="str">
        <f t="shared" si="222"/>
        <v>-text 390.699999999953,131 2.5 90 265.158</v>
      </c>
    </row>
    <row r="1752" spans="1:20" x14ac:dyDescent="0.35">
      <c r="A1752" s="1">
        <v>285900</v>
      </c>
      <c r="B1752" s="7">
        <v>1175318.7</v>
      </c>
      <c r="C1752" s="2">
        <v>269.33999999999997</v>
      </c>
      <c r="D1752" s="2">
        <v>276.96699999999998</v>
      </c>
      <c r="E1752" s="2">
        <v>7.6269999999999998</v>
      </c>
      <c r="F1752" s="2">
        <v>268.66800000000001</v>
      </c>
      <c r="G1752" s="2">
        <v>276.25400000000002</v>
      </c>
      <c r="H1752" s="2">
        <v>7.5860000000000003</v>
      </c>
      <c r="I1752" s="2">
        <v>266.12</v>
      </c>
      <c r="J1752" s="2">
        <v>266.20100000000002</v>
      </c>
      <c r="K1752" s="15">
        <v>10.053000000000001</v>
      </c>
      <c r="L1752" s="2">
        <v>121.758</v>
      </c>
      <c r="N1752" s="7">
        <f t="shared" si="225"/>
        <v>411.19999999995343</v>
      </c>
      <c r="O1752" s="1">
        <f t="shared" si="221"/>
        <v>131</v>
      </c>
      <c r="P1752" s="1" t="str">
        <f t="shared" si="223"/>
        <v>411.199999999953,131</v>
      </c>
      <c r="Q1752" s="6" t="s">
        <v>10</v>
      </c>
      <c r="R1752" s="1">
        <v>90</v>
      </c>
      <c r="S1752" s="1">
        <v>2.5</v>
      </c>
      <c r="T1752" s="1" t="str">
        <f t="shared" si="222"/>
        <v>-text 411.199999999953,131 2.5 90 266.201</v>
      </c>
    </row>
    <row r="1753" spans="1:20" x14ac:dyDescent="0.35">
      <c r="A1753" s="1">
        <v>285920</v>
      </c>
      <c r="B1753" s="7">
        <v>1175338.8</v>
      </c>
      <c r="C1753" s="2">
        <v>269.30200000000002</v>
      </c>
      <c r="D1753" s="2">
        <v>277.04300000000001</v>
      </c>
      <c r="E1753" s="2">
        <v>7.7409999999999997</v>
      </c>
      <c r="F1753" s="2">
        <v>268.63</v>
      </c>
      <c r="G1753" s="2">
        <v>276.33</v>
      </c>
      <c r="H1753" s="2">
        <v>7.7</v>
      </c>
      <c r="I1753" s="2">
        <v>266.14400000000001</v>
      </c>
      <c r="J1753" s="2">
        <v>266.14699999999999</v>
      </c>
      <c r="K1753" s="15">
        <v>10.183</v>
      </c>
      <c r="L1753" s="2">
        <v>125.40300000000001</v>
      </c>
      <c r="N1753" s="7">
        <f t="shared" si="225"/>
        <v>431.30000000004657</v>
      </c>
      <c r="O1753" s="1">
        <f t="shared" si="221"/>
        <v>131</v>
      </c>
      <c r="P1753" s="1" t="str">
        <f t="shared" si="223"/>
        <v>431.300000000047,131</v>
      </c>
      <c r="Q1753" s="6" t="s">
        <v>10</v>
      </c>
      <c r="R1753" s="1">
        <v>90</v>
      </c>
      <c r="S1753" s="1">
        <v>2.5</v>
      </c>
      <c r="T1753" s="1" t="str">
        <f t="shared" si="222"/>
        <v>-text 431.300000000047,131 2.5 90 266.147</v>
      </c>
    </row>
    <row r="1754" spans="1:20" x14ac:dyDescent="0.35">
      <c r="A1754" s="1">
        <v>285940</v>
      </c>
      <c r="B1754" s="7">
        <v>1175359.1000000001</v>
      </c>
      <c r="C1754" s="2">
        <v>269.286</v>
      </c>
      <c r="D1754" s="2">
        <v>277.12</v>
      </c>
      <c r="E1754" s="2">
        <v>7.8339999999999996</v>
      </c>
      <c r="F1754" s="2">
        <v>268.61399999999998</v>
      </c>
      <c r="G1754" s="2">
        <v>276.40699999999998</v>
      </c>
      <c r="H1754" s="2">
        <v>7.7930000000000001</v>
      </c>
      <c r="I1754" s="2">
        <v>266.08800000000002</v>
      </c>
      <c r="J1754" s="2">
        <v>266.15899999999999</v>
      </c>
      <c r="K1754" s="15">
        <v>10.247999999999999</v>
      </c>
      <c r="L1754" s="2">
        <v>128.482</v>
      </c>
      <c r="N1754" s="7">
        <f t="shared" si="225"/>
        <v>451.60000000009313</v>
      </c>
      <c r="O1754" s="1">
        <f t="shared" si="221"/>
        <v>131</v>
      </c>
      <c r="P1754" s="1" t="str">
        <f t="shared" si="223"/>
        <v>451.600000000093,131</v>
      </c>
      <c r="Q1754" s="6" t="s">
        <v>10</v>
      </c>
      <c r="R1754" s="1">
        <v>90</v>
      </c>
      <c r="S1754" s="1">
        <v>2.5</v>
      </c>
      <c r="T1754" s="1" t="str">
        <f t="shared" si="222"/>
        <v>-text 451.600000000093,131 2.5 90 266.159</v>
      </c>
    </row>
    <row r="1755" spans="1:20" x14ac:dyDescent="0.35">
      <c r="A1755" s="1">
        <v>285960</v>
      </c>
      <c r="B1755" s="7">
        <v>1175379.3</v>
      </c>
      <c r="C1755" s="2">
        <v>269.25900000000001</v>
      </c>
      <c r="D1755" s="2">
        <v>277.197</v>
      </c>
      <c r="E1755" s="2">
        <v>7.9379999999999997</v>
      </c>
      <c r="F1755" s="2">
        <v>268.58699999999999</v>
      </c>
      <c r="G1755" s="2">
        <v>276.48399999999998</v>
      </c>
      <c r="H1755" s="2">
        <v>7.8970000000000002</v>
      </c>
      <c r="I1755" s="2">
        <v>266.07100000000003</v>
      </c>
      <c r="J1755" s="2">
        <v>266.13200000000001</v>
      </c>
      <c r="K1755" s="15">
        <v>10.352</v>
      </c>
      <c r="L1755" s="2">
        <v>130.98500000000001</v>
      </c>
      <c r="N1755" s="7">
        <f t="shared" si="225"/>
        <v>471.80000000004657</v>
      </c>
      <c r="O1755" s="1">
        <f t="shared" si="221"/>
        <v>131</v>
      </c>
      <c r="P1755" s="1" t="str">
        <f t="shared" si="223"/>
        <v>471.800000000047,131</v>
      </c>
      <c r="Q1755" s="6" t="s">
        <v>10</v>
      </c>
      <c r="R1755" s="1">
        <v>90</v>
      </c>
      <c r="S1755" s="1">
        <v>2.5</v>
      </c>
      <c r="T1755" s="1" t="str">
        <f t="shared" si="222"/>
        <v>-text 471.800000000047,131 2.5 90 266.132</v>
      </c>
    </row>
    <row r="1756" spans="1:20" x14ac:dyDescent="0.35">
      <c r="A1756" s="1">
        <v>285980</v>
      </c>
      <c r="B1756" s="7">
        <v>1175399.3999999999</v>
      </c>
      <c r="C1756" s="2">
        <v>269.23</v>
      </c>
      <c r="D1756" s="2">
        <v>277.274</v>
      </c>
      <c r="E1756" s="2">
        <v>8.0429999999999993</v>
      </c>
      <c r="F1756" s="2">
        <v>268.55799999999999</v>
      </c>
      <c r="G1756" s="2">
        <v>276.56099999999998</v>
      </c>
      <c r="H1756" s="2">
        <v>8.0020000000000007</v>
      </c>
      <c r="I1756" s="2">
        <v>266.06700000000001</v>
      </c>
      <c r="J1756" s="2">
        <v>266.10500000000002</v>
      </c>
      <c r="K1756" s="15">
        <v>10.456</v>
      </c>
      <c r="L1756" s="2">
        <v>132.90700000000001</v>
      </c>
      <c r="N1756" s="7">
        <f t="shared" si="225"/>
        <v>491.89999999990687</v>
      </c>
      <c r="O1756" s="1">
        <f t="shared" si="221"/>
        <v>131</v>
      </c>
      <c r="P1756" s="1" t="str">
        <f t="shared" si="223"/>
        <v>491.899999999907,131</v>
      </c>
      <c r="Q1756" s="6" t="s">
        <v>10</v>
      </c>
      <c r="R1756" s="1">
        <v>90</v>
      </c>
      <c r="S1756" s="1">
        <v>2.5</v>
      </c>
      <c r="T1756" s="1" t="str">
        <f t="shared" si="222"/>
        <v>-text 491.899999999907,131 2.5 90 266.105</v>
      </c>
    </row>
    <row r="1757" spans="1:20" x14ac:dyDescent="0.35">
      <c r="A1757" s="1">
        <v>286000</v>
      </c>
      <c r="B1757" s="7">
        <v>1175419.5</v>
      </c>
      <c r="C1757" s="2">
        <v>269.20400000000001</v>
      </c>
      <c r="D1757" s="2">
        <v>277.35000000000002</v>
      </c>
      <c r="E1757" s="2">
        <v>8.1460000000000008</v>
      </c>
      <c r="F1757" s="2">
        <v>268.53199999999998</v>
      </c>
      <c r="G1757" s="2">
        <v>276.637</v>
      </c>
      <c r="H1757" s="2">
        <v>8.1050000000000004</v>
      </c>
      <c r="I1757" s="2">
        <v>266.09500000000003</v>
      </c>
      <c r="J1757" s="2">
        <v>266.08100000000002</v>
      </c>
      <c r="K1757" s="15">
        <v>10.555999999999999</v>
      </c>
      <c r="L1757" s="2">
        <v>134.25299999999999</v>
      </c>
      <c r="N1757" s="7">
        <f>N1754+(B1757-B1754)</f>
        <v>512</v>
      </c>
      <c r="O1757" s="1">
        <f t="shared" si="221"/>
        <v>131</v>
      </c>
      <c r="P1757" s="1" t="str">
        <f t="shared" ref="P1757" si="226">CONCATENATE(N1757,",",O1757)</f>
        <v>512,131</v>
      </c>
      <c r="Q1757" s="6" t="s">
        <v>10</v>
      </c>
      <c r="R1757" s="1">
        <v>90</v>
      </c>
      <c r="S1757" s="1">
        <v>2.5</v>
      </c>
      <c r="T1757" s="1" t="str">
        <f t="shared" si="222"/>
        <v>-text 512,131 2.5 90 266.081</v>
      </c>
    </row>
    <row r="1758" spans="1:20" s="10" customFormat="1" x14ac:dyDescent="0.35">
      <c r="B1758" s="11"/>
      <c r="C1758" s="9"/>
      <c r="D1758" s="9"/>
      <c r="E1758" s="9"/>
      <c r="F1758" s="9"/>
      <c r="G1758" s="9"/>
      <c r="H1758" s="9"/>
      <c r="I1758" s="9"/>
      <c r="J1758" s="9"/>
      <c r="K1758" s="16"/>
      <c r="L1758" s="9"/>
      <c r="M1758" s="9"/>
      <c r="N1758" s="11"/>
      <c r="Q1758" s="12"/>
    </row>
    <row r="1759" spans="1:20" x14ac:dyDescent="0.35">
      <c r="A1759" s="1">
        <v>286000</v>
      </c>
      <c r="B1759" s="7">
        <v>1175419.5</v>
      </c>
      <c r="C1759" s="2">
        <v>269.20400000000001</v>
      </c>
      <c r="D1759" s="2">
        <v>277.35000000000002</v>
      </c>
      <c r="E1759" s="2">
        <v>8.1460000000000008</v>
      </c>
      <c r="F1759" s="2">
        <v>268.53199999999998</v>
      </c>
      <c r="G1759" s="2">
        <v>276.637</v>
      </c>
      <c r="H1759" s="2">
        <v>8.1050000000000004</v>
      </c>
      <c r="I1759" s="2">
        <v>266.09500000000003</v>
      </c>
      <c r="J1759" s="2">
        <v>266.08100000000002</v>
      </c>
      <c r="K1759" s="15">
        <v>10.555999999999999</v>
      </c>
      <c r="L1759" s="2">
        <v>134.25299999999999</v>
      </c>
      <c r="N1759" s="7">
        <v>0</v>
      </c>
      <c r="O1759" s="1">
        <f t="shared" si="221"/>
        <v>131</v>
      </c>
      <c r="P1759" s="1" t="str">
        <f t="shared" si="223"/>
        <v>0,131</v>
      </c>
      <c r="Q1759" s="6" t="s">
        <v>10</v>
      </c>
      <c r="R1759" s="1">
        <v>90</v>
      </c>
      <c r="S1759" s="1">
        <v>2.5</v>
      </c>
      <c r="T1759" s="1" t="str">
        <f t="shared" si="222"/>
        <v>-text 0,131 2.5 90 266.081</v>
      </c>
    </row>
    <row r="1760" spans="1:20" x14ac:dyDescent="0.35">
      <c r="A1760" s="1">
        <v>286020</v>
      </c>
      <c r="B1760" s="7">
        <v>1175439.5</v>
      </c>
      <c r="C1760" s="2">
        <v>269.178</v>
      </c>
      <c r="D1760" s="2">
        <v>277.42599999999999</v>
      </c>
      <c r="E1760" s="2">
        <v>8.2479999999999993</v>
      </c>
      <c r="F1760" s="2">
        <v>268.50599999999997</v>
      </c>
      <c r="G1760" s="2">
        <v>276.71300000000002</v>
      </c>
      <c r="H1760" s="2">
        <v>8.2070000000000007</v>
      </c>
      <c r="I1760" s="2">
        <v>266.15300000000002</v>
      </c>
      <c r="J1760" s="2">
        <v>266.048</v>
      </c>
      <c r="K1760" s="15">
        <v>10.664999999999999</v>
      </c>
      <c r="L1760" s="2">
        <v>135.024</v>
      </c>
      <c r="N1760" s="7">
        <f t="shared" ref="N1760:N1783" si="227">N1759+(B1760-B1759)</f>
        <v>20</v>
      </c>
      <c r="O1760" s="1">
        <f t="shared" si="221"/>
        <v>131</v>
      </c>
      <c r="P1760" s="1" t="str">
        <f t="shared" si="223"/>
        <v>20,131</v>
      </c>
      <c r="Q1760" s="6" t="s">
        <v>10</v>
      </c>
      <c r="R1760" s="1">
        <v>90</v>
      </c>
      <c r="S1760" s="1">
        <v>2.5</v>
      </c>
      <c r="T1760" s="1" t="str">
        <f t="shared" si="222"/>
        <v>-text 20,131 2.5 90 266.048</v>
      </c>
    </row>
    <row r="1761" spans="1:20" x14ac:dyDescent="0.35">
      <c r="A1761" s="1">
        <v>286040</v>
      </c>
      <c r="B1761" s="7">
        <v>1175459.5</v>
      </c>
      <c r="C1761" s="2">
        <v>269.15300000000002</v>
      </c>
      <c r="D1761" s="2">
        <v>277.50200000000001</v>
      </c>
      <c r="E1761" s="2">
        <v>8.3490000000000002</v>
      </c>
      <c r="F1761" s="2">
        <v>268.48099999999999</v>
      </c>
      <c r="G1761" s="2">
        <v>276.78899999999999</v>
      </c>
      <c r="H1761" s="2">
        <v>8.3079999999999998</v>
      </c>
      <c r="I1761" s="2">
        <v>266.04300000000001</v>
      </c>
      <c r="J1761" s="2">
        <v>266.01499999999999</v>
      </c>
      <c r="K1761" s="15">
        <v>10.773999999999999</v>
      </c>
      <c r="L1761" s="2">
        <v>135.22</v>
      </c>
      <c r="N1761" s="7">
        <f t="shared" si="227"/>
        <v>40</v>
      </c>
      <c r="O1761" s="1">
        <f t="shared" si="221"/>
        <v>131</v>
      </c>
      <c r="P1761" s="1" t="str">
        <f t="shared" si="223"/>
        <v>40,131</v>
      </c>
      <c r="Q1761" s="6" t="s">
        <v>10</v>
      </c>
      <c r="R1761" s="1">
        <v>90</v>
      </c>
      <c r="S1761" s="1">
        <v>2.5</v>
      </c>
      <c r="T1761" s="1" t="str">
        <f t="shared" si="222"/>
        <v>-text 40,131 2.5 90 266.015</v>
      </c>
    </row>
    <row r="1762" spans="1:20" x14ac:dyDescent="0.35">
      <c r="A1762" s="1">
        <v>286060</v>
      </c>
      <c r="B1762" s="7">
        <v>1175479.5</v>
      </c>
      <c r="C1762" s="2">
        <v>269.13900000000001</v>
      </c>
      <c r="D1762" s="2">
        <v>277.57799999999997</v>
      </c>
      <c r="E1762" s="2">
        <v>8.4390000000000001</v>
      </c>
      <c r="F1762" s="2">
        <v>268.46699999999998</v>
      </c>
      <c r="G1762" s="2">
        <v>276.86500000000001</v>
      </c>
      <c r="H1762" s="2">
        <v>8.3979999999999997</v>
      </c>
      <c r="I1762" s="2">
        <v>266.29599999999999</v>
      </c>
      <c r="J1762" s="2">
        <v>265.99299999999999</v>
      </c>
      <c r="K1762" s="15">
        <v>10.872</v>
      </c>
      <c r="L1762" s="2">
        <v>134.845</v>
      </c>
      <c r="N1762" s="7">
        <f t="shared" si="227"/>
        <v>60</v>
      </c>
      <c r="O1762" s="1">
        <f t="shared" si="221"/>
        <v>131</v>
      </c>
      <c r="P1762" s="1" t="str">
        <f t="shared" si="223"/>
        <v>60,131</v>
      </c>
      <c r="Q1762" s="6" t="s">
        <v>10</v>
      </c>
      <c r="R1762" s="1">
        <v>90</v>
      </c>
      <c r="S1762" s="1">
        <v>2.5</v>
      </c>
      <c r="T1762" s="1" t="str">
        <f t="shared" si="222"/>
        <v>-text 60,131 2.5 90 265.993</v>
      </c>
    </row>
    <row r="1763" spans="1:20" x14ac:dyDescent="0.35">
      <c r="A1763" s="1">
        <v>286080</v>
      </c>
      <c r="B1763" s="7">
        <v>1175499.3999999999</v>
      </c>
      <c r="C1763" s="2">
        <v>269.18</v>
      </c>
      <c r="D1763" s="2">
        <v>277.654</v>
      </c>
      <c r="E1763" s="2">
        <v>8.4740000000000002</v>
      </c>
      <c r="F1763" s="2">
        <v>268.50799999999998</v>
      </c>
      <c r="G1763" s="2">
        <v>276.94099999999997</v>
      </c>
      <c r="H1763" s="2">
        <v>8.4329999999999998</v>
      </c>
      <c r="I1763" s="2">
        <v>266.233</v>
      </c>
      <c r="J1763" s="2">
        <v>266.04399999999998</v>
      </c>
      <c r="K1763" s="15">
        <v>10.897</v>
      </c>
      <c r="L1763" s="2">
        <v>133.89400000000001</v>
      </c>
      <c r="N1763" s="7">
        <f t="shared" si="227"/>
        <v>79.899999999906868</v>
      </c>
      <c r="O1763" s="1">
        <f t="shared" si="221"/>
        <v>131</v>
      </c>
      <c r="P1763" s="1" t="str">
        <f t="shared" si="223"/>
        <v>79.8999999999069,131</v>
      </c>
      <c r="Q1763" s="6" t="s">
        <v>10</v>
      </c>
      <c r="R1763" s="1">
        <v>90</v>
      </c>
      <c r="S1763" s="1">
        <v>2.5</v>
      </c>
      <c r="T1763" s="1" t="str">
        <f t="shared" si="222"/>
        <v>-text 79.8999999999069,131 2.5 90 266.044</v>
      </c>
    </row>
    <row r="1764" spans="1:20" x14ac:dyDescent="0.35">
      <c r="A1764" s="1">
        <v>286100</v>
      </c>
      <c r="B1764" s="7">
        <v>1175519.5</v>
      </c>
      <c r="C1764" s="2">
        <v>269.18900000000002</v>
      </c>
      <c r="D1764" s="2">
        <v>277.69200000000001</v>
      </c>
      <c r="E1764" s="2">
        <v>8.5030000000000001</v>
      </c>
      <c r="F1764" s="2">
        <v>268.517</v>
      </c>
      <c r="G1764" s="2">
        <v>276.97899999999998</v>
      </c>
      <c r="H1764" s="2">
        <v>8.4619999999999997</v>
      </c>
      <c r="I1764" s="2">
        <v>266.16199999999998</v>
      </c>
      <c r="J1764" s="2">
        <v>266.08</v>
      </c>
      <c r="K1764" s="15">
        <v>10.898999999999999</v>
      </c>
      <c r="L1764" s="2">
        <v>132.36099999999999</v>
      </c>
      <c r="N1764" s="7">
        <f t="shared" si="227"/>
        <v>100</v>
      </c>
      <c r="O1764" s="1">
        <f t="shared" si="221"/>
        <v>131</v>
      </c>
      <c r="P1764" s="1" t="str">
        <f t="shared" si="223"/>
        <v>100,131</v>
      </c>
      <c r="Q1764" s="6" t="s">
        <v>10</v>
      </c>
      <c r="R1764" s="1">
        <v>90</v>
      </c>
      <c r="S1764" s="1">
        <v>2.5</v>
      </c>
      <c r="T1764" s="1" t="str">
        <f t="shared" si="222"/>
        <v>-text 100,131 2.5 90 266.08</v>
      </c>
    </row>
    <row r="1765" spans="1:20" x14ac:dyDescent="0.35">
      <c r="A1765" s="1">
        <v>286120</v>
      </c>
      <c r="B1765" s="7">
        <v>1175539.2</v>
      </c>
      <c r="C1765" s="2">
        <v>269.15600000000001</v>
      </c>
      <c r="D1765" s="2">
        <v>277.69200000000001</v>
      </c>
      <c r="E1765" s="2">
        <v>8.5359999999999996</v>
      </c>
      <c r="F1765" s="2">
        <v>268.48399999999998</v>
      </c>
      <c r="G1765" s="2">
        <v>276.97899999999998</v>
      </c>
      <c r="H1765" s="2">
        <v>8.4949999999999992</v>
      </c>
      <c r="I1765" s="2">
        <v>266.14299999999997</v>
      </c>
      <c r="J1765" s="2">
        <v>266.07600000000002</v>
      </c>
      <c r="K1765" s="15">
        <v>10.903</v>
      </c>
      <c r="L1765" s="2">
        <v>130.255</v>
      </c>
      <c r="N1765" s="7">
        <f t="shared" si="227"/>
        <v>119.69999999995343</v>
      </c>
      <c r="O1765" s="1">
        <f t="shared" si="221"/>
        <v>131</v>
      </c>
      <c r="P1765" s="1" t="str">
        <f t="shared" si="223"/>
        <v>119.699999999953,131</v>
      </c>
      <c r="Q1765" s="6" t="s">
        <v>10</v>
      </c>
      <c r="R1765" s="1">
        <v>90</v>
      </c>
      <c r="S1765" s="1">
        <v>2.5</v>
      </c>
      <c r="T1765" s="1" t="str">
        <f t="shared" si="222"/>
        <v>-text 119.699999999953,131 2.5 90 266.076</v>
      </c>
    </row>
    <row r="1766" spans="1:20" x14ac:dyDescent="0.35">
      <c r="A1766" s="1">
        <v>286140</v>
      </c>
      <c r="B1766" s="7">
        <v>1175559.3999999999</v>
      </c>
      <c r="C1766" s="2">
        <v>269.12</v>
      </c>
      <c r="D1766" s="2">
        <v>277.69200000000001</v>
      </c>
      <c r="E1766" s="2">
        <v>8.5719999999999992</v>
      </c>
      <c r="F1766" s="2">
        <v>268.44799999999998</v>
      </c>
      <c r="G1766" s="2">
        <v>276.97899999999998</v>
      </c>
      <c r="H1766" s="2">
        <v>8.5310000000000006</v>
      </c>
      <c r="I1766" s="2">
        <v>266.08600000000001</v>
      </c>
      <c r="J1766" s="2">
        <v>266.08800000000002</v>
      </c>
      <c r="K1766" s="15">
        <v>10.891</v>
      </c>
      <c r="L1766" s="2">
        <v>127.511</v>
      </c>
      <c r="N1766" s="7">
        <f t="shared" si="227"/>
        <v>139.89999999990687</v>
      </c>
      <c r="O1766" s="1">
        <f t="shared" si="221"/>
        <v>131</v>
      </c>
      <c r="P1766" s="1" t="str">
        <f t="shared" si="223"/>
        <v>139.899999999907,131</v>
      </c>
      <c r="Q1766" s="6" t="s">
        <v>10</v>
      </c>
      <c r="R1766" s="1">
        <v>90</v>
      </c>
      <c r="S1766" s="1">
        <v>2.5</v>
      </c>
      <c r="T1766" s="1" t="str">
        <f t="shared" si="222"/>
        <v>-text 139.899999999907,131 2.5 90 266.088</v>
      </c>
    </row>
    <row r="1767" spans="1:20" x14ac:dyDescent="0.35">
      <c r="A1767" s="1">
        <v>286160</v>
      </c>
      <c r="B1767" s="7">
        <v>1175580.3</v>
      </c>
      <c r="C1767" s="2">
        <v>269.10000000000002</v>
      </c>
      <c r="D1767" s="2">
        <v>277.69200000000001</v>
      </c>
      <c r="E1767" s="2">
        <v>8.5920000000000005</v>
      </c>
      <c r="F1767" s="2">
        <v>268.428</v>
      </c>
      <c r="G1767" s="2">
        <v>276.97899999999998</v>
      </c>
      <c r="H1767" s="2">
        <v>8.5510000000000002</v>
      </c>
      <c r="I1767" s="2">
        <v>266.02</v>
      </c>
      <c r="J1767" s="2">
        <v>266.125</v>
      </c>
      <c r="K1767" s="15">
        <v>10.853999999999999</v>
      </c>
      <c r="L1767" s="2">
        <v>124.137</v>
      </c>
      <c r="N1767" s="7">
        <f t="shared" si="227"/>
        <v>160.80000000004657</v>
      </c>
      <c r="O1767" s="1">
        <f t="shared" si="221"/>
        <v>131</v>
      </c>
      <c r="P1767" s="1" t="str">
        <f t="shared" si="223"/>
        <v>160.800000000047,131</v>
      </c>
      <c r="Q1767" s="6" t="s">
        <v>10</v>
      </c>
      <c r="R1767" s="1">
        <v>90</v>
      </c>
      <c r="S1767" s="1">
        <v>2.5</v>
      </c>
      <c r="T1767" s="1" t="str">
        <f t="shared" si="222"/>
        <v>-text 160.800000000047,131 2.5 90 266.125</v>
      </c>
    </row>
    <row r="1768" spans="1:20" x14ac:dyDescent="0.35">
      <c r="A1768" s="1">
        <v>286180</v>
      </c>
      <c r="B1768" s="7">
        <v>1175600.7</v>
      </c>
      <c r="C1768" s="2">
        <v>269.08699999999999</v>
      </c>
      <c r="D1768" s="2">
        <v>277.69200000000001</v>
      </c>
      <c r="E1768" s="2">
        <v>8.6050000000000004</v>
      </c>
      <c r="F1768" s="2">
        <v>268.41500000000002</v>
      </c>
      <c r="G1768" s="2">
        <v>276.97899999999998</v>
      </c>
      <c r="H1768" s="2">
        <v>8.5640000000000001</v>
      </c>
      <c r="I1768" s="2">
        <v>266.05099999999999</v>
      </c>
      <c r="J1768" s="2">
        <v>266.13600000000002</v>
      </c>
      <c r="K1768" s="15">
        <v>10.843</v>
      </c>
      <c r="L1768" s="2">
        <v>120.292</v>
      </c>
      <c r="N1768" s="7">
        <f t="shared" si="227"/>
        <v>181.19999999995343</v>
      </c>
      <c r="O1768" s="1">
        <f t="shared" si="221"/>
        <v>131</v>
      </c>
      <c r="P1768" s="1" t="str">
        <f t="shared" si="223"/>
        <v>181.199999999953,131</v>
      </c>
      <c r="Q1768" s="6" t="s">
        <v>10</v>
      </c>
      <c r="R1768" s="1">
        <v>90</v>
      </c>
      <c r="S1768" s="1">
        <v>2.5</v>
      </c>
      <c r="T1768" s="1" t="str">
        <f t="shared" si="222"/>
        <v>-text 181.199999999953,131 2.5 90 266.136</v>
      </c>
    </row>
    <row r="1769" spans="1:20" x14ac:dyDescent="0.35">
      <c r="A1769" s="1">
        <v>286200</v>
      </c>
      <c r="B1769" s="7">
        <v>1175620.8999999999</v>
      </c>
      <c r="C1769" s="2">
        <v>269.07299999999998</v>
      </c>
      <c r="D1769" s="2">
        <v>277.69200000000001</v>
      </c>
      <c r="E1769" s="2">
        <v>8.6189999999999998</v>
      </c>
      <c r="F1769" s="2">
        <v>268.40100000000001</v>
      </c>
      <c r="G1769" s="2">
        <v>276.97899999999998</v>
      </c>
      <c r="H1769" s="2">
        <v>8.5779999999999994</v>
      </c>
      <c r="I1769" s="2">
        <v>266.14299999999997</v>
      </c>
      <c r="J1769" s="2">
        <v>266.16399999999999</v>
      </c>
      <c r="K1769" s="15">
        <v>10.815</v>
      </c>
      <c r="L1769" s="2">
        <v>115.864</v>
      </c>
      <c r="N1769" s="7">
        <f t="shared" si="227"/>
        <v>201.39999999990687</v>
      </c>
      <c r="O1769" s="1">
        <f t="shared" si="221"/>
        <v>131</v>
      </c>
      <c r="P1769" s="1" t="str">
        <f t="shared" si="223"/>
        <v>201.399999999907,131</v>
      </c>
      <c r="Q1769" s="6" t="s">
        <v>10</v>
      </c>
      <c r="R1769" s="1">
        <v>90</v>
      </c>
      <c r="S1769" s="1">
        <v>2.5</v>
      </c>
      <c r="T1769" s="1" t="str">
        <f t="shared" si="222"/>
        <v>-text 201.399999999907,131 2.5 90 266.164</v>
      </c>
    </row>
    <row r="1770" spans="1:20" x14ac:dyDescent="0.35">
      <c r="A1770" s="1">
        <v>286220</v>
      </c>
      <c r="B1770" s="7">
        <v>1175641.5</v>
      </c>
      <c r="C1770" s="2">
        <v>269.05900000000003</v>
      </c>
      <c r="D1770" s="2">
        <v>277.69200000000001</v>
      </c>
      <c r="E1770" s="2">
        <v>8.6329999999999991</v>
      </c>
      <c r="F1770" s="2">
        <v>268.387</v>
      </c>
      <c r="G1770" s="2">
        <v>276.97899999999998</v>
      </c>
      <c r="H1770" s="2">
        <v>8.5920000000000005</v>
      </c>
      <c r="I1770" s="2">
        <v>266.13900000000001</v>
      </c>
      <c r="J1770" s="2">
        <v>266.14699999999999</v>
      </c>
      <c r="K1770" s="15">
        <v>10.832000000000001</v>
      </c>
      <c r="L1770" s="2">
        <v>110.748</v>
      </c>
      <c r="N1770" s="7">
        <f t="shared" si="227"/>
        <v>222</v>
      </c>
      <c r="O1770" s="1">
        <f t="shared" si="221"/>
        <v>131</v>
      </c>
      <c r="P1770" s="1" t="str">
        <f t="shared" si="223"/>
        <v>222,131</v>
      </c>
      <c r="Q1770" s="6" t="s">
        <v>10</v>
      </c>
      <c r="R1770" s="1">
        <v>90</v>
      </c>
      <c r="S1770" s="1">
        <v>2.5</v>
      </c>
      <c r="T1770" s="1" t="str">
        <f t="shared" si="222"/>
        <v>-text 222,131 2.5 90 266.147</v>
      </c>
    </row>
    <row r="1771" spans="1:20" x14ac:dyDescent="0.35">
      <c r="A1771" s="1">
        <v>286240</v>
      </c>
      <c r="B1771" s="7">
        <v>1175662.3999999999</v>
      </c>
      <c r="C1771" s="2">
        <v>269.06</v>
      </c>
      <c r="D1771" s="2">
        <v>277.69200000000001</v>
      </c>
      <c r="E1771" s="2">
        <v>8.6319999999999997</v>
      </c>
      <c r="F1771" s="2">
        <v>268.38799999999998</v>
      </c>
      <c r="G1771" s="2">
        <v>276.97899999999998</v>
      </c>
      <c r="H1771" s="2">
        <v>8.5909999999999993</v>
      </c>
      <c r="I1771" s="2">
        <v>266.113</v>
      </c>
      <c r="J1771" s="2">
        <v>266.11700000000002</v>
      </c>
      <c r="K1771" s="15">
        <v>10.862</v>
      </c>
      <c r="L1771" s="2">
        <v>104.98399999999999</v>
      </c>
      <c r="N1771" s="7">
        <f t="shared" si="227"/>
        <v>242.89999999990687</v>
      </c>
      <c r="O1771" s="1">
        <f t="shared" si="221"/>
        <v>131</v>
      </c>
      <c r="P1771" s="1" t="str">
        <f t="shared" si="223"/>
        <v>242.899999999907,131</v>
      </c>
      <c r="Q1771" s="6" t="s">
        <v>10</v>
      </c>
      <c r="R1771" s="1">
        <v>90</v>
      </c>
      <c r="S1771" s="1">
        <v>2.5</v>
      </c>
      <c r="T1771" s="1" t="str">
        <f t="shared" si="222"/>
        <v>-text 242.899999999907,131 2.5 90 266.117</v>
      </c>
    </row>
    <row r="1772" spans="1:20" x14ac:dyDescent="0.35">
      <c r="A1772" s="1">
        <v>286260</v>
      </c>
      <c r="B1772" s="7">
        <v>1175683.3999999999</v>
      </c>
      <c r="C1772" s="2">
        <v>269.06299999999999</v>
      </c>
      <c r="D1772" s="2">
        <v>277.69200000000001</v>
      </c>
      <c r="E1772" s="2">
        <v>8.6289999999999996</v>
      </c>
      <c r="F1772" s="2">
        <v>268.39100000000002</v>
      </c>
      <c r="G1772" s="2">
        <v>276.97899999999998</v>
      </c>
      <c r="H1772" s="2">
        <v>8.5879999999999992</v>
      </c>
      <c r="I1772" s="2">
        <v>266.113</v>
      </c>
      <c r="J1772" s="2">
        <v>266.11399999999998</v>
      </c>
      <c r="K1772" s="15">
        <v>10.865</v>
      </c>
      <c r="L1772" s="2">
        <v>98.596000000000004</v>
      </c>
      <c r="N1772" s="7">
        <f t="shared" si="227"/>
        <v>263.89999999990687</v>
      </c>
      <c r="O1772" s="1">
        <f t="shared" si="221"/>
        <v>131</v>
      </c>
      <c r="P1772" s="1" t="str">
        <f t="shared" si="223"/>
        <v>263.899999999907,131</v>
      </c>
      <c r="Q1772" s="6" t="s">
        <v>10</v>
      </c>
      <c r="R1772" s="1">
        <v>90</v>
      </c>
      <c r="S1772" s="1">
        <v>2.5</v>
      </c>
      <c r="T1772" s="1" t="str">
        <f t="shared" si="222"/>
        <v>-text 263.899999999907,131 2.5 90 266.114</v>
      </c>
    </row>
    <row r="1773" spans="1:20" x14ac:dyDescent="0.35">
      <c r="A1773" s="1">
        <v>286280</v>
      </c>
      <c r="B1773" s="7">
        <v>1175703.8999999999</v>
      </c>
      <c r="C1773" s="2">
        <v>269.07</v>
      </c>
      <c r="D1773" s="2">
        <v>277.69200000000001</v>
      </c>
      <c r="E1773" s="2">
        <v>8.6219999999999999</v>
      </c>
      <c r="F1773" s="2">
        <v>268.39800000000002</v>
      </c>
      <c r="G1773" s="2">
        <v>276.97899999999998</v>
      </c>
      <c r="H1773" s="2">
        <v>8.5809999999999995</v>
      </c>
      <c r="I1773" s="2">
        <v>266.11799999999999</v>
      </c>
      <c r="J1773" s="2">
        <v>266.11700000000002</v>
      </c>
      <c r="K1773" s="15">
        <v>10.862</v>
      </c>
      <c r="L1773" s="2">
        <v>91.692999999999998</v>
      </c>
      <c r="N1773" s="7">
        <f t="shared" si="227"/>
        <v>284.39999999990687</v>
      </c>
      <c r="O1773" s="1">
        <f t="shared" si="221"/>
        <v>131</v>
      </c>
      <c r="P1773" s="1" t="str">
        <f t="shared" si="223"/>
        <v>284.399999999907,131</v>
      </c>
      <c r="Q1773" s="6" t="s">
        <v>10</v>
      </c>
      <c r="R1773" s="1">
        <v>90</v>
      </c>
      <c r="S1773" s="1">
        <v>2.5</v>
      </c>
      <c r="T1773" s="1" t="str">
        <f t="shared" si="222"/>
        <v>-text 284.399999999907,131 2.5 90 266.117</v>
      </c>
    </row>
    <row r="1774" spans="1:20" x14ac:dyDescent="0.35">
      <c r="A1774" s="1">
        <v>286300</v>
      </c>
      <c r="B1774" s="7">
        <v>1175725.1000000001</v>
      </c>
      <c r="C1774" s="2">
        <v>269.06599999999997</v>
      </c>
      <c r="D1774" s="2">
        <v>277.69200000000001</v>
      </c>
      <c r="E1774" s="2">
        <v>8.6259999999999994</v>
      </c>
      <c r="F1774" s="2">
        <v>268.39400000000001</v>
      </c>
      <c r="G1774" s="2">
        <v>276.97899999999998</v>
      </c>
      <c r="H1774" s="2">
        <v>8.5850000000000009</v>
      </c>
      <c r="I1774" s="2">
        <v>266.13299999999998</v>
      </c>
      <c r="J1774" s="2">
        <v>266.125</v>
      </c>
      <c r="K1774" s="15">
        <v>10.853999999999999</v>
      </c>
      <c r="L1774" s="2">
        <v>83.846999999999994</v>
      </c>
      <c r="N1774" s="7">
        <f t="shared" si="227"/>
        <v>305.60000000009313</v>
      </c>
      <c r="O1774" s="1">
        <f t="shared" si="221"/>
        <v>131</v>
      </c>
      <c r="P1774" s="1" t="str">
        <f t="shared" si="223"/>
        <v>305.600000000093,131</v>
      </c>
      <c r="Q1774" s="6" t="s">
        <v>10</v>
      </c>
      <c r="R1774" s="1">
        <v>90</v>
      </c>
      <c r="S1774" s="1">
        <v>2.5</v>
      </c>
      <c r="T1774" s="1" t="str">
        <f t="shared" si="222"/>
        <v>-text 305.600000000093,131 2.5 90 266.125</v>
      </c>
    </row>
    <row r="1775" spans="1:20" x14ac:dyDescent="0.35">
      <c r="A1775" s="1">
        <v>286320</v>
      </c>
      <c r="B1775" s="7">
        <v>1175746.2</v>
      </c>
      <c r="C1775" s="2">
        <v>269.04000000000002</v>
      </c>
      <c r="D1775" s="2">
        <v>277.69200000000001</v>
      </c>
      <c r="E1775" s="2">
        <v>8.6519999999999992</v>
      </c>
      <c r="F1775" s="2">
        <v>268.36799999999999</v>
      </c>
      <c r="G1775" s="2">
        <v>276.97899999999998</v>
      </c>
      <c r="H1775" s="2">
        <v>8.6110000000000007</v>
      </c>
      <c r="I1775" s="2">
        <v>266.13600000000002</v>
      </c>
      <c r="J1775" s="2">
        <v>266.142</v>
      </c>
      <c r="K1775" s="15">
        <v>10.837</v>
      </c>
      <c r="L1775" s="2">
        <v>75.367000000000004</v>
      </c>
      <c r="N1775" s="7">
        <f t="shared" si="227"/>
        <v>326.69999999995343</v>
      </c>
      <c r="O1775" s="1">
        <f t="shared" si="221"/>
        <v>131</v>
      </c>
      <c r="P1775" s="1" t="str">
        <f t="shared" si="223"/>
        <v>326.699999999953,131</v>
      </c>
      <c r="Q1775" s="6" t="s">
        <v>10</v>
      </c>
      <c r="R1775" s="1">
        <v>90</v>
      </c>
      <c r="S1775" s="1">
        <v>2.5</v>
      </c>
      <c r="T1775" s="1" t="str">
        <f t="shared" si="222"/>
        <v>-text 326.699999999953,131 2.5 90 266.142</v>
      </c>
    </row>
    <row r="1776" spans="1:20" x14ac:dyDescent="0.35">
      <c r="A1776" s="1">
        <v>286340</v>
      </c>
      <c r="B1776" s="7">
        <v>1175768.1000000001</v>
      </c>
      <c r="C1776" s="2">
        <v>268.988</v>
      </c>
      <c r="D1776" s="2">
        <v>277.69200000000001</v>
      </c>
      <c r="E1776" s="2">
        <v>8.7040000000000006</v>
      </c>
      <c r="F1776" s="2">
        <v>268.31599999999997</v>
      </c>
      <c r="G1776" s="2">
        <v>276.97899999999998</v>
      </c>
      <c r="H1776" s="2">
        <v>8.6630000000000003</v>
      </c>
      <c r="I1776" s="2">
        <v>266.13499999999999</v>
      </c>
      <c r="J1776" s="2">
        <v>266.15800000000002</v>
      </c>
      <c r="K1776" s="15">
        <v>10.821</v>
      </c>
      <c r="L1776" s="2">
        <v>65.947000000000003</v>
      </c>
      <c r="N1776" s="7">
        <f t="shared" si="227"/>
        <v>348.60000000009313</v>
      </c>
      <c r="O1776" s="1">
        <f t="shared" si="221"/>
        <v>131</v>
      </c>
      <c r="P1776" s="1" t="str">
        <f t="shared" si="223"/>
        <v>348.600000000093,131</v>
      </c>
      <c r="Q1776" s="6" t="s">
        <v>10</v>
      </c>
      <c r="R1776" s="1">
        <v>90</v>
      </c>
      <c r="S1776" s="1">
        <v>2.5</v>
      </c>
      <c r="T1776" s="1" t="str">
        <f t="shared" si="222"/>
        <v>-text 348.600000000093,131 2.5 90 266.158</v>
      </c>
    </row>
    <row r="1777" spans="1:20" x14ac:dyDescent="0.35">
      <c r="A1777" s="1">
        <v>286360</v>
      </c>
      <c r="B1777" s="7">
        <v>1175790</v>
      </c>
      <c r="C1777" s="2">
        <v>268.94099999999997</v>
      </c>
      <c r="D1777" s="2">
        <v>277.69200000000001</v>
      </c>
      <c r="E1777" s="2">
        <v>8.7509999999999994</v>
      </c>
      <c r="F1777" s="2">
        <v>268.26900000000001</v>
      </c>
      <c r="G1777" s="2">
        <v>276.97899999999998</v>
      </c>
      <c r="H1777" s="2">
        <v>8.7100000000000009</v>
      </c>
      <c r="I1777" s="2">
        <v>266.14400000000001</v>
      </c>
      <c r="J1777" s="2">
        <v>265.53199999999998</v>
      </c>
      <c r="K1777" s="15">
        <v>11.446999999999999</v>
      </c>
      <c r="L1777" s="2">
        <v>56.058</v>
      </c>
      <c r="N1777" s="7">
        <f t="shared" si="227"/>
        <v>370.5</v>
      </c>
      <c r="O1777" s="1">
        <f t="shared" si="221"/>
        <v>131</v>
      </c>
      <c r="P1777" s="1" t="str">
        <f t="shared" si="223"/>
        <v>370.5,131</v>
      </c>
      <c r="Q1777" s="6" t="s">
        <v>10</v>
      </c>
      <c r="R1777" s="1">
        <v>90</v>
      </c>
      <c r="S1777" s="1">
        <v>2.5</v>
      </c>
      <c r="T1777" s="1" t="str">
        <f t="shared" si="222"/>
        <v>-text 370.5,131 2.5 90 265.532</v>
      </c>
    </row>
    <row r="1778" spans="1:20" x14ac:dyDescent="0.35">
      <c r="A1778" s="1">
        <v>286380</v>
      </c>
      <c r="B1778" s="7">
        <v>1175812.5</v>
      </c>
      <c r="C1778" s="2">
        <v>268.92</v>
      </c>
      <c r="D1778" s="2">
        <v>277.69200000000001</v>
      </c>
      <c r="E1778" s="2">
        <v>8.7720000000000002</v>
      </c>
      <c r="F1778" s="2">
        <v>268.24799999999999</v>
      </c>
      <c r="G1778" s="2">
        <v>276.97899999999998</v>
      </c>
      <c r="H1778" s="2">
        <v>8.7309999999999999</v>
      </c>
      <c r="I1778" s="2">
        <v>266.05500000000001</v>
      </c>
      <c r="J1778" s="2">
        <v>264.16199999999998</v>
      </c>
      <c r="K1778" s="15">
        <v>12.817</v>
      </c>
      <c r="L1778" s="2">
        <v>45.603999999999999</v>
      </c>
      <c r="N1778" s="7">
        <f t="shared" si="227"/>
        <v>393</v>
      </c>
      <c r="O1778" s="1">
        <f t="shared" si="221"/>
        <v>131</v>
      </c>
      <c r="P1778" s="1" t="str">
        <f t="shared" si="223"/>
        <v>393,131</v>
      </c>
      <c r="Q1778" s="6" t="s">
        <v>10</v>
      </c>
      <c r="R1778" s="1">
        <v>90</v>
      </c>
      <c r="S1778" s="1">
        <v>2.5</v>
      </c>
      <c r="T1778" s="1" t="str">
        <f t="shared" si="222"/>
        <v>-text 393,131 2.5 90 264.162</v>
      </c>
    </row>
    <row r="1779" spans="1:20" x14ac:dyDescent="0.35">
      <c r="A1779" s="1">
        <v>286400</v>
      </c>
      <c r="B1779" s="7">
        <v>1175835.1000000001</v>
      </c>
      <c r="C1779" s="2">
        <v>268.88799999999998</v>
      </c>
      <c r="D1779" s="2">
        <v>277.69200000000001</v>
      </c>
      <c r="E1779" s="2">
        <v>8.8040000000000003</v>
      </c>
      <c r="F1779" s="2">
        <v>268.21600000000001</v>
      </c>
      <c r="G1779" s="2">
        <v>276.97899999999998</v>
      </c>
      <c r="H1779" s="2">
        <v>8.7629999999999999</v>
      </c>
      <c r="I1779" s="2">
        <v>265.80099999999999</v>
      </c>
      <c r="J1779" s="2">
        <v>263.89499999999998</v>
      </c>
      <c r="K1779" s="15">
        <v>13.084</v>
      </c>
      <c r="L1779" s="2">
        <v>34.991</v>
      </c>
      <c r="N1779" s="7">
        <f t="shared" si="227"/>
        <v>415.60000000009313</v>
      </c>
      <c r="O1779" s="1">
        <f t="shared" si="221"/>
        <v>131</v>
      </c>
      <c r="P1779" s="1" t="str">
        <f t="shared" si="223"/>
        <v>415.600000000093,131</v>
      </c>
      <c r="Q1779" s="6" t="s">
        <v>10</v>
      </c>
      <c r="R1779" s="1">
        <v>90</v>
      </c>
      <c r="S1779" s="1">
        <v>2.5</v>
      </c>
      <c r="T1779" s="1" t="str">
        <f t="shared" si="222"/>
        <v>-text 415.600000000093,131 2.5 90 263.895</v>
      </c>
    </row>
    <row r="1780" spans="1:20" x14ac:dyDescent="0.35">
      <c r="A1780" s="1">
        <v>286420</v>
      </c>
      <c r="B1780" s="7">
        <v>1175857.3999999999</v>
      </c>
      <c r="C1780" s="2">
        <v>268.87599999999998</v>
      </c>
      <c r="D1780" s="2">
        <v>277.69200000000001</v>
      </c>
      <c r="E1780" s="2">
        <v>8.8160000000000007</v>
      </c>
      <c r="F1780" s="2">
        <v>268.20400000000001</v>
      </c>
      <c r="G1780" s="2">
        <v>276.97899999999998</v>
      </c>
      <c r="H1780" s="2">
        <v>8.7750000000000004</v>
      </c>
      <c r="I1780" s="2">
        <v>264.62700000000001</v>
      </c>
      <c r="J1780" s="2">
        <v>265.85399999999998</v>
      </c>
      <c r="K1780" s="15">
        <v>11.125</v>
      </c>
      <c r="L1780" s="2">
        <v>24.324999999999999</v>
      </c>
      <c r="N1780" s="7">
        <f t="shared" si="227"/>
        <v>437.89999999990687</v>
      </c>
      <c r="O1780" s="1">
        <f t="shared" si="221"/>
        <v>131</v>
      </c>
      <c r="P1780" s="1" t="str">
        <f t="shared" si="223"/>
        <v>437.899999999907,131</v>
      </c>
      <c r="Q1780" s="6" t="s">
        <v>10</v>
      </c>
      <c r="R1780" s="1">
        <v>90</v>
      </c>
      <c r="S1780" s="1">
        <v>2.5</v>
      </c>
      <c r="T1780" s="1" t="str">
        <f t="shared" si="222"/>
        <v>-text 437.899999999907,131 2.5 90 265.854</v>
      </c>
    </row>
    <row r="1781" spans="1:20" x14ac:dyDescent="0.35">
      <c r="A1781" s="1">
        <v>286440</v>
      </c>
      <c r="B1781" s="7">
        <v>1175880.1000000001</v>
      </c>
      <c r="C1781" s="2">
        <v>268.87700000000001</v>
      </c>
      <c r="D1781" s="2">
        <v>277.69200000000001</v>
      </c>
      <c r="E1781" s="2">
        <v>8.8149999999999995</v>
      </c>
      <c r="F1781" s="2">
        <v>268.20499999999998</v>
      </c>
      <c r="G1781" s="2">
        <v>276.97899999999998</v>
      </c>
      <c r="H1781" s="2">
        <v>8.7739999999999991</v>
      </c>
      <c r="I1781" s="2">
        <v>264.16699999999997</v>
      </c>
      <c r="J1781" s="2">
        <v>266.20400000000001</v>
      </c>
      <c r="K1781" s="15">
        <v>10.775</v>
      </c>
      <c r="L1781" s="2">
        <v>13.375999999999999</v>
      </c>
      <c r="N1781" s="7">
        <f t="shared" si="227"/>
        <v>460.60000000009313</v>
      </c>
      <c r="O1781" s="1">
        <f t="shared" si="221"/>
        <v>131</v>
      </c>
      <c r="P1781" s="1" t="str">
        <f t="shared" si="223"/>
        <v>460.600000000093,131</v>
      </c>
      <c r="Q1781" s="6" t="s">
        <v>10</v>
      </c>
      <c r="R1781" s="1">
        <v>90</v>
      </c>
      <c r="S1781" s="1">
        <v>2.5</v>
      </c>
      <c r="T1781" s="1" t="str">
        <f t="shared" si="222"/>
        <v>-text 460.600000000093,131 2.5 90 266.204</v>
      </c>
    </row>
    <row r="1782" spans="1:20" x14ac:dyDescent="0.35">
      <c r="A1782" s="1">
        <v>286460</v>
      </c>
      <c r="B1782" s="7">
        <v>1175903</v>
      </c>
      <c r="C1782" s="2">
        <v>268.904</v>
      </c>
      <c r="D1782" s="2">
        <v>277.69200000000001</v>
      </c>
      <c r="E1782" s="2">
        <v>8.7880000000000003</v>
      </c>
      <c r="F1782" s="2">
        <v>268.23200000000003</v>
      </c>
      <c r="G1782" s="2">
        <v>276.97899999999998</v>
      </c>
      <c r="H1782" s="2">
        <v>8.7469999999999999</v>
      </c>
      <c r="I1782" s="2">
        <v>265.15199999999999</v>
      </c>
      <c r="J1782" s="2">
        <v>268.08199999999999</v>
      </c>
      <c r="K1782" s="15">
        <v>8.8970000000000002</v>
      </c>
      <c r="L1782" s="2">
        <v>2.1949999999999998</v>
      </c>
      <c r="N1782" s="7">
        <f t="shared" si="227"/>
        <v>483.5</v>
      </c>
      <c r="O1782" s="1">
        <f t="shared" si="221"/>
        <v>131</v>
      </c>
      <c r="P1782" s="1" t="str">
        <f t="shared" si="223"/>
        <v>483.5,131</v>
      </c>
      <c r="Q1782" s="6" t="s">
        <v>10</v>
      </c>
      <c r="R1782" s="1">
        <v>90</v>
      </c>
      <c r="S1782" s="1">
        <v>2.5</v>
      </c>
      <c r="T1782" s="1" t="str">
        <f t="shared" si="222"/>
        <v>-text 483.5,131 2.5 90 268.082</v>
      </c>
    </row>
    <row r="1783" spans="1:20" x14ac:dyDescent="0.35">
      <c r="A1783" s="1">
        <v>286480</v>
      </c>
      <c r="B1783" s="7">
        <v>1175925.7</v>
      </c>
      <c r="C1783" s="2">
        <v>268.94200000000001</v>
      </c>
      <c r="D1783" s="2">
        <v>277.69200000000001</v>
      </c>
      <c r="E1783" s="2">
        <v>8.75</v>
      </c>
      <c r="F1783" s="2">
        <v>268.27</v>
      </c>
      <c r="G1783" s="2">
        <v>276.97899999999998</v>
      </c>
      <c r="H1783" s="2">
        <v>8.7089999999999996</v>
      </c>
      <c r="I1783" s="2">
        <v>266.048</v>
      </c>
      <c r="J1783" s="2">
        <v>268.22300000000001</v>
      </c>
      <c r="K1783" s="15">
        <v>8.7560000000000002</v>
      </c>
      <c r="L1783" s="2">
        <v>3.165</v>
      </c>
      <c r="N1783" s="7">
        <f t="shared" si="227"/>
        <v>506.19999999995343</v>
      </c>
      <c r="O1783" s="1">
        <f t="shared" si="221"/>
        <v>131</v>
      </c>
      <c r="P1783" s="1" t="str">
        <f t="shared" si="223"/>
        <v>506.199999999953,131</v>
      </c>
      <c r="Q1783" s="6" t="s">
        <v>10</v>
      </c>
      <c r="R1783" s="1">
        <v>90</v>
      </c>
      <c r="S1783" s="1">
        <v>2.5</v>
      </c>
      <c r="T1783" s="1" t="str">
        <f t="shared" si="222"/>
        <v>-text 506.199999999953,131 2.5 90 268.223</v>
      </c>
    </row>
    <row r="1784" spans="1:20" x14ac:dyDescent="0.35">
      <c r="A1784" s="1">
        <v>286500</v>
      </c>
      <c r="B1784" s="7">
        <v>1175949.2</v>
      </c>
      <c r="C1784" s="2">
        <v>269.03899999999999</v>
      </c>
      <c r="D1784" s="2">
        <v>277.69200000000001</v>
      </c>
      <c r="E1784" s="2">
        <v>8.6530000000000005</v>
      </c>
      <c r="F1784" s="2">
        <v>268.36700000000002</v>
      </c>
      <c r="G1784" s="2">
        <v>276.97899999999998</v>
      </c>
      <c r="H1784" s="2">
        <v>8.6120000000000001</v>
      </c>
      <c r="I1784" s="2">
        <v>268.166</v>
      </c>
      <c r="J1784" s="2">
        <v>267.09899999999999</v>
      </c>
      <c r="K1784" s="15">
        <v>9.8800000000000008</v>
      </c>
      <c r="L1784" s="2">
        <v>14.488</v>
      </c>
      <c r="N1784" s="7">
        <f>N1781+(B1784-B1781)</f>
        <v>529.69999999995343</v>
      </c>
      <c r="O1784" s="1">
        <f t="shared" si="221"/>
        <v>131</v>
      </c>
      <c r="P1784" s="1" t="str">
        <f t="shared" ref="P1784" si="228">CONCATENATE(N1784,",",O1784)</f>
        <v>529.699999999953,131</v>
      </c>
      <c r="Q1784" s="6" t="s">
        <v>10</v>
      </c>
      <c r="R1784" s="1">
        <v>90</v>
      </c>
      <c r="S1784" s="1">
        <v>2.5</v>
      </c>
      <c r="T1784" s="1" t="str">
        <f t="shared" si="222"/>
        <v>-text 529.699999999953,131 2.5 90 267.099</v>
      </c>
    </row>
    <row r="1785" spans="1:20" s="10" customFormat="1" x14ac:dyDescent="0.35">
      <c r="B1785" s="11"/>
      <c r="C1785" s="9"/>
      <c r="D1785" s="9"/>
      <c r="E1785" s="9"/>
      <c r="F1785" s="9"/>
      <c r="G1785" s="9"/>
      <c r="H1785" s="9"/>
      <c r="I1785" s="9"/>
      <c r="J1785" s="9"/>
      <c r="K1785" s="16"/>
      <c r="L1785" s="9"/>
      <c r="M1785" s="9"/>
      <c r="N1785" s="11"/>
      <c r="Q1785" s="12"/>
    </row>
    <row r="1786" spans="1:20" x14ac:dyDescent="0.35">
      <c r="A1786" s="1">
        <v>286500</v>
      </c>
      <c r="B1786" s="7">
        <v>1175949.2</v>
      </c>
      <c r="C1786" s="2">
        <v>269.03899999999999</v>
      </c>
      <c r="D1786" s="2">
        <v>277.69200000000001</v>
      </c>
      <c r="E1786" s="2">
        <v>8.6530000000000005</v>
      </c>
      <c r="F1786" s="2">
        <v>268.36700000000002</v>
      </c>
      <c r="G1786" s="2">
        <v>276.97899999999998</v>
      </c>
      <c r="H1786" s="2">
        <v>8.6120000000000001</v>
      </c>
      <c r="I1786" s="2">
        <v>268.166</v>
      </c>
      <c r="J1786" s="2">
        <v>267.09899999999999</v>
      </c>
      <c r="K1786" s="15">
        <v>9.8800000000000008</v>
      </c>
      <c r="L1786" s="2">
        <v>14.488</v>
      </c>
      <c r="N1786" s="7">
        <v>0</v>
      </c>
      <c r="O1786" s="1">
        <f t="shared" si="221"/>
        <v>131</v>
      </c>
      <c r="P1786" s="1" t="str">
        <f t="shared" si="223"/>
        <v>0,131</v>
      </c>
      <c r="Q1786" s="6" t="s">
        <v>10</v>
      </c>
      <c r="R1786" s="1">
        <v>90</v>
      </c>
      <c r="S1786" s="1">
        <v>2.5</v>
      </c>
      <c r="T1786" s="1" t="str">
        <f t="shared" si="222"/>
        <v>-text 0,131 2.5 90 267.099</v>
      </c>
    </row>
    <row r="1787" spans="1:20" x14ac:dyDescent="0.35">
      <c r="A1787" s="1">
        <v>286520</v>
      </c>
      <c r="B1787" s="7">
        <v>1175971.7</v>
      </c>
      <c r="C1787" s="2">
        <v>269.06900000000002</v>
      </c>
      <c r="D1787" s="2">
        <v>277.69200000000001</v>
      </c>
      <c r="E1787" s="2">
        <v>8.6229999999999993</v>
      </c>
      <c r="F1787" s="2">
        <v>268.39699999999999</v>
      </c>
      <c r="G1787" s="2">
        <v>276.97899999999998</v>
      </c>
      <c r="H1787" s="2">
        <v>8.5820000000000007</v>
      </c>
      <c r="I1787" s="2">
        <v>268.15699999999998</v>
      </c>
      <c r="J1787" s="2">
        <v>266.56799999999998</v>
      </c>
      <c r="K1787" s="15">
        <v>10.411</v>
      </c>
      <c r="L1787" s="2">
        <v>25.876000000000001</v>
      </c>
      <c r="N1787" s="7">
        <f t="shared" ref="N1787:N1810" si="229">N1786+(B1787-B1786)</f>
        <v>22.5</v>
      </c>
      <c r="O1787" s="1">
        <f t="shared" si="221"/>
        <v>131</v>
      </c>
      <c r="P1787" s="1" t="str">
        <f t="shared" si="223"/>
        <v>22.5,131</v>
      </c>
      <c r="Q1787" s="6" t="s">
        <v>10</v>
      </c>
      <c r="R1787" s="1">
        <v>90</v>
      </c>
      <c r="S1787" s="1">
        <v>2.5</v>
      </c>
      <c r="T1787" s="1" t="str">
        <f t="shared" si="222"/>
        <v>-text 22.5,131 2.5 90 266.568</v>
      </c>
    </row>
    <row r="1788" spans="1:20" x14ac:dyDescent="0.35">
      <c r="A1788" s="1">
        <v>286540</v>
      </c>
      <c r="B1788" s="7">
        <v>1175995</v>
      </c>
      <c r="C1788" s="2">
        <v>269.12599999999998</v>
      </c>
      <c r="D1788" s="2">
        <v>277.69200000000001</v>
      </c>
      <c r="E1788" s="2">
        <v>8.5660000000000007</v>
      </c>
      <c r="F1788" s="2">
        <v>268.45400000000001</v>
      </c>
      <c r="G1788" s="2">
        <v>276.97899999999998</v>
      </c>
      <c r="H1788" s="2">
        <v>8.5250000000000004</v>
      </c>
      <c r="I1788" s="2">
        <v>267.589</v>
      </c>
      <c r="J1788" s="2">
        <v>266.30900000000003</v>
      </c>
      <c r="K1788" s="15">
        <v>10.67</v>
      </c>
      <c r="L1788" s="2">
        <v>37.527000000000001</v>
      </c>
      <c r="N1788" s="7">
        <f t="shared" si="229"/>
        <v>45.800000000046566</v>
      </c>
      <c r="O1788" s="1">
        <f t="shared" si="221"/>
        <v>131</v>
      </c>
      <c r="P1788" s="1" t="str">
        <f t="shared" si="223"/>
        <v>45.8000000000466,131</v>
      </c>
      <c r="Q1788" s="6" t="s">
        <v>10</v>
      </c>
      <c r="R1788" s="1">
        <v>90</v>
      </c>
      <c r="S1788" s="1">
        <v>2.5</v>
      </c>
      <c r="T1788" s="1" t="str">
        <f t="shared" si="222"/>
        <v>-text 45.8000000000466,131 2.5 90 266.309</v>
      </c>
    </row>
    <row r="1789" spans="1:20" x14ac:dyDescent="0.35">
      <c r="A1789" s="1">
        <v>286560</v>
      </c>
      <c r="B1789" s="7">
        <v>1176018.2</v>
      </c>
      <c r="C1789" s="2">
        <v>269.178</v>
      </c>
      <c r="D1789" s="2">
        <v>277.69200000000001</v>
      </c>
      <c r="E1789" s="2">
        <v>8.5139999999999993</v>
      </c>
      <c r="F1789" s="2">
        <v>268.50599999999997</v>
      </c>
      <c r="G1789" s="2">
        <v>276.97899999999998</v>
      </c>
      <c r="H1789" s="2">
        <v>8.4730000000000008</v>
      </c>
      <c r="I1789" s="2">
        <v>266.54199999999997</v>
      </c>
      <c r="J1789" s="2">
        <v>266.33199999999999</v>
      </c>
      <c r="K1789" s="15">
        <v>10.647</v>
      </c>
      <c r="L1789" s="2">
        <v>49.095999999999997</v>
      </c>
      <c r="N1789" s="7">
        <f t="shared" si="229"/>
        <v>69</v>
      </c>
      <c r="O1789" s="1">
        <f t="shared" si="221"/>
        <v>131</v>
      </c>
      <c r="P1789" s="1" t="str">
        <f t="shared" si="223"/>
        <v>69,131</v>
      </c>
      <c r="Q1789" s="6" t="s">
        <v>10</v>
      </c>
      <c r="R1789" s="1">
        <v>90</v>
      </c>
      <c r="S1789" s="1">
        <v>2.5</v>
      </c>
      <c r="T1789" s="1" t="str">
        <f t="shared" si="222"/>
        <v>-text 69,131 2.5 90 266.332</v>
      </c>
    </row>
    <row r="1790" spans="1:20" x14ac:dyDescent="0.35">
      <c r="A1790" s="1">
        <v>286580</v>
      </c>
      <c r="B1790" s="7">
        <v>1176041.1000000001</v>
      </c>
      <c r="C1790" s="2">
        <v>269.22699999999998</v>
      </c>
      <c r="D1790" s="2">
        <v>277.69200000000001</v>
      </c>
      <c r="E1790" s="2">
        <v>8.4649999999999999</v>
      </c>
      <c r="F1790" s="2">
        <v>268.55500000000001</v>
      </c>
      <c r="G1790" s="2">
        <v>276.97899999999998</v>
      </c>
      <c r="H1790" s="2">
        <v>8.4239999999999995</v>
      </c>
      <c r="I1790" s="2">
        <v>266.28300000000002</v>
      </c>
      <c r="J1790" s="2">
        <v>266.39100000000002</v>
      </c>
      <c r="K1790" s="15">
        <v>10.587999999999999</v>
      </c>
      <c r="L1790" s="2">
        <v>60.381999999999998</v>
      </c>
      <c r="N1790" s="7">
        <f t="shared" si="229"/>
        <v>91.900000000139698</v>
      </c>
      <c r="O1790" s="1">
        <f t="shared" si="221"/>
        <v>131</v>
      </c>
      <c r="P1790" s="1" t="str">
        <f t="shared" si="223"/>
        <v>91.9000000001397,131</v>
      </c>
      <c r="Q1790" s="6" t="s">
        <v>10</v>
      </c>
      <c r="R1790" s="1">
        <v>90</v>
      </c>
      <c r="S1790" s="1">
        <v>2.5</v>
      </c>
      <c r="T1790" s="1" t="str">
        <f t="shared" si="222"/>
        <v>-text 91.9000000001397,131 2.5 90 266.391</v>
      </c>
    </row>
    <row r="1791" spans="1:20" x14ac:dyDescent="0.35">
      <c r="A1791" s="1">
        <v>286600</v>
      </c>
      <c r="B1791" s="7">
        <v>1176063.8</v>
      </c>
      <c r="C1791" s="2">
        <v>269.27</v>
      </c>
      <c r="D1791" s="2">
        <v>277.69200000000001</v>
      </c>
      <c r="E1791" s="2">
        <v>8.4220000000000006</v>
      </c>
      <c r="F1791" s="2">
        <v>268.59800000000001</v>
      </c>
      <c r="G1791" s="2">
        <v>276.97899999999998</v>
      </c>
      <c r="H1791" s="2">
        <v>8.3810000000000002</v>
      </c>
      <c r="I1791" s="2">
        <v>266.30399999999997</v>
      </c>
      <c r="J1791" s="2">
        <v>266.56299999999999</v>
      </c>
      <c r="K1791" s="15">
        <v>10.416</v>
      </c>
      <c r="L1791" s="2">
        <v>71.096000000000004</v>
      </c>
      <c r="N1791" s="7">
        <f t="shared" si="229"/>
        <v>114.60000000009313</v>
      </c>
      <c r="O1791" s="1">
        <f t="shared" si="221"/>
        <v>131</v>
      </c>
      <c r="P1791" s="1" t="str">
        <f t="shared" si="223"/>
        <v>114.600000000093,131</v>
      </c>
      <c r="Q1791" s="6" t="s">
        <v>10</v>
      </c>
      <c r="R1791" s="1">
        <v>90</v>
      </c>
      <c r="S1791" s="1">
        <v>2.5</v>
      </c>
      <c r="T1791" s="1" t="str">
        <f t="shared" si="222"/>
        <v>-text 114.600000000093,131 2.5 90 266.563</v>
      </c>
    </row>
    <row r="1792" spans="1:20" x14ac:dyDescent="0.35">
      <c r="A1792" s="1">
        <v>286620</v>
      </c>
      <c r="B1792" s="7">
        <v>1176086.1000000001</v>
      </c>
      <c r="C1792" s="2">
        <v>269.31400000000002</v>
      </c>
      <c r="D1792" s="2">
        <v>277.69200000000001</v>
      </c>
      <c r="E1792" s="2">
        <v>8.3780000000000001</v>
      </c>
      <c r="F1792" s="2">
        <v>268.642</v>
      </c>
      <c r="G1792" s="2">
        <v>276.97899999999998</v>
      </c>
      <c r="H1792" s="2">
        <v>8.3369999999999997</v>
      </c>
      <c r="I1792" s="2">
        <v>266.23599999999999</v>
      </c>
      <c r="J1792" s="2">
        <v>266.33</v>
      </c>
      <c r="K1792" s="15">
        <v>10.648999999999999</v>
      </c>
      <c r="L1792" s="2">
        <v>81.14</v>
      </c>
      <c r="N1792" s="7">
        <f t="shared" si="229"/>
        <v>136.9000000001397</v>
      </c>
      <c r="O1792" s="1">
        <f t="shared" si="221"/>
        <v>131</v>
      </c>
      <c r="P1792" s="1" t="str">
        <f t="shared" si="223"/>
        <v>136.90000000014,131</v>
      </c>
      <c r="Q1792" s="6" t="s">
        <v>10</v>
      </c>
      <c r="R1792" s="1">
        <v>90</v>
      </c>
      <c r="S1792" s="1">
        <v>2.5</v>
      </c>
      <c r="T1792" s="1" t="str">
        <f t="shared" si="222"/>
        <v>-text 136.90000000014,131 2.5 90 266.33</v>
      </c>
    </row>
    <row r="1793" spans="1:20" x14ac:dyDescent="0.35">
      <c r="A1793" s="1">
        <v>286640</v>
      </c>
      <c r="B1793" s="7">
        <v>1176107.3</v>
      </c>
      <c r="C1793" s="2">
        <v>269.36700000000002</v>
      </c>
      <c r="D1793" s="2">
        <v>277.69200000000001</v>
      </c>
      <c r="E1793" s="2">
        <v>8.3249999999999993</v>
      </c>
      <c r="F1793" s="2">
        <v>268.69499999999999</v>
      </c>
      <c r="G1793" s="2">
        <v>276.97899999999998</v>
      </c>
      <c r="H1793" s="2">
        <v>8.2840000000000007</v>
      </c>
      <c r="I1793" s="2">
        <v>266.81099999999998</v>
      </c>
      <c r="J1793" s="2">
        <v>266.73899999999998</v>
      </c>
      <c r="K1793" s="15">
        <v>10.24</v>
      </c>
      <c r="L1793" s="2">
        <v>90.004000000000005</v>
      </c>
      <c r="N1793" s="7">
        <f t="shared" si="229"/>
        <v>158.10000000009313</v>
      </c>
      <c r="O1793" s="1">
        <f t="shared" ref="O1793:O1860" si="230">19+16+16+16+16+16+16+16</f>
        <v>131</v>
      </c>
      <c r="P1793" s="1" t="str">
        <f t="shared" si="223"/>
        <v>158.100000000093,131</v>
      </c>
      <c r="Q1793" s="6" t="s">
        <v>10</v>
      </c>
      <c r="R1793" s="1">
        <v>90</v>
      </c>
      <c r="S1793" s="1">
        <v>2.5</v>
      </c>
      <c r="T1793" s="1" t="str">
        <f t="shared" ref="T1793:T1860" si="231">$Q1793&amp;" "&amp;$P1793&amp;" "&amp;$S1793&amp;" "&amp;$R1793&amp;" "&amp;$J1793</f>
        <v>-text 158.100000000093,131 2.5 90 266.739</v>
      </c>
    </row>
    <row r="1794" spans="1:20" x14ac:dyDescent="0.35">
      <c r="A1794" s="1">
        <v>286660</v>
      </c>
      <c r="B1794" s="7">
        <v>1176128.8999999999</v>
      </c>
      <c r="C1794" s="2">
        <v>269.43599999999998</v>
      </c>
      <c r="D1794" s="2">
        <v>277.69200000000001</v>
      </c>
      <c r="E1794" s="2">
        <v>8.2560000000000002</v>
      </c>
      <c r="F1794" s="2">
        <v>268.76400000000001</v>
      </c>
      <c r="G1794" s="2">
        <v>276.97899999999998</v>
      </c>
      <c r="H1794" s="2">
        <v>8.2149999999999999</v>
      </c>
      <c r="I1794" s="2">
        <v>267.31299999999999</v>
      </c>
      <c r="J1794" s="2">
        <v>267.18099999999998</v>
      </c>
      <c r="K1794" s="15">
        <v>9.798</v>
      </c>
      <c r="L1794" s="2">
        <v>98.334000000000003</v>
      </c>
      <c r="N1794" s="7">
        <f t="shared" si="229"/>
        <v>179.69999999995343</v>
      </c>
      <c r="O1794" s="1">
        <f t="shared" si="230"/>
        <v>131</v>
      </c>
      <c r="P1794" s="1" t="str">
        <f t="shared" si="223"/>
        <v>179.699999999953,131</v>
      </c>
      <c r="Q1794" s="6" t="s">
        <v>10</v>
      </c>
      <c r="R1794" s="1">
        <v>90</v>
      </c>
      <c r="S1794" s="1">
        <v>2.5</v>
      </c>
      <c r="T1794" s="1" t="str">
        <f t="shared" si="231"/>
        <v>-text 179.699999999953,131 2.5 90 267.181</v>
      </c>
    </row>
    <row r="1795" spans="1:20" x14ac:dyDescent="0.35">
      <c r="A1795" s="1">
        <v>286680</v>
      </c>
      <c r="B1795" s="7">
        <v>1176149.5</v>
      </c>
      <c r="C1795" s="2">
        <v>269.49799999999999</v>
      </c>
      <c r="D1795" s="2">
        <v>277.69200000000001</v>
      </c>
      <c r="E1795" s="2">
        <v>8.1940000000000008</v>
      </c>
      <c r="F1795" s="2">
        <v>268.82600000000002</v>
      </c>
      <c r="G1795" s="2">
        <v>276.97899999999998</v>
      </c>
      <c r="H1795" s="2">
        <v>8.1530000000000005</v>
      </c>
      <c r="I1795" s="2">
        <v>266.798</v>
      </c>
      <c r="J1795" s="2">
        <v>267.19400000000002</v>
      </c>
      <c r="K1795" s="15">
        <v>9.7850000000000001</v>
      </c>
      <c r="L1795" s="2">
        <v>105.60899999999999</v>
      </c>
      <c r="N1795" s="7">
        <f t="shared" si="229"/>
        <v>200.30000000004657</v>
      </c>
      <c r="O1795" s="1">
        <f t="shared" si="230"/>
        <v>131</v>
      </c>
      <c r="P1795" s="1" t="str">
        <f t="shared" ref="P1795:P1862" si="232">CONCATENATE(N1795,",",O1795)</f>
        <v>200.300000000047,131</v>
      </c>
      <c r="Q1795" s="6" t="s">
        <v>10</v>
      </c>
      <c r="R1795" s="1">
        <v>90</v>
      </c>
      <c r="S1795" s="1">
        <v>2.5</v>
      </c>
      <c r="T1795" s="1" t="str">
        <f t="shared" si="231"/>
        <v>-text 200.300000000047,131 2.5 90 267.194</v>
      </c>
    </row>
    <row r="1796" spans="1:20" x14ac:dyDescent="0.35">
      <c r="A1796" s="1">
        <v>286700</v>
      </c>
      <c r="B1796" s="7">
        <v>1176170.6000000001</v>
      </c>
      <c r="C1796" s="2">
        <v>269.55099999999999</v>
      </c>
      <c r="D1796" s="2">
        <v>277.68599999999998</v>
      </c>
      <c r="E1796" s="2">
        <v>8.1349999999999998</v>
      </c>
      <c r="F1796" s="2">
        <v>268.87900000000002</v>
      </c>
      <c r="G1796" s="2">
        <v>276.97300000000001</v>
      </c>
      <c r="H1796" s="2">
        <v>8.0939999999999994</v>
      </c>
      <c r="I1796" s="2">
        <v>266.60899999999998</v>
      </c>
      <c r="J1796" s="2">
        <v>266.85300000000001</v>
      </c>
      <c r="K1796" s="15">
        <v>10.119</v>
      </c>
      <c r="L1796" s="2">
        <v>112.393</v>
      </c>
      <c r="N1796" s="7">
        <f t="shared" si="229"/>
        <v>221.4000000001397</v>
      </c>
      <c r="O1796" s="1">
        <f t="shared" si="230"/>
        <v>131</v>
      </c>
      <c r="P1796" s="1" t="str">
        <f t="shared" si="232"/>
        <v>221.40000000014,131</v>
      </c>
      <c r="Q1796" s="6" t="s">
        <v>10</v>
      </c>
      <c r="R1796" s="1">
        <v>90</v>
      </c>
      <c r="S1796" s="1">
        <v>2.5</v>
      </c>
      <c r="T1796" s="1" t="str">
        <f t="shared" si="231"/>
        <v>-text 221.40000000014,131 2.5 90 266.853</v>
      </c>
    </row>
    <row r="1797" spans="1:20" x14ac:dyDescent="0.35">
      <c r="A1797" s="1">
        <v>286720</v>
      </c>
      <c r="B1797" s="7">
        <v>1176190.5</v>
      </c>
      <c r="C1797" s="2">
        <v>269.58699999999999</v>
      </c>
      <c r="D1797" s="2">
        <v>277.60700000000003</v>
      </c>
      <c r="E1797" s="2">
        <v>8.0210000000000008</v>
      </c>
      <c r="F1797" s="2">
        <v>268.91500000000002</v>
      </c>
      <c r="G1797" s="2">
        <v>276.89400000000001</v>
      </c>
      <c r="H1797" s="2">
        <v>7.98</v>
      </c>
      <c r="I1797" s="2">
        <v>266.58999999999997</v>
      </c>
      <c r="J1797" s="2">
        <v>266.83499999999998</v>
      </c>
      <c r="K1797" s="15">
        <v>10.06</v>
      </c>
      <c r="L1797" s="2">
        <v>118.123</v>
      </c>
      <c r="N1797" s="7">
        <f t="shared" si="229"/>
        <v>241.30000000004657</v>
      </c>
      <c r="O1797" s="1">
        <f t="shared" si="230"/>
        <v>131</v>
      </c>
      <c r="P1797" s="1" t="str">
        <f t="shared" si="232"/>
        <v>241.300000000047,131</v>
      </c>
      <c r="Q1797" s="6" t="s">
        <v>10</v>
      </c>
      <c r="R1797" s="1">
        <v>90</v>
      </c>
      <c r="S1797" s="1">
        <v>2.5</v>
      </c>
      <c r="T1797" s="1" t="str">
        <f t="shared" si="231"/>
        <v>-text 241.300000000047,131 2.5 90 266.835</v>
      </c>
    </row>
    <row r="1798" spans="1:20" x14ac:dyDescent="0.35">
      <c r="A1798" s="1">
        <v>286740</v>
      </c>
      <c r="B1798" s="7">
        <v>1176210.5</v>
      </c>
      <c r="C1798" s="2">
        <v>269.61500000000001</v>
      </c>
      <c r="D1798" s="2">
        <v>277.52800000000002</v>
      </c>
      <c r="E1798" s="2">
        <v>7.9139999999999997</v>
      </c>
      <c r="F1798" s="2">
        <v>268.94299999999998</v>
      </c>
      <c r="G1798" s="2">
        <v>276.815</v>
      </c>
      <c r="H1798" s="2">
        <v>7.8730000000000002</v>
      </c>
      <c r="I1798" s="2">
        <v>266.61500000000001</v>
      </c>
      <c r="J1798" s="2">
        <v>267.005</v>
      </c>
      <c r="K1798" s="15">
        <v>9.8109999999999999</v>
      </c>
      <c r="L1798" s="2">
        <v>123.217</v>
      </c>
      <c r="N1798" s="7">
        <f t="shared" si="229"/>
        <v>261.30000000004657</v>
      </c>
      <c r="O1798" s="1">
        <f t="shared" si="230"/>
        <v>131</v>
      </c>
      <c r="P1798" s="1" t="str">
        <f t="shared" si="232"/>
        <v>261.300000000047,131</v>
      </c>
      <c r="Q1798" s="6" t="s">
        <v>10</v>
      </c>
      <c r="R1798" s="1">
        <v>90</v>
      </c>
      <c r="S1798" s="1">
        <v>2.5</v>
      </c>
      <c r="T1798" s="1" t="str">
        <f t="shared" si="231"/>
        <v>-text 261.300000000047,131 2.5 90 267.005</v>
      </c>
    </row>
    <row r="1799" spans="1:20" x14ac:dyDescent="0.35">
      <c r="A1799" s="1">
        <v>286760</v>
      </c>
      <c r="B1799" s="7">
        <v>1176229.8999999999</v>
      </c>
      <c r="C1799" s="2">
        <v>269.661</v>
      </c>
      <c r="D1799" s="2">
        <v>277.452</v>
      </c>
      <c r="E1799" s="2">
        <v>7.7910000000000004</v>
      </c>
      <c r="F1799" s="2">
        <v>268.98899999999998</v>
      </c>
      <c r="G1799" s="2">
        <v>276.73899999999998</v>
      </c>
      <c r="H1799" s="2">
        <v>7.75</v>
      </c>
      <c r="I1799" s="2">
        <v>266.62299999999999</v>
      </c>
      <c r="J1799" s="2">
        <v>266.56400000000002</v>
      </c>
      <c r="K1799" s="15">
        <v>10.175000000000001</v>
      </c>
      <c r="L1799" s="2">
        <v>127.46899999999999</v>
      </c>
      <c r="N1799" s="7">
        <f t="shared" si="229"/>
        <v>280.69999999995343</v>
      </c>
      <c r="O1799" s="1">
        <f t="shared" si="230"/>
        <v>131</v>
      </c>
      <c r="P1799" s="1" t="str">
        <f t="shared" si="232"/>
        <v>280.699999999953,131</v>
      </c>
      <c r="Q1799" s="6" t="s">
        <v>10</v>
      </c>
      <c r="R1799" s="1">
        <v>90</v>
      </c>
      <c r="S1799" s="1">
        <v>2.5</v>
      </c>
      <c r="T1799" s="1" t="str">
        <f t="shared" si="231"/>
        <v>-text 280.699999999953,131 2.5 90 266.564</v>
      </c>
    </row>
    <row r="1800" spans="1:20" x14ac:dyDescent="0.35">
      <c r="A1800" s="1">
        <v>286780</v>
      </c>
      <c r="B1800" s="7">
        <v>1176249.3999999999</v>
      </c>
      <c r="C1800" s="2">
        <v>269.73200000000003</v>
      </c>
      <c r="D1800" s="2">
        <v>277.375</v>
      </c>
      <c r="E1800" s="2">
        <v>7.6429999999999998</v>
      </c>
      <c r="F1800" s="2">
        <v>269.06</v>
      </c>
      <c r="G1800" s="2">
        <v>276.66199999999998</v>
      </c>
      <c r="H1800" s="2">
        <v>7.6020000000000003</v>
      </c>
      <c r="I1800" s="2">
        <v>266.71800000000002</v>
      </c>
      <c r="J1800" s="2">
        <v>266.60700000000003</v>
      </c>
      <c r="K1800" s="15">
        <v>10.055</v>
      </c>
      <c r="L1800" s="2">
        <v>131.10599999999999</v>
      </c>
      <c r="N1800" s="7">
        <f t="shared" si="229"/>
        <v>300.19999999995343</v>
      </c>
      <c r="O1800" s="1">
        <f t="shared" si="230"/>
        <v>131</v>
      </c>
      <c r="P1800" s="1" t="str">
        <f t="shared" si="232"/>
        <v>300.199999999953,131</v>
      </c>
      <c r="Q1800" s="6" t="s">
        <v>10</v>
      </c>
      <c r="R1800" s="1">
        <v>90</v>
      </c>
      <c r="S1800" s="1">
        <v>2.5</v>
      </c>
      <c r="T1800" s="1" t="str">
        <f t="shared" si="231"/>
        <v>-text 300.199999999953,131 2.5 90 266.607</v>
      </c>
    </row>
    <row r="1801" spans="1:20" x14ac:dyDescent="0.35">
      <c r="A1801" s="1">
        <v>286800</v>
      </c>
      <c r="B1801" s="7">
        <v>1176268.5</v>
      </c>
      <c r="C1801" s="2">
        <v>269.815</v>
      </c>
      <c r="D1801" s="2">
        <v>277.29899999999998</v>
      </c>
      <c r="E1801" s="2">
        <v>7.4850000000000003</v>
      </c>
      <c r="F1801" s="2">
        <v>269.14299999999997</v>
      </c>
      <c r="G1801" s="2">
        <v>276.58600000000001</v>
      </c>
      <c r="H1801" s="2">
        <v>7.444</v>
      </c>
      <c r="I1801" s="2">
        <v>266.92</v>
      </c>
      <c r="J1801" s="2">
        <v>266.63600000000002</v>
      </c>
      <c r="K1801" s="15">
        <v>9.9499999999999993</v>
      </c>
      <c r="L1801" s="2">
        <v>134.059</v>
      </c>
      <c r="N1801" s="7">
        <f t="shared" si="229"/>
        <v>319.30000000004657</v>
      </c>
      <c r="O1801" s="1">
        <f t="shared" si="230"/>
        <v>131</v>
      </c>
      <c r="P1801" s="1" t="str">
        <f t="shared" si="232"/>
        <v>319.300000000047,131</v>
      </c>
      <c r="Q1801" s="6" t="s">
        <v>10</v>
      </c>
      <c r="R1801" s="1">
        <v>90</v>
      </c>
      <c r="S1801" s="1">
        <v>2.5</v>
      </c>
      <c r="T1801" s="1" t="str">
        <f t="shared" si="231"/>
        <v>-text 319.300000000047,131 2.5 90 266.636</v>
      </c>
    </row>
    <row r="1802" spans="1:20" x14ac:dyDescent="0.35">
      <c r="A1802" s="1">
        <v>286820</v>
      </c>
      <c r="B1802" s="7">
        <v>1176288.7</v>
      </c>
      <c r="C1802" s="2">
        <v>269.88299999999998</v>
      </c>
      <c r="D1802" s="2">
        <v>277.22000000000003</v>
      </c>
      <c r="E1802" s="2">
        <v>7.3369999999999997</v>
      </c>
      <c r="F1802" s="2">
        <v>269.21100000000001</v>
      </c>
      <c r="G1802" s="2">
        <v>276.50700000000001</v>
      </c>
      <c r="H1802" s="2">
        <v>7.2960000000000003</v>
      </c>
      <c r="I1802" s="2">
        <v>266.84800000000001</v>
      </c>
      <c r="J1802" s="2">
        <v>266.65199999999999</v>
      </c>
      <c r="K1802" s="15">
        <v>9.8550000000000004</v>
      </c>
      <c r="L1802" s="2">
        <v>136.482</v>
      </c>
      <c r="N1802" s="7">
        <f t="shared" si="229"/>
        <v>339.5</v>
      </c>
      <c r="O1802" s="1">
        <f t="shared" si="230"/>
        <v>131</v>
      </c>
      <c r="P1802" s="1" t="str">
        <f t="shared" si="232"/>
        <v>339.5,131</v>
      </c>
      <c r="Q1802" s="6" t="s">
        <v>10</v>
      </c>
      <c r="R1802" s="1">
        <v>90</v>
      </c>
      <c r="S1802" s="1">
        <v>2.5</v>
      </c>
      <c r="T1802" s="1" t="str">
        <f t="shared" si="231"/>
        <v>-text 339.5,131 2.5 90 266.652</v>
      </c>
    </row>
    <row r="1803" spans="1:20" x14ac:dyDescent="0.35">
      <c r="A1803" s="1">
        <v>286840</v>
      </c>
      <c r="B1803" s="7">
        <v>1176308.3999999999</v>
      </c>
      <c r="C1803" s="2">
        <v>269.94400000000002</v>
      </c>
      <c r="D1803" s="2">
        <v>277.142</v>
      </c>
      <c r="E1803" s="2">
        <v>7.1980000000000004</v>
      </c>
      <c r="F1803" s="2">
        <v>269.27199999999999</v>
      </c>
      <c r="G1803" s="2">
        <v>276.42899999999997</v>
      </c>
      <c r="H1803" s="2">
        <v>7.157</v>
      </c>
      <c r="I1803" s="2">
        <v>266.85300000000001</v>
      </c>
      <c r="J1803" s="2">
        <v>266.68299999999999</v>
      </c>
      <c r="K1803" s="15">
        <v>9.7460000000000004</v>
      </c>
      <c r="L1803" s="2">
        <v>138.23699999999999</v>
      </c>
      <c r="N1803" s="7">
        <f t="shared" si="229"/>
        <v>359.19999999995343</v>
      </c>
      <c r="O1803" s="1">
        <f t="shared" si="230"/>
        <v>131</v>
      </c>
      <c r="P1803" s="1" t="str">
        <f t="shared" si="232"/>
        <v>359.199999999953,131</v>
      </c>
      <c r="Q1803" s="6" t="s">
        <v>10</v>
      </c>
      <c r="R1803" s="1">
        <v>90</v>
      </c>
      <c r="S1803" s="1">
        <v>2.5</v>
      </c>
      <c r="T1803" s="1" t="str">
        <f t="shared" si="231"/>
        <v>-text 359.199999999953,131 2.5 90 266.683</v>
      </c>
    </row>
    <row r="1804" spans="1:20" x14ac:dyDescent="0.35">
      <c r="A1804" s="1">
        <v>286860</v>
      </c>
      <c r="B1804" s="7">
        <v>1176327.2</v>
      </c>
      <c r="C1804" s="2">
        <v>270.05500000000001</v>
      </c>
      <c r="D1804" s="2">
        <v>277.06799999999998</v>
      </c>
      <c r="E1804" s="2">
        <v>7.0119999999999996</v>
      </c>
      <c r="F1804" s="2">
        <v>269.38299999999998</v>
      </c>
      <c r="G1804" s="2">
        <v>276.35500000000002</v>
      </c>
      <c r="H1804" s="2">
        <v>6.9710000000000001</v>
      </c>
      <c r="I1804" s="2">
        <v>266.80799999999999</v>
      </c>
      <c r="J1804" s="2">
        <v>266.70400000000001</v>
      </c>
      <c r="K1804" s="15">
        <v>9.6509999999999998</v>
      </c>
      <c r="L1804" s="2">
        <v>139.256</v>
      </c>
      <c r="N1804" s="7">
        <f t="shared" si="229"/>
        <v>378</v>
      </c>
      <c r="O1804" s="1">
        <f t="shared" si="230"/>
        <v>131</v>
      </c>
      <c r="P1804" s="1" t="str">
        <f t="shared" si="232"/>
        <v>378,131</v>
      </c>
      <c r="Q1804" s="6" t="s">
        <v>10</v>
      </c>
      <c r="R1804" s="1">
        <v>90</v>
      </c>
      <c r="S1804" s="1">
        <v>2.5</v>
      </c>
      <c r="T1804" s="1" t="str">
        <f t="shared" si="231"/>
        <v>-text 378,131 2.5 90 266.704</v>
      </c>
    </row>
    <row r="1805" spans="1:20" x14ac:dyDescent="0.35">
      <c r="A1805" s="1">
        <v>286880</v>
      </c>
      <c r="B1805" s="7">
        <v>1176346.8</v>
      </c>
      <c r="C1805" s="2">
        <v>270.108</v>
      </c>
      <c r="D1805" s="2">
        <v>276.99099999999999</v>
      </c>
      <c r="E1805" s="2">
        <v>6.8819999999999997</v>
      </c>
      <c r="F1805" s="2">
        <v>269.43599999999998</v>
      </c>
      <c r="G1805" s="2">
        <v>276.27800000000002</v>
      </c>
      <c r="H1805" s="2">
        <v>6.8410000000000002</v>
      </c>
      <c r="I1805" s="2">
        <v>266.71300000000002</v>
      </c>
      <c r="J1805" s="2">
        <v>266.74200000000002</v>
      </c>
      <c r="K1805" s="15">
        <v>9.5359999999999996</v>
      </c>
      <c r="L1805" s="2">
        <v>139.70699999999999</v>
      </c>
      <c r="N1805" s="7">
        <f t="shared" si="229"/>
        <v>397.60000000009313</v>
      </c>
      <c r="O1805" s="1">
        <f t="shared" si="230"/>
        <v>131</v>
      </c>
      <c r="P1805" s="1" t="str">
        <f t="shared" si="232"/>
        <v>397.600000000093,131</v>
      </c>
      <c r="Q1805" s="6" t="s">
        <v>10</v>
      </c>
      <c r="R1805" s="1">
        <v>90</v>
      </c>
      <c r="S1805" s="1">
        <v>2.5</v>
      </c>
      <c r="T1805" s="1" t="str">
        <f t="shared" si="231"/>
        <v>-text 397.600000000093,131 2.5 90 266.742</v>
      </c>
    </row>
    <row r="1806" spans="1:20" x14ac:dyDescent="0.35">
      <c r="A1806" s="1">
        <v>286900</v>
      </c>
      <c r="B1806" s="7">
        <v>1176366.8</v>
      </c>
      <c r="C1806" s="2">
        <v>270.15199999999999</v>
      </c>
      <c r="D1806" s="2">
        <v>276.91199999999998</v>
      </c>
      <c r="E1806" s="2">
        <v>6.7590000000000003</v>
      </c>
      <c r="F1806" s="2">
        <v>269.48</v>
      </c>
      <c r="G1806" s="2">
        <v>276.19900000000001</v>
      </c>
      <c r="H1806" s="2">
        <v>6.718</v>
      </c>
      <c r="I1806" s="2">
        <v>266.733</v>
      </c>
      <c r="J1806" s="2">
        <v>267.13400000000001</v>
      </c>
      <c r="K1806" s="15">
        <v>9.0649999999999995</v>
      </c>
      <c r="L1806" s="2">
        <v>139.595</v>
      </c>
      <c r="N1806" s="7">
        <f t="shared" si="229"/>
        <v>417.60000000009313</v>
      </c>
      <c r="O1806" s="1">
        <f t="shared" si="230"/>
        <v>131</v>
      </c>
      <c r="P1806" s="1" t="str">
        <f t="shared" si="232"/>
        <v>417.600000000093,131</v>
      </c>
      <c r="Q1806" s="6" t="s">
        <v>10</v>
      </c>
      <c r="R1806" s="1">
        <v>90</v>
      </c>
      <c r="S1806" s="1">
        <v>2.5</v>
      </c>
      <c r="T1806" s="1" t="str">
        <f t="shared" si="231"/>
        <v>-text 417.600000000093,131 2.5 90 267.134</v>
      </c>
    </row>
    <row r="1807" spans="1:20" x14ac:dyDescent="0.35">
      <c r="A1807" s="1">
        <v>286920</v>
      </c>
      <c r="B1807" s="7">
        <v>1176386.7</v>
      </c>
      <c r="C1807" s="2">
        <v>270.23</v>
      </c>
      <c r="D1807" s="2">
        <v>276.83300000000003</v>
      </c>
      <c r="E1807" s="2">
        <v>6.6029999999999998</v>
      </c>
      <c r="F1807" s="2">
        <v>269.55799999999999</v>
      </c>
      <c r="G1807" s="2">
        <v>276.12</v>
      </c>
      <c r="H1807" s="2">
        <v>6.5620000000000003</v>
      </c>
      <c r="I1807" s="2">
        <v>267.101</v>
      </c>
      <c r="J1807" s="2">
        <v>267.41800000000001</v>
      </c>
      <c r="K1807" s="15">
        <v>8.702</v>
      </c>
      <c r="L1807" s="2">
        <v>138.90700000000001</v>
      </c>
      <c r="N1807" s="7">
        <f t="shared" si="229"/>
        <v>437.5</v>
      </c>
      <c r="O1807" s="1">
        <f t="shared" si="230"/>
        <v>131</v>
      </c>
      <c r="P1807" s="1" t="str">
        <f t="shared" si="232"/>
        <v>437.5,131</v>
      </c>
      <c r="Q1807" s="6" t="s">
        <v>10</v>
      </c>
      <c r="R1807" s="1">
        <v>90</v>
      </c>
      <c r="S1807" s="1">
        <v>2.5</v>
      </c>
      <c r="T1807" s="1" t="str">
        <f t="shared" si="231"/>
        <v>-text 437.5,131 2.5 90 267.418</v>
      </c>
    </row>
    <row r="1808" spans="1:20" x14ac:dyDescent="0.35">
      <c r="A1808" s="1">
        <v>286940</v>
      </c>
      <c r="B1808" s="7">
        <v>1176406.7</v>
      </c>
      <c r="C1808" s="2">
        <v>270.31799999999998</v>
      </c>
      <c r="D1808" s="2">
        <v>276.75400000000002</v>
      </c>
      <c r="E1808" s="2">
        <v>6.4359999999999999</v>
      </c>
      <c r="F1808" s="2">
        <v>269.64600000000002</v>
      </c>
      <c r="G1808" s="2">
        <v>276.041</v>
      </c>
      <c r="H1808" s="2">
        <v>6.3949999999999996</v>
      </c>
      <c r="I1808" s="2">
        <v>267.447</v>
      </c>
      <c r="J1808" s="2">
        <v>267.36099999999999</v>
      </c>
      <c r="K1808" s="15">
        <v>8.68</v>
      </c>
      <c r="L1808" s="2">
        <v>137.65299999999999</v>
      </c>
      <c r="N1808" s="7">
        <f t="shared" si="229"/>
        <v>457.5</v>
      </c>
      <c r="O1808" s="1">
        <f t="shared" si="230"/>
        <v>131</v>
      </c>
      <c r="P1808" s="1" t="str">
        <f t="shared" si="232"/>
        <v>457.5,131</v>
      </c>
      <c r="Q1808" s="6" t="s">
        <v>10</v>
      </c>
      <c r="R1808" s="1">
        <v>90</v>
      </c>
      <c r="S1808" s="1">
        <v>2.5</v>
      </c>
      <c r="T1808" s="1" t="str">
        <f t="shared" si="231"/>
        <v>-text 457.5,131 2.5 90 267.361</v>
      </c>
    </row>
    <row r="1809" spans="1:20" x14ac:dyDescent="0.35">
      <c r="A1809" s="1">
        <v>286960</v>
      </c>
      <c r="B1809" s="7">
        <v>1176426.8</v>
      </c>
      <c r="C1809" s="2">
        <v>270.39800000000002</v>
      </c>
      <c r="D1809" s="2">
        <v>276.67500000000001</v>
      </c>
      <c r="E1809" s="2">
        <v>6.2770000000000001</v>
      </c>
      <c r="F1809" s="2">
        <v>269.726</v>
      </c>
      <c r="G1809" s="2">
        <v>275.96199999999999</v>
      </c>
      <c r="H1809" s="2">
        <v>6.2359999999999998</v>
      </c>
      <c r="I1809" s="2">
        <v>266.82400000000001</v>
      </c>
      <c r="J1809" s="2">
        <v>266.99799999999999</v>
      </c>
      <c r="K1809" s="15">
        <v>8.9640000000000004</v>
      </c>
      <c r="L1809" s="2">
        <v>135.941</v>
      </c>
      <c r="N1809" s="7">
        <f t="shared" si="229"/>
        <v>477.60000000009313</v>
      </c>
      <c r="O1809" s="1">
        <f t="shared" si="230"/>
        <v>131</v>
      </c>
      <c r="P1809" s="1" t="str">
        <f t="shared" si="232"/>
        <v>477.600000000093,131</v>
      </c>
      <c r="Q1809" s="6" t="s">
        <v>10</v>
      </c>
      <c r="R1809" s="1">
        <v>90</v>
      </c>
      <c r="S1809" s="1">
        <v>2.5</v>
      </c>
      <c r="T1809" s="1" t="str">
        <f t="shared" si="231"/>
        <v>-text 477.600000000093,131 2.5 90 266.998</v>
      </c>
    </row>
    <row r="1810" spans="1:20" x14ac:dyDescent="0.35">
      <c r="A1810" s="1">
        <v>286980</v>
      </c>
      <c r="B1810" s="7">
        <v>1176446.8999999999</v>
      </c>
      <c r="C1810" s="2">
        <v>270.476</v>
      </c>
      <c r="D1810" s="2">
        <v>276.59500000000003</v>
      </c>
      <c r="E1810" s="2">
        <v>6.1189999999999998</v>
      </c>
      <c r="F1810" s="2">
        <v>269.80399999999997</v>
      </c>
      <c r="G1810" s="2">
        <v>275.88200000000001</v>
      </c>
      <c r="H1810" s="2">
        <v>6.0780000000000003</v>
      </c>
      <c r="I1810" s="2">
        <v>266.78699999999998</v>
      </c>
      <c r="J1810" s="2">
        <v>266.87400000000002</v>
      </c>
      <c r="K1810" s="15">
        <v>9.0090000000000003</v>
      </c>
      <c r="L1810" s="2">
        <v>133.916</v>
      </c>
      <c r="N1810" s="7">
        <f t="shared" si="229"/>
        <v>497.69999999995343</v>
      </c>
      <c r="O1810" s="1">
        <f t="shared" si="230"/>
        <v>131</v>
      </c>
      <c r="P1810" s="1" t="str">
        <f t="shared" si="232"/>
        <v>497.699999999953,131</v>
      </c>
      <c r="Q1810" s="6" t="s">
        <v>10</v>
      </c>
      <c r="R1810" s="1">
        <v>90</v>
      </c>
      <c r="S1810" s="1">
        <v>2.5</v>
      </c>
      <c r="T1810" s="1" t="str">
        <f t="shared" si="231"/>
        <v>-text 497.699999999953,131 2.5 90 266.874</v>
      </c>
    </row>
    <row r="1811" spans="1:20" x14ac:dyDescent="0.35">
      <c r="A1811" s="1">
        <v>287000</v>
      </c>
      <c r="B1811" s="7">
        <v>1176466.8999999999</v>
      </c>
      <c r="C1811" s="2">
        <v>270.53300000000002</v>
      </c>
      <c r="D1811" s="2">
        <v>276.517</v>
      </c>
      <c r="E1811" s="2">
        <v>5.984</v>
      </c>
      <c r="F1811" s="2">
        <v>269.86099999999999</v>
      </c>
      <c r="G1811" s="2">
        <v>275.80399999999997</v>
      </c>
      <c r="H1811" s="2">
        <v>5.9429999999999996</v>
      </c>
      <c r="I1811" s="2">
        <v>266.85399999999998</v>
      </c>
      <c r="J1811" s="2">
        <v>266.75200000000001</v>
      </c>
      <c r="K1811" s="15">
        <v>9.0519999999999996</v>
      </c>
      <c r="L1811" s="2">
        <v>131.72</v>
      </c>
      <c r="N1811" s="7">
        <f>N1808+(B1811-B1808)</f>
        <v>517.69999999995343</v>
      </c>
      <c r="O1811" s="1">
        <f t="shared" si="230"/>
        <v>131</v>
      </c>
      <c r="P1811" s="1" t="str">
        <f t="shared" ref="P1811" si="233">CONCATENATE(N1811,",",O1811)</f>
        <v>517.699999999953,131</v>
      </c>
      <c r="Q1811" s="6" t="s">
        <v>10</v>
      </c>
      <c r="R1811" s="1">
        <v>90</v>
      </c>
      <c r="S1811" s="1">
        <v>2.5</v>
      </c>
      <c r="T1811" s="1" t="str">
        <f t="shared" si="231"/>
        <v>-text 517.699999999953,131 2.5 90 266.752</v>
      </c>
    </row>
    <row r="1812" spans="1:20" s="10" customFormat="1" x14ac:dyDescent="0.35">
      <c r="B1812" s="11"/>
      <c r="C1812" s="9"/>
      <c r="D1812" s="9"/>
      <c r="E1812" s="9"/>
      <c r="F1812" s="9"/>
      <c r="G1812" s="9"/>
      <c r="H1812" s="9"/>
      <c r="I1812" s="9"/>
      <c r="J1812" s="9"/>
      <c r="K1812" s="16"/>
      <c r="L1812" s="9"/>
      <c r="M1812" s="9"/>
      <c r="N1812" s="11"/>
      <c r="Q1812" s="12"/>
    </row>
    <row r="1813" spans="1:20" x14ac:dyDescent="0.35">
      <c r="A1813" s="1">
        <v>287000</v>
      </c>
      <c r="B1813" s="7">
        <v>1176466.8999999999</v>
      </c>
      <c r="C1813" s="2">
        <v>270.53300000000002</v>
      </c>
      <c r="D1813" s="2">
        <v>276.517</v>
      </c>
      <c r="E1813" s="2">
        <v>5.984</v>
      </c>
      <c r="F1813" s="2">
        <v>269.86099999999999</v>
      </c>
      <c r="G1813" s="2">
        <v>275.80399999999997</v>
      </c>
      <c r="H1813" s="2">
        <v>5.9429999999999996</v>
      </c>
      <c r="I1813" s="2">
        <v>266.85399999999998</v>
      </c>
      <c r="J1813" s="2">
        <v>266.75200000000001</v>
      </c>
      <c r="K1813" s="15">
        <v>9.0519999999999996</v>
      </c>
      <c r="L1813" s="2">
        <v>131.72</v>
      </c>
      <c r="N1813" s="7">
        <v>0</v>
      </c>
      <c r="O1813" s="1">
        <f t="shared" si="230"/>
        <v>131</v>
      </c>
      <c r="P1813" s="1" t="str">
        <f t="shared" si="232"/>
        <v>0,131</v>
      </c>
      <c r="Q1813" s="6" t="s">
        <v>10</v>
      </c>
      <c r="R1813" s="1">
        <v>90</v>
      </c>
      <c r="S1813" s="1">
        <v>2.5</v>
      </c>
      <c r="T1813" s="1" t="str">
        <f t="shared" si="231"/>
        <v>-text 0,131 2.5 90 266.752</v>
      </c>
    </row>
    <row r="1814" spans="1:20" x14ac:dyDescent="0.35">
      <c r="A1814" s="1">
        <v>287020</v>
      </c>
      <c r="B1814" s="7">
        <v>1176487</v>
      </c>
      <c r="C1814" s="2">
        <v>270.58199999999999</v>
      </c>
      <c r="D1814" s="2">
        <v>276.43700000000001</v>
      </c>
      <c r="E1814" s="2">
        <v>5.8559999999999999</v>
      </c>
      <c r="F1814" s="2">
        <v>269.91000000000003</v>
      </c>
      <c r="G1814" s="2">
        <v>275.72399999999999</v>
      </c>
      <c r="H1814" s="2">
        <v>5.8150000000000004</v>
      </c>
      <c r="I1814" s="2">
        <v>266.91399999999999</v>
      </c>
      <c r="J1814" s="2">
        <v>266.80099999999999</v>
      </c>
      <c r="K1814" s="15">
        <v>8.9239999999999995</v>
      </c>
      <c r="L1814" s="2">
        <v>129.45500000000001</v>
      </c>
      <c r="N1814" s="7">
        <f t="shared" ref="N1814:N1837" si="234">N1813+(B1814-B1813)</f>
        <v>20.100000000093132</v>
      </c>
      <c r="O1814" s="1">
        <f t="shared" si="230"/>
        <v>131</v>
      </c>
      <c r="P1814" s="1" t="str">
        <f t="shared" si="232"/>
        <v>20.1000000000931,131</v>
      </c>
      <c r="Q1814" s="6" t="s">
        <v>10</v>
      </c>
      <c r="R1814" s="1">
        <v>90</v>
      </c>
      <c r="S1814" s="1">
        <v>2.5</v>
      </c>
      <c r="T1814" s="1" t="str">
        <f t="shared" si="231"/>
        <v>-text 20.1000000000931,131 2.5 90 266.801</v>
      </c>
    </row>
    <row r="1815" spans="1:20" x14ac:dyDescent="0.35">
      <c r="A1815" s="1">
        <v>287040</v>
      </c>
      <c r="B1815" s="7">
        <v>1176507.3</v>
      </c>
      <c r="C1815" s="2">
        <v>270.64</v>
      </c>
      <c r="D1815" s="2">
        <v>276.358</v>
      </c>
      <c r="E1815" s="2">
        <v>5.7169999999999996</v>
      </c>
      <c r="F1815" s="2">
        <v>269.96800000000002</v>
      </c>
      <c r="G1815" s="2">
        <v>275.64499999999998</v>
      </c>
      <c r="H1815" s="2">
        <v>5.6760000000000002</v>
      </c>
      <c r="I1815" s="2">
        <v>266.93</v>
      </c>
      <c r="J1815" s="2">
        <v>266.90699999999998</v>
      </c>
      <c r="K1815" s="15">
        <v>8.7370000000000001</v>
      </c>
      <c r="L1815" s="2">
        <v>127.184</v>
      </c>
      <c r="N1815" s="7">
        <f t="shared" si="234"/>
        <v>40.400000000139698</v>
      </c>
      <c r="O1815" s="1">
        <f t="shared" si="230"/>
        <v>131</v>
      </c>
      <c r="P1815" s="1" t="str">
        <f t="shared" si="232"/>
        <v>40.4000000001397,131</v>
      </c>
      <c r="Q1815" s="6" t="s">
        <v>10</v>
      </c>
      <c r="R1815" s="1">
        <v>90</v>
      </c>
      <c r="S1815" s="1">
        <v>2.5</v>
      </c>
      <c r="T1815" s="1" t="str">
        <f t="shared" si="231"/>
        <v>-text 40.4000000001397,131 2.5 90 266.907</v>
      </c>
    </row>
    <row r="1816" spans="1:20" x14ac:dyDescent="0.35">
      <c r="A1816" s="1">
        <v>287060</v>
      </c>
      <c r="B1816" s="7">
        <v>1176527.3999999999</v>
      </c>
      <c r="C1816" s="2">
        <v>270.71199999999999</v>
      </c>
      <c r="D1816" s="2">
        <v>276.27800000000002</v>
      </c>
      <c r="E1816" s="2">
        <v>5.5659999999999998</v>
      </c>
      <c r="F1816" s="2">
        <v>270.04000000000002</v>
      </c>
      <c r="G1816" s="2">
        <v>275.565</v>
      </c>
      <c r="H1816" s="2">
        <v>5.5250000000000004</v>
      </c>
      <c r="I1816" s="2">
        <v>266.94</v>
      </c>
      <c r="J1816" s="2">
        <v>266.90300000000002</v>
      </c>
      <c r="K1816" s="15">
        <v>8.6620000000000008</v>
      </c>
      <c r="L1816" s="2">
        <v>124.94</v>
      </c>
      <c r="N1816" s="7">
        <f t="shared" si="234"/>
        <v>60.5</v>
      </c>
      <c r="O1816" s="1">
        <f t="shared" si="230"/>
        <v>131</v>
      </c>
      <c r="P1816" s="1" t="str">
        <f t="shared" si="232"/>
        <v>60.5,131</v>
      </c>
      <c r="Q1816" s="6" t="s">
        <v>10</v>
      </c>
      <c r="R1816" s="1">
        <v>90</v>
      </c>
      <c r="S1816" s="1">
        <v>2.5</v>
      </c>
      <c r="T1816" s="1" t="str">
        <f t="shared" si="231"/>
        <v>-text 60.5,131 2.5 90 266.903</v>
      </c>
    </row>
    <row r="1817" spans="1:20" x14ac:dyDescent="0.35">
      <c r="A1817" s="1">
        <v>287080</v>
      </c>
      <c r="B1817" s="7">
        <v>1176547.3999999999</v>
      </c>
      <c r="C1817" s="2">
        <v>270.779</v>
      </c>
      <c r="D1817" s="2">
        <v>276.19900000000001</v>
      </c>
      <c r="E1817" s="2">
        <v>5.42</v>
      </c>
      <c r="F1817" s="2">
        <v>270.10700000000003</v>
      </c>
      <c r="G1817" s="2">
        <v>275.48599999999999</v>
      </c>
      <c r="H1817" s="2">
        <v>5.3789999999999996</v>
      </c>
      <c r="I1817" s="2">
        <v>266.94400000000002</v>
      </c>
      <c r="J1817" s="2">
        <v>266.875</v>
      </c>
      <c r="K1817" s="15">
        <v>8.6110000000000007</v>
      </c>
      <c r="L1817" s="2">
        <v>122.7</v>
      </c>
      <c r="N1817" s="7">
        <f t="shared" si="234"/>
        <v>80.5</v>
      </c>
      <c r="O1817" s="1">
        <f t="shared" si="230"/>
        <v>131</v>
      </c>
      <c r="P1817" s="1" t="str">
        <f t="shared" si="232"/>
        <v>80.5,131</v>
      </c>
      <c r="Q1817" s="6" t="s">
        <v>10</v>
      </c>
      <c r="R1817" s="1">
        <v>90</v>
      </c>
      <c r="S1817" s="1">
        <v>2.5</v>
      </c>
      <c r="T1817" s="1" t="str">
        <f t="shared" si="231"/>
        <v>-text 80.5,131 2.5 90 266.875</v>
      </c>
    </row>
    <row r="1818" spans="1:20" x14ac:dyDescent="0.35">
      <c r="A1818" s="1">
        <v>287100</v>
      </c>
      <c r="B1818" s="7">
        <v>1176567.6000000001</v>
      </c>
      <c r="C1818" s="2">
        <v>270.834</v>
      </c>
      <c r="D1818" s="2">
        <v>276.12</v>
      </c>
      <c r="E1818" s="2">
        <v>5.2859999999999996</v>
      </c>
      <c r="F1818" s="2">
        <v>270.16199999999998</v>
      </c>
      <c r="G1818" s="2">
        <v>275.40699999999998</v>
      </c>
      <c r="H1818" s="2">
        <v>5.2450000000000001</v>
      </c>
      <c r="I1818" s="2">
        <v>266.90800000000002</v>
      </c>
      <c r="J1818" s="2">
        <v>266.91699999999997</v>
      </c>
      <c r="K1818" s="15">
        <v>8.4890000000000008</v>
      </c>
      <c r="L1818" s="2">
        <v>120.44199999999999</v>
      </c>
      <c r="N1818" s="7">
        <f t="shared" si="234"/>
        <v>100.70000000018626</v>
      </c>
      <c r="O1818" s="1">
        <f t="shared" si="230"/>
        <v>131</v>
      </c>
      <c r="P1818" s="1" t="str">
        <f t="shared" si="232"/>
        <v>100.700000000186,131</v>
      </c>
      <c r="Q1818" s="6" t="s">
        <v>10</v>
      </c>
      <c r="R1818" s="1">
        <v>90</v>
      </c>
      <c r="S1818" s="1">
        <v>2.5</v>
      </c>
      <c r="T1818" s="1" t="str">
        <f t="shared" si="231"/>
        <v>-text 100.700000000186,131 2.5 90 266.917</v>
      </c>
    </row>
    <row r="1819" spans="1:20" x14ac:dyDescent="0.35">
      <c r="A1819" s="1">
        <v>287120</v>
      </c>
      <c r="B1819" s="7">
        <v>1176587.8</v>
      </c>
      <c r="C1819" s="2">
        <v>270.89499999999998</v>
      </c>
      <c r="D1819" s="2">
        <v>276.04000000000002</v>
      </c>
      <c r="E1819" s="2">
        <v>5.1449999999999996</v>
      </c>
      <c r="F1819" s="2">
        <v>270.22300000000001</v>
      </c>
      <c r="G1819" s="2">
        <v>275.327</v>
      </c>
      <c r="H1819" s="2">
        <v>5.1040000000000001</v>
      </c>
      <c r="I1819" s="2">
        <v>266.95499999999998</v>
      </c>
      <c r="J1819" s="2">
        <v>266.92599999999999</v>
      </c>
      <c r="K1819" s="15">
        <v>8.4009999999999998</v>
      </c>
      <c r="L1819" s="2">
        <v>118.179</v>
      </c>
      <c r="N1819" s="7">
        <f t="shared" si="234"/>
        <v>120.9000000001397</v>
      </c>
      <c r="O1819" s="1">
        <f t="shared" si="230"/>
        <v>131</v>
      </c>
      <c r="P1819" s="1" t="str">
        <f t="shared" si="232"/>
        <v>120.90000000014,131</v>
      </c>
      <c r="Q1819" s="6" t="s">
        <v>10</v>
      </c>
      <c r="R1819" s="1">
        <v>90</v>
      </c>
      <c r="S1819" s="1">
        <v>2.5</v>
      </c>
      <c r="T1819" s="1" t="str">
        <f t="shared" si="231"/>
        <v>-text 120.90000000014,131 2.5 90 266.926</v>
      </c>
    </row>
    <row r="1820" spans="1:20" x14ac:dyDescent="0.35">
      <c r="A1820" s="1">
        <v>287140</v>
      </c>
      <c r="B1820" s="7">
        <v>1176607.8999999999</v>
      </c>
      <c r="C1820" s="2">
        <v>270.96499999999997</v>
      </c>
      <c r="D1820" s="2">
        <v>275.95999999999998</v>
      </c>
      <c r="E1820" s="2">
        <v>4.9950000000000001</v>
      </c>
      <c r="F1820" s="2">
        <v>270.29300000000001</v>
      </c>
      <c r="G1820" s="2">
        <v>275.24700000000001</v>
      </c>
      <c r="H1820" s="2">
        <v>4.9539999999999997</v>
      </c>
      <c r="I1820" s="2">
        <v>267.49700000000001</v>
      </c>
      <c r="J1820" s="2">
        <v>267.06599999999997</v>
      </c>
      <c r="K1820" s="15">
        <v>8.1809999999999992</v>
      </c>
      <c r="L1820" s="2">
        <v>115.937</v>
      </c>
      <c r="N1820" s="7">
        <f t="shared" si="234"/>
        <v>141</v>
      </c>
      <c r="O1820" s="1">
        <f t="shared" si="230"/>
        <v>131</v>
      </c>
      <c r="P1820" s="1" t="str">
        <f t="shared" si="232"/>
        <v>141,131</v>
      </c>
      <c r="Q1820" s="6" t="s">
        <v>10</v>
      </c>
      <c r="R1820" s="1">
        <v>90</v>
      </c>
      <c r="S1820" s="1">
        <v>2.5</v>
      </c>
      <c r="T1820" s="1" t="str">
        <f t="shared" si="231"/>
        <v>-text 141,131 2.5 90 267.066</v>
      </c>
    </row>
    <row r="1821" spans="1:20" x14ac:dyDescent="0.35">
      <c r="A1821" s="1">
        <v>287160</v>
      </c>
      <c r="B1821" s="7">
        <v>1176628.1000000001</v>
      </c>
      <c r="C1821" s="2">
        <v>271.02999999999997</v>
      </c>
      <c r="D1821" s="2">
        <v>275.88099999999997</v>
      </c>
      <c r="E1821" s="2">
        <v>4.851</v>
      </c>
      <c r="F1821" s="2">
        <v>270.358</v>
      </c>
      <c r="G1821" s="2">
        <v>275.16800000000001</v>
      </c>
      <c r="H1821" s="2">
        <v>4.8099999999999996</v>
      </c>
      <c r="I1821" s="2">
        <v>267.07</v>
      </c>
      <c r="J1821" s="2">
        <v>267.04599999999999</v>
      </c>
      <c r="K1821" s="15">
        <v>8.1219999999999999</v>
      </c>
      <c r="L1821" s="2">
        <v>113.693</v>
      </c>
      <c r="N1821" s="7">
        <f t="shared" si="234"/>
        <v>161.20000000018626</v>
      </c>
      <c r="O1821" s="1">
        <f t="shared" si="230"/>
        <v>131</v>
      </c>
      <c r="P1821" s="1" t="str">
        <f t="shared" si="232"/>
        <v>161.200000000186,131</v>
      </c>
      <c r="Q1821" s="6" t="s">
        <v>10</v>
      </c>
      <c r="R1821" s="1">
        <v>90</v>
      </c>
      <c r="S1821" s="1">
        <v>2.5</v>
      </c>
      <c r="T1821" s="1" t="str">
        <f t="shared" si="231"/>
        <v>-text 161.200000000186,131 2.5 90 267.046</v>
      </c>
    </row>
    <row r="1822" spans="1:20" x14ac:dyDescent="0.35">
      <c r="A1822" s="1">
        <v>287180</v>
      </c>
      <c r="B1822" s="7">
        <v>1176648.2</v>
      </c>
      <c r="C1822" s="2">
        <v>271.08499999999998</v>
      </c>
      <c r="D1822" s="2">
        <v>275.80099999999999</v>
      </c>
      <c r="E1822" s="2">
        <v>4.7160000000000002</v>
      </c>
      <c r="F1822" s="2">
        <v>270.41300000000001</v>
      </c>
      <c r="G1822" s="2">
        <v>275.08800000000002</v>
      </c>
      <c r="H1822" s="2">
        <v>4.6749999999999998</v>
      </c>
      <c r="I1822" s="2">
        <v>267.07600000000002</v>
      </c>
      <c r="J1822" s="2">
        <v>267.084</v>
      </c>
      <c r="K1822" s="15">
        <v>8.0039999999999996</v>
      </c>
      <c r="L1822" s="2">
        <v>111.461</v>
      </c>
      <c r="N1822" s="7">
        <f t="shared" si="234"/>
        <v>181.30000000004657</v>
      </c>
      <c r="O1822" s="1">
        <f t="shared" si="230"/>
        <v>131</v>
      </c>
      <c r="P1822" s="1" t="str">
        <f t="shared" si="232"/>
        <v>181.300000000047,131</v>
      </c>
      <c r="Q1822" s="6" t="s">
        <v>10</v>
      </c>
      <c r="R1822" s="1">
        <v>90</v>
      </c>
      <c r="S1822" s="1">
        <v>2.5</v>
      </c>
      <c r="T1822" s="1" t="str">
        <f t="shared" si="231"/>
        <v>-text 181.300000000047,131 2.5 90 267.084</v>
      </c>
    </row>
    <row r="1823" spans="1:20" x14ac:dyDescent="0.35">
      <c r="A1823" s="1">
        <v>287200</v>
      </c>
      <c r="B1823" s="7">
        <v>1176668.3999999999</v>
      </c>
      <c r="C1823" s="2">
        <v>271.14400000000001</v>
      </c>
      <c r="D1823" s="2">
        <v>275.72199999999998</v>
      </c>
      <c r="E1823" s="2">
        <v>4.5780000000000003</v>
      </c>
      <c r="F1823" s="2">
        <v>270.47199999999998</v>
      </c>
      <c r="G1823" s="2">
        <v>275.00900000000001</v>
      </c>
      <c r="H1823" s="2">
        <v>4.5369999999999999</v>
      </c>
      <c r="I1823" s="2">
        <v>267.12400000000002</v>
      </c>
      <c r="J1823" s="2">
        <v>267.14699999999999</v>
      </c>
      <c r="K1823" s="15">
        <v>7.8609999999999998</v>
      </c>
      <c r="L1823" s="2">
        <v>109.226</v>
      </c>
      <c r="N1823" s="7">
        <f t="shared" si="234"/>
        <v>201.5</v>
      </c>
      <c r="O1823" s="1">
        <f t="shared" si="230"/>
        <v>131</v>
      </c>
      <c r="P1823" s="1" t="str">
        <f t="shared" si="232"/>
        <v>201.5,131</v>
      </c>
      <c r="Q1823" s="6" t="s">
        <v>10</v>
      </c>
      <c r="R1823" s="1">
        <v>90</v>
      </c>
      <c r="S1823" s="1">
        <v>2.5</v>
      </c>
      <c r="T1823" s="1" t="str">
        <f t="shared" si="231"/>
        <v>-text 201.5,131 2.5 90 267.147</v>
      </c>
    </row>
    <row r="1824" spans="1:20" x14ac:dyDescent="0.35">
      <c r="A1824" s="1">
        <v>287220</v>
      </c>
      <c r="B1824" s="7">
        <v>1176688.5</v>
      </c>
      <c r="C1824" s="2">
        <v>271.20800000000003</v>
      </c>
      <c r="D1824" s="2">
        <v>275.642</v>
      </c>
      <c r="E1824" s="2">
        <v>4.4349999999999996</v>
      </c>
      <c r="F1824" s="2">
        <v>270.536</v>
      </c>
      <c r="G1824" s="2">
        <v>274.92899999999997</v>
      </c>
      <c r="H1824" s="2">
        <v>4.3940000000000001</v>
      </c>
      <c r="I1824" s="2">
        <v>267.15699999999998</v>
      </c>
      <c r="J1824" s="2">
        <v>267.18900000000002</v>
      </c>
      <c r="K1824" s="15">
        <v>7.74</v>
      </c>
      <c r="L1824" s="2">
        <v>107.003</v>
      </c>
      <c r="N1824" s="7">
        <f t="shared" si="234"/>
        <v>221.60000000009313</v>
      </c>
      <c r="O1824" s="1">
        <f t="shared" si="230"/>
        <v>131</v>
      </c>
      <c r="P1824" s="1" t="str">
        <f t="shared" si="232"/>
        <v>221.600000000093,131</v>
      </c>
      <c r="Q1824" s="6" t="s">
        <v>10</v>
      </c>
      <c r="R1824" s="1">
        <v>90</v>
      </c>
      <c r="S1824" s="1">
        <v>2.5</v>
      </c>
      <c r="T1824" s="1" t="str">
        <f t="shared" si="231"/>
        <v>-text 221.600000000093,131 2.5 90 267.189</v>
      </c>
    </row>
    <row r="1825" spans="1:20" x14ac:dyDescent="0.35">
      <c r="A1825" s="1">
        <v>287240</v>
      </c>
      <c r="B1825" s="7">
        <v>1176708.6000000001</v>
      </c>
      <c r="C1825" s="2">
        <v>271.26499999999999</v>
      </c>
      <c r="D1825" s="2">
        <v>275.56299999999999</v>
      </c>
      <c r="E1825" s="2">
        <v>4.2990000000000004</v>
      </c>
      <c r="F1825" s="2">
        <v>270.59300000000002</v>
      </c>
      <c r="G1825" s="2">
        <v>274.85000000000002</v>
      </c>
      <c r="H1825" s="2">
        <v>4.258</v>
      </c>
      <c r="I1825" s="2">
        <v>267.16899999999998</v>
      </c>
      <c r="J1825" s="2">
        <v>267.19400000000002</v>
      </c>
      <c r="K1825" s="15">
        <v>7.6559999999999997</v>
      </c>
      <c r="L1825" s="2">
        <v>104.78</v>
      </c>
      <c r="N1825" s="7">
        <f t="shared" si="234"/>
        <v>241.70000000018626</v>
      </c>
      <c r="O1825" s="1">
        <f t="shared" si="230"/>
        <v>131</v>
      </c>
      <c r="P1825" s="1" t="str">
        <f t="shared" si="232"/>
        <v>241.700000000186,131</v>
      </c>
      <c r="Q1825" s="6" t="s">
        <v>10</v>
      </c>
      <c r="R1825" s="1">
        <v>90</v>
      </c>
      <c r="S1825" s="1">
        <v>2.5</v>
      </c>
      <c r="T1825" s="1" t="str">
        <f t="shared" si="231"/>
        <v>-text 241.700000000186,131 2.5 90 267.194</v>
      </c>
    </row>
    <row r="1826" spans="1:20" x14ac:dyDescent="0.35">
      <c r="A1826" s="1">
        <v>287260</v>
      </c>
      <c r="B1826" s="7">
        <v>1176728.7</v>
      </c>
      <c r="C1826" s="2">
        <v>271.31700000000001</v>
      </c>
      <c r="D1826" s="2">
        <v>275.48399999999998</v>
      </c>
      <c r="E1826" s="2">
        <v>4.1669999999999998</v>
      </c>
      <c r="F1826" s="2">
        <v>270.64499999999998</v>
      </c>
      <c r="G1826" s="2">
        <v>274.77100000000002</v>
      </c>
      <c r="H1826" s="2">
        <v>4.1260000000000003</v>
      </c>
      <c r="I1826" s="2">
        <v>267.19600000000003</v>
      </c>
      <c r="J1826" s="2">
        <v>267.33100000000002</v>
      </c>
      <c r="K1826" s="15">
        <v>7.44</v>
      </c>
      <c r="L1826" s="2">
        <v>102.544</v>
      </c>
      <c r="N1826" s="7">
        <f t="shared" si="234"/>
        <v>261.80000000004657</v>
      </c>
      <c r="O1826" s="1">
        <f t="shared" si="230"/>
        <v>131</v>
      </c>
      <c r="P1826" s="1" t="str">
        <f t="shared" si="232"/>
        <v>261.800000000047,131</v>
      </c>
      <c r="Q1826" s="6" t="s">
        <v>10</v>
      </c>
      <c r="R1826" s="1">
        <v>90</v>
      </c>
      <c r="S1826" s="1">
        <v>2.5</v>
      </c>
      <c r="T1826" s="1" t="str">
        <f t="shared" si="231"/>
        <v>-text 261.800000000047,131 2.5 90 267.331</v>
      </c>
    </row>
    <row r="1827" spans="1:20" x14ac:dyDescent="0.35">
      <c r="A1827" s="1">
        <v>287280</v>
      </c>
      <c r="B1827" s="7">
        <v>1176748.8999999999</v>
      </c>
      <c r="C1827" s="2">
        <v>271.358</v>
      </c>
      <c r="D1827" s="2">
        <v>275.404</v>
      </c>
      <c r="E1827" s="2">
        <v>4.0469999999999997</v>
      </c>
      <c r="F1827" s="2">
        <v>270.68599999999998</v>
      </c>
      <c r="G1827" s="2">
        <v>274.69099999999997</v>
      </c>
      <c r="H1827" s="2">
        <v>4.0060000000000002</v>
      </c>
      <c r="I1827" s="2">
        <v>267.21499999999997</v>
      </c>
      <c r="J1827" s="2">
        <v>267.20299999999997</v>
      </c>
      <c r="K1827" s="15">
        <v>7.4880000000000004</v>
      </c>
      <c r="L1827" s="2">
        <v>100.30800000000001</v>
      </c>
      <c r="N1827" s="7">
        <f t="shared" si="234"/>
        <v>282</v>
      </c>
      <c r="O1827" s="1">
        <f t="shared" si="230"/>
        <v>131</v>
      </c>
      <c r="P1827" s="1" t="str">
        <f t="shared" si="232"/>
        <v>282,131</v>
      </c>
      <c r="Q1827" s="6" t="s">
        <v>10</v>
      </c>
      <c r="R1827" s="1">
        <v>90</v>
      </c>
      <c r="S1827" s="1">
        <v>2.5</v>
      </c>
      <c r="T1827" s="1" t="str">
        <f t="shared" si="231"/>
        <v>-text 282,131 2.5 90 267.203</v>
      </c>
    </row>
    <row r="1828" spans="1:20" x14ac:dyDescent="0.35">
      <c r="A1828" s="1">
        <v>287300</v>
      </c>
      <c r="B1828" s="7">
        <v>1176769</v>
      </c>
      <c r="C1828" s="2">
        <v>271.38799999999998</v>
      </c>
      <c r="D1828" s="2">
        <v>275.32499999999999</v>
      </c>
      <c r="E1828" s="2">
        <v>3.9369999999999998</v>
      </c>
      <c r="F1828" s="2">
        <v>270.71600000000001</v>
      </c>
      <c r="G1828" s="2">
        <v>274.61200000000002</v>
      </c>
      <c r="H1828" s="2">
        <v>3.8959999999999999</v>
      </c>
      <c r="I1828" s="2">
        <v>267.24799999999999</v>
      </c>
      <c r="J1828" s="2">
        <v>267.26900000000001</v>
      </c>
      <c r="K1828" s="15">
        <v>7.343</v>
      </c>
      <c r="L1828" s="2">
        <v>98.082999999999998</v>
      </c>
      <c r="N1828" s="7">
        <f t="shared" si="234"/>
        <v>302.10000000009313</v>
      </c>
      <c r="O1828" s="1">
        <f t="shared" si="230"/>
        <v>131</v>
      </c>
      <c r="P1828" s="1" t="str">
        <f t="shared" si="232"/>
        <v>302.100000000093,131</v>
      </c>
      <c r="Q1828" s="6" t="s">
        <v>10</v>
      </c>
      <c r="R1828" s="1">
        <v>90</v>
      </c>
      <c r="S1828" s="1">
        <v>2.5</v>
      </c>
      <c r="T1828" s="1" t="str">
        <f t="shared" si="231"/>
        <v>-text 302.100000000093,131 2.5 90 267.269</v>
      </c>
    </row>
    <row r="1829" spans="1:20" x14ac:dyDescent="0.35">
      <c r="A1829" s="1">
        <v>287320</v>
      </c>
      <c r="B1829" s="7">
        <v>1176789.1000000001</v>
      </c>
      <c r="C1829" s="2">
        <v>271.42899999999997</v>
      </c>
      <c r="D1829" s="2">
        <v>275.245</v>
      </c>
      <c r="E1829" s="2">
        <v>3.8170000000000002</v>
      </c>
      <c r="F1829" s="2">
        <v>270.75700000000001</v>
      </c>
      <c r="G1829" s="2">
        <v>274.53199999999998</v>
      </c>
      <c r="H1829" s="2">
        <v>3.7759999999999998</v>
      </c>
      <c r="I1829" s="2">
        <v>267.28100000000001</v>
      </c>
      <c r="J1829" s="2">
        <v>267.24299999999999</v>
      </c>
      <c r="K1829" s="15">
        <v>7.2889999999999997</v>
      </c>
      <c r="L1829" s="2">
        <v>95.858000000000004</v>
      </c>
      <c r="N1829" s="7">
        <f t="shared" si="234"/>
        <v>322.20000000018626</v>
      </c>
      <c r="O1829" s="1">
        <f t="shared" si="230"/>
        <v>131</v>
      </c>
      <c r="P1829" s="1" t="str">
        <f t="shared" si="232"/>
        <v>322.200000000186,131</v>
      </c>
      <c r="Q1829" s="6" t="s">
        <v>10</v>
      </c>
      <c r="R1829" s="1">
        <v>90</v>
      </c>
      <c r="S1829" s="1">
        <v>2.5</v>
      </c>
      <c r="T1829" s="1" t="str">
        <f t="shared" si="231"/>
        <v>-text 322.200000000186,131 2.5 90 267.243</v>
      </c>
    </row>
    <row r="1830" spans="1:20" x14ac:dyDescent="0.35">
      <c r="A1830" s="1">
        <v>287340</v>
      </c>
      <c r="B1830" s="7">
        <v>1176808.8999999999</v>
      </c>
      <c r="C1830" s="2">
        <v>271.48200000000003</v>
      </c>
      <c r="D1830" s="2">
        <v>275.16699999999997</v>
      </c>
      <c r="E1830" s="2">
        <v>3.6859999999999999</v>
      </c>
      <c r="F1830" s="2">
        <v>270.81</v>
      </c>
      <c r="G1830" s="2">
        <v>274.45400000000001</v>
      </c>
      <c r="H1830" s="2">
        <v>3.645</v>
      </c>
      <c r="I1830" s="2">
        <v>267.24900000000002</v>
      </c>
      <c r="J1830" s="2">
        <v>267.17200000000003</v>
      </c>
      <c r="K1830" s="15">
        <v>7.282</v>
      </c>
      <c r="L1830" s="2">
        <v>93.671000000000006</v>
      </c>
      <c r="N1830" s="7">
        <f t="shared" si="234"/>
        <v>342</v>
      </c>
      <c r="O1830" s="1">
        <f t="shared" si="230"/>
        <v>131</v>
      </c>
      <c r="P1830" s="1" t="str">
        <f t="shared" si="232"/>
        <v>342,131</v>
      </c>
      <c r="Q1830" s="6" t="s">
        <v>10</v>
      </c>
      <c r="R1830" s="1">
        <v>90</v>
      </c>
      <c r="S1830" s="1">
        <v>2.5</v>
      </c>
      <c r="T1830" s="1" t="str">
        <f t="shared" si="231"/>
        <v>-text 342,131 2.5 90 267.172</v>
      </c>
    </row>
    <row r="1831" spans="1:20" x14ac:dyDescent="0.35">
      <c r="A1831" s="1">
        <v>287360</v>
      </c>
      <c r="B1831" s="7">
        <v>1176829.3</v>
      </c>
      <c r="C1831" s="2">
        <v>271.524</v>
      </c>
      <c r="D1831" s="2">
        <v>275.08699999999999</v>
      </c>
      <c r="E1831" s="2">
        <v>3.5630000000000002</v>
      </c>
      <c r="F1831" s="2">
        <v>270.85199999999998</v>
      </c>
      <c r="G1831" s="2">
        <v>274.37400000000002</v>
      </c>
      <c r="H1831" s="2">
        <v>3.5219999999999998</v>
      </c>
      <c r="I1831" s="2">
        <v>267.24200000000002</v>
      </c>
      <c r="J1831" s="2">
        <v>267.04500000000002</v>
      </c>
      <c r="K1831" s="15">
        <v>7.3289999999999997</v>
      </c>
      <c r="L1831" s="2">
        <v>91.361999999999995</v>
      </c>
      <c r="N1831" s="7">
        <f t="shared" si="234"/>
        <v>362.4000000001397</v>
      </c>
      <c r="O1831" s="1">
        <f t="shared" si="230"/>
        <v>131</v>
      </c>
      <c r="P1831" s="1" t="str">
        <f t="shared" si="232"/>
        <v>362.40000000014,131</v>
      </c>
      <c r="Q1831" s="6" t="s">
        <v>10</v>
      </c>
      <c r="R1831" s="1">
        <v>90</v>
      </c>
      <c r="S1831" s="1">
        <v>2.5</v>
      </c>
      <c r="T1831" s="1" t="str">
        <f t="shared" si="231"/>
        <v>-text 362.40000000014,131 2.5 90 267.045</v>
      </c>
    </row>
    <row r="1832" spans="1:20" x14ac:dyDescent="0.35">
      <c r="A1832" s="1">
        <v>287380</v>
      </c>
      <c r="B1832" s="7">
        <v>1176849.6000000001</v>
      </c>
      <c r="C1832" s="2">
        <v>271.58800000000002</v>
      </c>
      <c r="D1832" s="2">
        <v>275.00700000000001</v>
      </c>
      <c r="E1832" s="2">
        <v>3.419</v>
      </c>
      <c r="F1832" s="2">
        <v>270.916</v>
      </c>
      <c r="G1832" s="2">
        <v>274.29399999999998</v>
      </c>
      <c r="H1832" s="2">
        <v>3.3780000000000001</v>
      </c>
      <c r="I1832" s="2">
        <v>267.36</v>
      </c>
      <c r="J1832" s="2">
        <v>267.22199999999998</v>
      </c>
      <c r="K1832" s="15">
        <v>7.0720000000000001</v>
      </c>
      <c r="L1832" s="2">
        <v>89.135000000000005</v>
      </c>
      <c r="N1832" s="7">
        <f t="shared" si="234"/>
        <v>382.70000000018626</v>
      </c>
      <c r="O1832" s="1">
        <f t="shared" si="230"/>
        <v>131</v>
      </c>
      <c r="P1832" s="1" t="str">
        <f t="shared" si="232"/>
        <v>382.700000000186,131</v>
      </c>
      <c r="Q1832" s="6" t="s">
        <v>10</v>
      </c>
      <c r="R1832" s="1">
        <v>90</v>
      </c>
      <c r="S1832" s="1">
        <v>2.5</v>
      </c>
      <c r="T1832" s="1" t="str">
        <f t="shared" si="231"/>
        <v>-text 382.700000000186,131 2.5 90 267.222</v>
      </c>
    </row>
    <row r="1833" spans="1:20" x14ac:dyDescent="0.35">
      <c r="A1833" s="1">
        <v>287400</v>
      </c>
      <c r="B1833" s="7">
        <v>1176869.5</v>
      </c>
      <c r="C1833" s="2">
        <v>271.61799999999999</v>
      </c>
      <c r="D1833" s="2">
        <v>274.928</v>
      </c>
      <c r="E1833" s="2">
        <v>3.31</v>
      </c>
      <c r="F1833" s="2">
        <v>270.94600000000003</v>
      </c>
      <c r="G1833" s="2">
        <v>274.21499999999997</v>
      </c>
      <c r="H1833" s="2">
        <v>3.2690000000000001</v>
      </c>
      <c r="I1833" s="2">
        <v>267.53399999999999</v>
      </c>
      <c r="J1833" s="2">
        <v>267.40600000000001</v>
      </c>
      <c r="K1833" s="15">
        <v>6.8090000000000002</v>
      </c>
      <c r="L1833" s="2">
        <v>86.944999999999993</v>
      </c>
      <c r="N1833" s="7">
        <f t="shared" si="234"/>
        <v>402.60000000009313</v>
      </c>
      <c r="O1833" s="1">
        <f t="shared" si="230"/>
        <v>131</v>
      </c>
      <c r="P1833" s="1" t="str">
        <f t="shared" si="232"/>
        <v>402.600000000093,131</v>
      </c>
      <c r="Q1833" s="6" t="s">
        <v>10</v>
      </c>
      <c r="R1833" s="1">
        <v>90</v>
      </c>
      <c r="S1833" s="1">
        <v>2.5</v>
      </c>
      <c r="T1833" s="1" t="str">
        <f t="shared" si="231"/>
        <v>-text 402.600000000093,131 2.5 90 267.406</v>
      </c>
    </row>
    <row r="1834" spans="1:20" x14ac:dyDescent="0.35">
      <c r="A1834" s="1">
        <v>287420</v>
      </c>
      <c r="B1834" s="7">
        <v>1176889.6000000001</v>
      </c>
      <c r="C1834" s="2">
        <v>271.64100000000002</v>
      </c>
      <c r="D1834" s="2">
        <v>274.84899999999999</v>
      </c>
      <c r="E1834" s="2">
        <v>3.2080000000000002</v>
      </c>
      <c r="F1834" s="2">
        <v>270.96899999999999</v>
      </c>
      <c r="G1834" s="2">
        <v>274.13600000000002</v>
      </c>
      <c r="H1834" s="2">
        <v>3.1669999999999998</v>
      </c>
      <c r="I1834" s="2">
        <v>267.60700000000003</v>
      </c>
      <c r="J1834" s="2">
        <v>267.553</v>
      </c>
      <c r="K1834" s="15">
        <v>6.5819999999999999</v>
      </c>
      <c r="L1834" s="2">
        <v>84.697000000000003</v>
      </c>
      <c r="N1834" s="7">
        <f t="shared" si="234"/>
        <v>422.70000000018626</v>
      </c>
      <c r="O1834" s="1">
        <f t="shared" si="230"/>
        <v>131</v>
      </c>
      <c r="P1834" s="1" t="str">
        <f t="shared" si="232"/>
        <v>422.700000000186,131</v>
      </c>
      <c r="Q1834" s="6" t="s">
        <v>10</v>
      </c>
      <c r="R1834" s="1">
        <v>90</v>
      </c>
      <c r="S1834" s="1">
        <v>2.5</v>
      </c>
      <c r="T1834" s="1" t="str">
        <f t="shared" si="231"/>
        <v>-text 422.700000000186,131 2.5 90 267.553</v>
      </c>
    </row>
    <row r="1835" spans="1:20" x14ac:dyDescent="0.35">
      <c r="A1835" s="1">
        <v>287440</v>
      </c>
      <c r="B1835" s="7">
        <v>1176909.8</v>
      </c>
      <c r="C1835" s="2">
        <v>271.70800000000003</v>
      </c>
      <c r="D1835" s="2">
        <v>274.76900000000001</v>
      </c>
      <c r="E1835" s="2">
        <v>3.0619999999999998</v>
      </c>
      <c r="F1835" s="2">
        <v>271.036</v>
      </c>
      <c r="G1835" s="2">
        <v>274.05599999999998</v>
      </c>
      <c r="H1835" s="2">
        <v>3.0209999999999999</v>
      </c>
      <c r="I1835" s="2">
        <v>267.44</v>
      </c>
      <c r="J1835" s="2">
        <v>267.56400000000002</v>
      </c>
      <c r="K1835" s="15">
        <v>6.492</v>
      </c>
      <c r="L1835" s="2">
        <v>82.448999999999998</v>
      </c>
      <c r="N1835" s="7">
        <f t="shared" si="234"/>
        <v>442.9000000001397</v>
      </c>
      <c r="O1835" s="1">
        <f t="shared" si="230"/>
        <v>131</v>
      </c>
      <c r="P1835" s="1" t="str">
        <f t="shared" si="232"/>
        <v>442.90000000014,131</v>
      </c>
      <c r="Q1835" s="6" t="s">
        <v>10</v>
      </c>
      <c r="R1835" s="1">
        <v>90</v>
      </c>
      <c r="S1835" s="1">
        <v>2.5</v>
      </c>
      <c r="T1835" s="1" t="str">
        <f t="shared" si="231"/>
        <v>-text 442.90000000014,131 2.5 90 267.564</v>
      </c>
    </row>
    <row r="1836" spans="1:20" x14ac:dyDescent="0.35">
      <c r="A1836" s="1">
        <v>287460</v>
      </c>
      <c r="B1836" s="7">
        <v>1176929.8999999999</v>
      </c>
      <c r="C1836" s="2">
        <v>271.79599999999999</v>
      </c>
      <c r="D1836" s="2">
        <v>274.73599999999999</v>
      </c>
      <c r="E1836" s="2">
        <v>2.94</v>
      </c>
      <c r="F1836" s="2">
        <v>271.12400000000002</v>
      </c>
      <c r="G1836" s="2">
        <v>274.02300000000002</v>
      </c>
      <c r="H1836" s="2">
        <v>2.899</v>
      </c>
      <c r="I1836" s="2">
        <v>266.15800000000002</v>
      </c>
      <c r="J1836" s="2">
        <v>266.78699999999998</v>
      </c>
      <c r="K1836" s="15">
        <v>7.2359999999999998</v>
      </c>
      <c r="L1836" s="2">
        <v>80.206000000000003</v>
      </c>
      <c r="N1836" s="7">
        <f t="shared" si="234"/>
        <v>463</v>
      </c>
      <c r="O1836" s="1">
        <f t="shared" si="230"/>
        <v>131</v>
      </c>
      <c r="P1836" s="1" t="str">
        <f t="shared" si="232"/>
        <v>463,131</v>
      </c>
      <c r="Q1836" s="6" t="s">
        <v>10</v>
      </c>
      <c r="R1836" s="1">
        <v>90</v>
      </c>
      <c r="S1836" s="1">
        <v>2.5</v>
      </c>
      <c r="T1836" s="1" t="str">
        <f t="shared" si="231"/>
        <v>-text 463,131 2.5 90 266.787</v>
      </c>
    </row>
    <row r="1837" spans="1:20" x14ac:dyDescent="0.35">
      <c r="A1837" s="1">
        <v>287480</v>
      </c>
      <c r="B1837" s="7">
        <v>1176950</v>
      </c>
      <c r="C1837" s="2">
        <v>271.84899999999999</v>
      </c>
      <c r="D1837" s="2">
        <v>274.73599999999999</v>
      </c>
      <c r="E1837" s="2">
        <v>2.887</v>
      </c>
      <c r="F1837" s="2">
        <v>271.17700000000002</v>
      </c>
      <c r="G1837" s="2">
        <v>274.02300000000002</v>
      </c>
      <c r="H1837" s="2">
        <v>2.8460000000000001</v>
      </c>
      <c r="I1837" s="2">
        <v>266.21699999999998</v>
      </c>
      <c r="J1837" s="2">
        <v>265.899</v>
      </c>
      <c r="K1837" s="15">
        <v>8.1240000000000006</v>
      </c>
      <c r="L1837" s="2">
        <v>77.962000000000003</v>
      </c>
      <c r="N1837" s="7">
        <f t="shared" si="234"/>
        <v>483.10000000009313</v>
      </c>
      <c r="O1837" s="1">
        <f t="shared" si="230"/>
        <v>131</v>
      </c>
      <c r="P1837" s="1" t="str">
        <f t="shared" si="232"/>
        <v>483.100000000093,131</v>
      </c>
      <c r="Q1837" s="6" t="s">
        <v>10</v>
      </c>
      <c r="R1837" s="1">
        <v>90</v>
      </c>
      <c r="S1837" s="1">
        <v>2.5</v>
      </c>
      <c r="T1837" s="1" t="str">
        <f t="shared" si="231"/>
        <v>-text 483.100000000093,131 2.5 90 265.899</v>
      </c>
    </row>
    <row r="1838" spans="1:20" x14ac:dyDescent="0.35">
      <c r="A1838" s="1">
        <v>287500</v>
      </c>
      <c r="B1838" s="7">
        <v>1176970.2</v>
      </c>
      <c r="C1838" s="2">
        <v>271.88200000000001</v>
      </c>
      <c r="D1838" s="2">
        <v>274.73599999999999</v>
      </c>
      <c r="E1838" s="2">
        <v>2.8540000000000001</v>
      </c>
      <c r="F1838" s="2">
        <v>271.20999999999998</v>
      </c>
      <c r="G1838" s="2">
        <v>274.02300000000002</v>
      </c>
      <c r="H1838" s="2">
        <v>2.8130000000000002</v>
      </c>
      <c r="I1838" s="2">
        <v>266.86</v>
      </c>
      <c r="J1838" s="2">
        <v>266.55799999999999</v>
      </c>
      <c r="K1838" s="15">
        <v>7.4649999999999999</v>
      </c>
      <c r="L1838" s="2">
        <v>75.715999999999994</v>
      </c>
      <c r="N1838" s="7">
        <f>N1835+(B1838-B1835)</f>
        <v>503.30000000004657</v>
      </c>
      <c r="O1838" s="1">
        <f t="shared" si="230"/>
        <v>131</v>
      </c>
      <c r="P1838" s="1" t="str">
        <f t="shared" ref="P1838" si="235">CONCATENATE(N1838,",",O1838)</f>
        <v>503.300000000047,131</v>
      </c>
      <c r="Q1838" s="6" t="s">
        <v>10</v>
      </c>
      <c r="R1838" s="1">
        <v>90</v>
      </c>
      <c r="S1838" s="1">
        <v>2.5</v>
      </c>
      <c r="T1838" s="1" t="str">
        <f t="shared" si="231"/>
        <v>-text 503.300000000047,131 2.5 90 266.558</v>
      </c>
    </row>
    <row r="1839" spans="1:20" s="10" customFormat="1" x14ac:dyDescent="0.35">
      <c r="B1839" s="11"/>
      <c r="C1839" s="9"/>
      <c r="D1839" s="9"/>
      <c r="E1839" s="9"/>
      <c r="F1839" s="9"/>
      <c r="G1839" s="9"/>
      <c r="H1839" s="9"/>
      <c r="I1839" s="9"/>
      <c r="J1839" s="9"/>
      <c r="K1839" s="16"/>
      <c r="L1839" s="9"/>
      <c r="M1839" s="9"/>
      <c r="N1839" s="11"/>
      <c r="Q1839" s="12"/>
    </row>
    <row r="1840" spans="1:20" x14ac:dyDescent="0.35">
      <c r="A1840" s="1">
        <v>287500</v>
      </c>
      <c r="B1840" s="7">
        <v>1176970.2</v>
      </c>
      <c r="C1840" s="2">
        <v>271.88200000000001</v>
      </c>
      <c r="D1840" s="2">
        <v>274.73599999999999</v>
      </c>
      <c r="E1840" s="2">
        <v>2.8540000000000001</v>
      </c>
      <c r="F1840" s="2">
        <v>271.20999999999998</v>
      </c>
      <c r="G1840" s="2">
        <v>274.02300000000002</v>
      </c>
      <c r="H1840" s="2">
        <v>2.8130000000000002</v>
      </c>
      <c r="I1840" s="2">
        <v>266.86</v>
      </c>
      <c r="J1840" s="2">
        <v>266.55799999999999</v>
      </c>
      <c r="K1840" s="15">
        <v>7.4649999999999999</v>
      </c>
      <c r="L1840" s="2">
        <v>75.715999999999994</v>
      </c>
      <c r="N1840" s="7">
        <v>0</v>
      </c>
      <c r="O1840" s="1">
        <f t="shared" si="230"/>
        <v>131</v>
      </c>
      <c r="P1840" s="1" t="str">
        <f t="shared" si="232"/>
        <v>0,131</v>
      </c>
      <c r="Q1840" s="6" t="s">
        <v>10</v>
      </c>
      <c r="R1840" s="1">
        <v>90</v>
      </c>
      <c r="S1840" s="1">
        <v>2.5</v>
      </c>
      <c r="T1840" s="1" t="str">
        <f t="shared" si="231"/>
        <v>-text 0,131 2.5 90 266.558</v>
      </c>
    </row>
    <row r="1841" spans="1:20" x14ac:dyDescent="0.35">
      <c r="A1841" s="1">
        <v>287520</v>
      </c>
      <c r="B1841" s="7">
        <v>1176990.5</v>
      </c>
      <c r="C1841" s="2">
        <v>271.89999999999998</v>
      </c>
      <c r="D1841" s="2">
        <v>274.73599999999999</v>
      </c>
      <c r="E1841" s="2">
        <v>2.8359999999999999</v>
      </c>
      <c r="F1841" s="2">
        <v>271.22800000000001</v>
      </c>
      <c r="G1841" s="2">
        <v>274.02300000000002</v>
      </c>
      <c r="H1841" s="2">
        <v>2.7949999999999999</v>
      </c>
      <c r="I1841" s="2">
        <v>267.44299999999998</v>
      </c>
      <c r="J1841" s="2">
        <v>267.11900000000003</v>
      </c>
      <c r="K1841" s="15">
        <v>6.9039999999999999</v>
      </c>
      <c r="L1841" s="2">
        <v>73.491</v>
      </c>
      <c r="N1841" s="7">
        <f t="shared" ref="N1841:N1865" si="236">N1840+(B1841-B1840)</f>
        <v>20.300000000046566</v>
      </c>
      <c r="O1841" s="1">
        <f t="shared" si="230"/>
        <v>131</v>
      </c>
      <c r="P1841" s="1" t="str">
        <f t="shared" si="232"/>
        <v>20.3000000000466,131</v>
      </c>
      <c r="Q1841" s="6" t="s">
        <v>10</v>
      </c>
      <c r="R1841" s="1">
        <v>90</v>
      </c>
      <c r="S1841" s="1">
        <v>2.5</v>
      </c>
      <c r="T1841" s="1" t="str">
        <f t="shared" si="231"/>
        <v>-text 20.3000000000466,131 2.5 90 267.119</v>
      </c>
    </row>
    <row r="1842" spans="1:20" x14ac:dyDescent="0.35">
      <c r="A1842" s="1">
        <v>287540</v>
      </c>
      <c r="B1842" s="7">
        <v>1177010.6000000001</v>
      </c>
      <c r="C1842" s="2">
        <v>271.92399999999998</v>
      </c>
      <c r="D1842" s="2">
        <v>274.73599999999999</v>
      </c>
      <c r="E1842" s="2">
        <v>2.8119999999999998</v>
      </c>
      <c r="F1842" s="2">
        <v>271.25200000000001</v>
      </c>
      <c r="G1842" s="2">
        <v>274.02300000000002</v>
      </c>
      <c r="H1842" s="2">
        <v>2.7709999999999999</v>
      </c>
      <c r="I1842" s="2">
        <v>267.30500000000001</v>
      </c>
      <c r="J1842" s="2">
        <v>266.62900000000002</v>
      </c>
      <c r="K1842" s="15">
        <v>7.3940000000000001</v>
      </c>
      <c r="L1842" s="2">
        <v>71.326999999999998</v>
      </c>
      <c r="N1842" s="7">
        <f t="shared" si="236"/>
        <v>40.400000000139698</v>
      </c>
      <c r="O1842" s="1">
        <f t="shared" si="230"/>
        <v>131</v>
      </c>
      <c r="P1842" s="1" t="str">
        <f t="shared" si="232"/>
        <v>40.4000000001397,131</v>
      </c>
      <c r="Q1842" s="6" t="s">
        <v>10</v>
      </c>
      <c r="R1842" s="1">
        <v>90</v>
      </c>
      <c r="S1842" s="1">
        <v>2.5</v>
      </c>
      <c r="T1842" s="1" t="str">
        <f t="shared" si="231"/>
        <v>-text 40.4000000001397,131 2.5 90 266.629</v>
      </c>
    </row>
    <row r="1843" spans="1:20" x14ac:dyDescent="0.35">
      <c r="A1843" s="1">
        <v>287560</v>
      </c>
      <c r="B1843" s="7">
        <v>1177030.7</v>
      </c>
      <c r="C1843" s="2">
        <v>272.01</v>
      </c>
      <c r="D1843" s="2">
        <v>274.73599999999999</v>
      </c>
      <c r="E1843" s="2">
        <v>2.726</v>
      </c>
      <c r="F1843" s="2">
        <v>271.33800000000002</v>
      </c>
      <c r="G1843" s="2">
        <v>274.02300000000002</v>
      </c>
      <c r="H1843" s="2">
        <v>2.6850000000000001</v>
      </c>
      <c r="I1843" s="2">
        <v>266.358</v>
      </c>
      <c r="J1843" s="2">
        <v>266.37400000000002</v>
      </c>
      <c r="K1843" s="15">
        <v>7.649</v>
      </c>
      <c r="L1843" s="2">
        <v>69.129000000000005</v>
      </c>
      <c r="N1843" s="7">
        <f t="shared" si="236"/>
        <v>60.5</v>
      </c>
      <c r="O1843" s="1">
        <f t="shared" si="230"/>
        <v>131</v>
      </c>
      <c r="P1843" s="1" t="str">
        <f t="shared" si="232"/>
        <v>60.5,131</v>
      </c>
      <c r="Q1843" s="6" t="s">
        <v>10</v>
      </c>
      <c r="R1843" s="1">
        <v>90</v>
      </c>
      <c r="S1843" s="1">
        <v>2.5</v>
      </c>
      <c r="T1843" s="1" t="str">
        <f t="shared" si="231"/>
        <v>-text 60.5,131 2.5 90 266.374</v>
      </c>
    </row>
    <row r="1844" spans="1:20" x14ac:dyDescent="0.35">
      <c r="A1844" s="1">
        <v>287580</v>
      </c>
      <c r="B1844" s="7">
        <v>1177050.6000000001</v>
      </c>
      <c r="C1844" s="2">
        <v>272.06</v>
      </c>
      <c r="D1844" s="2">
        <v>274.73599999999999</v>
      </c>
      <c r="E1844" s="2">
        <v>2.6760000000000002</v>
      </c>
      <c r="F1844" s="2">
        <v>271.38799999999998</v>
      </c>
      <c r="G1844" s="2">
        <v>274.02300000000002</v>
      </c>
      <c r="H1844" s="2">
        <v>2.6349999999999998</v>
      </c>
      <c r="I1844" s="2">
        <v>266.363</v>
      </c>
      <c r="J1844" s="2">
        <v>266.49599999999998</v>
      </c>
      <c r="K1844" s="15">
        <v>7.5270000000000001</v>
      </c>
      <c r="L1844" s="2">
        <v>66.917000000000002</v>
      </c>
      <c r="N1844" s="7">
        <f t="shared" si="236"/>
        <v>80.400000000139698</v>
      </c>
      <c r="O1844" s="1">
        <f t="shared" si="230"/>
        <v>131</v>
      </c>
      <c r="P1844" s="1" t="str">
        <f t="shared" si="232"/>
        <v>80.4000000001397,131</v>
      </c>
      <c r="Q1844" s="6" t="s">
        <v>10</v>
      </c>
      <c r="R1844" s="1">
        <v>90</v>
      </c>
      <c r="S1844" s="1">
        <v>2.5</v>
      </c>
      <c r="T1844" s="1" t="str">
        <f t="shared" si="231"/>
        <v>-text 80.4000000001397,131 2.5 90 266.496</v>
      </c>
    </row>
    <row r="1845" spans="1:20" x14ac:dyDescent="0.35">
      <c r="A1845" s="1">
        <v>287600</v>
      </c>
      <c r="B1845" s="7">
        <v>1177070.7</v>
      </c>
      <c r="C1845" s="2">
        <v>272.08100000000002</v>
      </c>
      <c r="D1845" s="2">
        <v>274.73599999999999</v>
      </c>
      <c r="E1845" s="2">
        <v>2.6549999999999998</v>
      </c>
      <c r="F1845" s="2">
        <v>271.40899999999999</v>
      </c>
      <c r="G1845" s="2">
        <v>274.02300000000002</v>
      </c>
      <c r="H1845" s="2">
        <v>2.6139999999999999</v>
      </c>
      <c r="I1845" s="2">
        <v>266.142</v>
      </c>
      <c r="J1845" s="2">
        <v>264.67</v>
      </c>
      <c r="K1845" s="15">
        <v>9.3529999999999998</v>
      </c>
      <c r="L1845" s="2">
        <v>64.647000000000006</v>
      </c>
      <c r="N1845" s="7">
        <f t="shared" si="236"/>
        <v>100.5</v>
      </c>
      <c r="O1845" s="1">
        <f t="shared" si="230"/>
        <v>131</v>
      </c>
      <c r="P1845" s="1" t="str">
        <f t="shared" si="232"/>
        <v>100.5,131</v>
      </c>
      <c r="Q1845" s="6" t="s">
        <v>10</v>
      </c>
      <c r="R1845" s="1">
        <v>90</v>
      </c>
      <c r="S1845" s="1">
        <v>2.5</v>
      </c>
      <c r="T1845" s="1" t="str">
        <f t="shared" si="231"/>
        <v>-text 100.5,131 2.5 90 264.67</v>
      </c>
    </row>
    <row r="1846" spans="1:20" x14ac:dyDescent="0.35">
      <c r="A1846" s="1">
        <v>287620</v>
      </c>
      <c r="B1846" s="7">
        <v>1177090.8999999999</v>
      </c>
      <c r="C1846" s="2">
        <v>272.089</v>
      </c>
      <c r="D1846" s="2">
        <v>274.73599999999999</v>
      </c>
      <c r="E1846" s="2">
        <v>2.6469999999999998</v>
      </c>
      <c r="F1846" s="2">
        <v>271.41699999999997</v>
      </c>
      <c r="G1846" s="2">
        <v>274.02300000000002</v>
      </c>
      <c r="H1846" s="2">
        <v>2.6059999999999999</v>
      </c>
      <c r="I1846" s="2">
        <v>265.589</v>
      </c>
      <c r="J1846" s="2">
        <v>264.79700000000003</v>
      </c>
      <c r="K1846" s="15">
        <v>9.2260000000000009</v>
      </c>
      <c r="L1846" s="2">
        <v>62.393999999999998</v>
      </c>
      <c r="N1846" s="7">
        <f t="shared" si="236"/>
        <v>120.69999999995343</v>
      </c>
      <c r="O1846" s="1">
        <f t="shared" si="230"/>
        <v>131</v>
      </c>
      <c r="P1846" s="1" t="str">
        <f t="shared" si="232"/>
        <v>120.699999999953,131</v>
      </c>
      <c r="Q1846" s="6" t="s">
        <v>10</v>
      </c>
      <c r="R1846" s="1">
        <v>90</v>
      </c>
      <c r="S1846" s="1">
        <v>2.5</v>
      </c>
      <c r="T1846" s="1" t="str">
        <f t="shared" si="231"/>
        <v>-text 120.699999999953,131 2.5 90 264.797</v>
      </c>
    </row>
    <row r="1847" spans="1:20" x14ac:dyDescent="0.35">
      <c r="A1847" s="1">
        <v>287640</v>
      </c>
      <c r="B1847" s="7">
        <v>1177111</v>
      </c>
      <c r="C1847" s="2">
        <v>272.09699999999998</v>
      </c>
      <c r="D1847" s="2">
        <v>274.73599999999999</v>
      </c>
      <c r="E1847" s="2">
        <v>2.6389999999999998</v>
      </c>
      <c r="F1847" s="2">
        <v>271.42500000000001</v>
      </c>
      <c r="G1847" s="2">
        <v>274.02300000000002</v>
      </c>
      <c r="H1847" s="2">
        <v>2.5979999999999999</v>
      </c>
      <c r="I1847" s="2">
        <v>264.69499999999999</v>
      </c>
      <c r="J1847" s="2">
        <v>265.55799999999999</v>
      </c>
      <c r="K1847" s="15">
        <v>8.4649999999999999</v>
      </c>
      <c r="L1847" s="2">
        <v>60.140999999999998</v>
      </c>
      <c r="N1847" s="7">
        <f t="shared" si="236"/>
        <v>140.80000000004657</v>
      </c>
      <c r="O1847" s="1">
        <f t="shared" si="230"/>
        <v>131</v>
      </c>
      <c r="P1847" s="1" t="str">
        <f t="shared" si="232"/>
        <v>140.800000000047,131</v>
      </c>
      <c r="Q1847" s="6" t="s">
        <v>10</v>
      </c>
      <c r="R1847" s="1">
        <v>90</v>
      </c>
      <c r="S1847" s="1">
        <v>2.5</v>
      </c>
      <c r="T1847" s="1" t="str">
        <f t="shared" si="231"/>
        <v>-text 140.800000000047,131 2.5 90 265.558</v>
      </c>
    </row>
    <row r="1848" spans="1:20" x14ac:dyDescent="0.35">
      <c r="A1848" s="1">
        <v>287660</v>
      </c>
      <c r="B1848" s="7">
        <v>1177131.1000000001</v>
      </c>
      <c r="C1848" s="2">
        <v>272.10500000000002</v>
      </c>
      <c r="D1848" s="2">
        <v>274.73599999999999</v>
      </c>
      <c r="E1848" s="2">
        <v>2.6309999999999998</v>
      </c>
      <c r="F1848" s="2">
        <v>271.43299999999999</v>
      </c>
      <c r="G1848" s="2">
        <v>274.02300000000002</v>
      </c>
      <c r="H1848" s="2">
        <v>2.59</v>
      </c>
      <c r="I1848" s="2">
        <v>266.02100000000002</v>
      </c>
      <c r="J1848" s="2">
        <v>266.43599999999998</v>
      </c>
      <c r="K1848" s="15">
        <v>7.5869999999999997</v>
      </c>
      <c r="L1848" s="2">
        <v>57.887999999999998</v>
      </c>
      <c r="N1848" s="7">
        <f t="shared" si="236"/>
        <v>160.9000000001397</v>
      </c>
      <c r="O1848" s="1">
        <f t="shared" si="230"/>
        <v>131</v>
      </c>
      <c r="P1848" s="1" t="str">
        <f t="shared" si="232"/>
        <v>160.90000000014,131</v>
      </c>
      <c r="Q1848" s="6" t="s">
        <v>10</v>
      </c>
      <c r="R1848" s="1">
        <v>90</v>
      </c>
      <c r="S1848" s="1">
        <v>2.5</v>
      </c>
      <c r="T1848" s="1" t="str">
        <f t="shared" si="231"/>
        <v>-text 160.90000000014,131 2.5 90 266.436</v>
      </c>
    </row>
    <row r="1849" spans="1:20" x14ac:dyDescent="0.35">
      <c r="A1849" s="1">
        <v>287680</v>
      </c>
      <c r="B1849" s="7">
        <v>1177151.3999999999</v>
      </c>
      <c r="C1849" s="2">
        <v>272.07600000000002</v>
      </c>
      <c r="D1849" s="2">
        <v>274.73599999999999</v>
      </c>
      <c r="E1849" s="2">
        <v>2.66</v>
      </c>
      <c r="F1849" s="2">
        <v>271.404</v>
      </c>
      <c r="G1849" s="2">
        <v>274.02300000000002</v>
      </c>
      <c r="H1849" s="2">
        <v>2.6190000000000002</v>
      </c>
      <c r="I1849" s="2">
        <v>268.03800000000001</v>
      </c>
      <c r="J1849" s="2">
        <v>267.82</v>
      </c>
      <c r="K1849" s="15">
        <v>6.2030000000000003</v>
      </c>
      <c r="L1849" s="2">
        <v>55.63</v>
      </c>
      <c r="N1849" s="7">
        <f t="shared" si="236"/>
        <v>181.19999999995343</v>
      </c>
      <c r="O1849" s="1">
        <f t="shared" si="230"/>
        <v>131</v>
      </c>
      <c r="P1849" s="1" t="str">
        <f t="shared" si="232"/>
        <v>181.199999999953,131</v>
      </c>
      <c r="Q1849" s="6" t="s">
        <v>10</v>
      </c>
      <c r="R1849" s="1">
        <v>90</v>
      </c>
      <c r="S1849" s="1">
        <v>2.5</v>
      </c>
      <c r="T1849" s="1" t="str">
        <f t="shared" si="231"/>
        <v>-text 181.199999999953,131 2.5 90 267.82</v>
      </c>
    </row>
    <row r="1850" spans="1:20" x14ac:dyDescent="0.35">
      <c r="A1850" s="1">
        <v>287700</v>
      </c>
      <c r="B1850" s="7">
        <v>1177171.3</v>
      </c>
      <c r="C1850" s="2">
        <v>271.89100000000002</v>
      </c>
      <c r="D1850" s="2">
        <v>274.73599999999999</v>
      </c>
      <c r="E1850" s="2">
        <v>2.8450000000000002</v>
      </c>
      <c r="F1850" s="2">
        <v>271.21899999999999</v>
      </c>
      <c r="G1850" s="2">
        <v>274.02300000000002</v>
      </c>
      <c r="H1850" s="2">
        <v>2.8039999999999998</v>
      </c>
      <c r="I1850" s="2">
        <v>267.755</v>
      </c>
      <c r="J1850" s="2">
        <v>266.01</v>
      </c>
      <c r="K1850" s="15">
        <v>8.0129999999999999</v>
      </c>
      <c r="L1850" s="2">
        <v>53.424999999999997</v>
      </c>
      <c r="N1850" s="7">
        <f t="shared" si="236"/>
        <v>201.10000000009313</v>
      </c>
      <c r="O1850" s="1">
        <f t="shared" si="230"/>
        <v>131</v>
      </c>
      <c r="P1850" s="1" t="str">
        <f t="shared" si="232"/>
        <v>201.100000000093,131</v>
      </c>
      <c r="Q1850" s="6" t="s">
        <v>10</v>
      </c>
      <c r="R1850" s="1">
        <v>90</v>
      </c>
      <c r="S1850" s="1">
        <v>2.5</v>
      </c>
      <c r="T1850" s="1" t="str">
        <f t="shared" si="231"/>
        <v>-text 201.100000000093,131 2.5 90 266.01</v>
      </c>
    </row>
    <row r="1851" spans="1:20" x14ac:dyDescent="0.35">
      <c r="A1851" s="1">
        <v>287720</v>
      </c>
      <c r="B1851" s="7">
        <v>1177191.5</v>
      </c>
      <c r="C1851" s="2">
        <v>271.85399999999998</v>
      </c>
      <c r="D1851" s="2">
        <v>274.73599999999999</v>
      </c>
      <c r="E1851" s="2">
        <v>2.8820000000000001</v>
      </c>
      <c r="F1851" s="2">
        <v>271.18200000000002</v>
      </c>
      <c r="G1851" s="2">
        <v>274.02300000000002</v>
      </c>
      <c r="H1851" s="2">
        <v>2.8410000000000002</v>
      </c>
      <c r="I1851" s="2">
        <v>267.85399999999998</v>
      </c>
      <c r="J1851" s="2">
        <v>265.928</v>
      </c>
      <c r="K1851" s="15">
        <v>8.0950000000000006</v>
      </c>
      <c r="L1851" s="2">
        <v>51.155999999999999</v>
      </c>
      <c r="N1851" s="7">
        <f t="shared" si="236"/>
        <v>221.30000000004657</v>
      </c>
      <c r="O1851" s="1">
        <f t="shared" si="230"/>
        <v>131</v>
      </c>
      <c r="P1851" s="1" t="str">
        <f t="shared" si="232"/>
        <v>221.300000000047,131</v>
      </c>
      <c r="Q1851" s="6" t="s">
        <v>10</v>
      </c>
      <c r="R1851" s="1">
        <v>90</v>
      </c>
      <c r="S1851" s="1">
        <v>2.5</v>
      </c>
      <c r="T1851" s="1" t="str">
        <f t="shared" si="231"/>
        <v>-text 221.300000000047,131 2.5 90 265.928</v>
      </c>
    </row>
    <row r="1852" spans="1:20" x14ac:dyDescent="0.35">
      <c r="A1852" s="1">
        <v>287740</v>
      </c>
      <c r="B1852" s="7">
        <v>1177211.6000000001</v>
      </c>
      <c r="C1852" s="2">
        <v>271.81700000000001</v>
      </c>
      <c r="D1852" s="2">
        <v>274.73599999999999</v>
      </c>
      <c r="E1852" s="2">
        <v>2.919</v>
      </c>
      <c r="F1852" s="2">
        <v>271.14499999999998</v>
      </c>
      <c r="G1852" s="2">
        <v>274.02300000000002</v>
      </c>
      <c r="H1852" s="2">
        <v>2.8780000000000001</v>
      </c>
      <c r="I1852" s="2">
        <v>267.74099999999999</v>
      </c>
      <c r="J1852" s="2">
        <v>265.88299999999998</v>
      </c>
      <c r="K1852" s="15">
        <v>8.14</v>
      </c>
      <c r="L1852" s="2">
        <v>48.887999999999998</v>
      </c>
      <c r="N1852" s="7">
        <f t="shared" si="236"/>
        <v>241.4000000001397</v>
      </c>
      <c r="O1852" s="1">
        <f t="shared" si="230"/>
        <v>131</v>
      </c>
      <c r="P1852" s="1" t="str">
        <f t="shared" si="232"/>
        <v>241.40000000014,131</v>
      </c>
      <c r="Q1852" s="6" t="s">
        <v>10</v>
      </c>
      <c r="R1852" s="1">
        <v>90</v>
      </c>
      <c r="S1852" s="1">
        <v>2.5</v>
      </c>
      <c r="T1852" s="1" t="str">
        <f t="shared" si="231"/>
        <v>-text 241.40000000014,131 2.5 90 265.883</v>
      </c>
    </row>
    <row r="1853" spans="1:20" x14ac:dyDescent="0.35">
      <c r="A1853" s="1">
        <v>287760</v>
      </c>
      <c r="B1853" s="7">
        <v>1177231.8</v>
      </c>
      <c r="C1853" s="2">
        <v>271.69</v>
      </c>
      <c r="D1853" s="2">
        <v>274.66000000000003</v>
      </c>
      <c r="E1853" s="2">
        <v>2.97</v>
      </c>
      <c r="F1853" s="2">
        <v>271.01799999999997</v>
      </c>
      <c r="G1853" s="2">
        <v>273.947</v>
      </c>
      <c r="H1853" s="2">
        <v>2.9289999999999998</v>
      </c>
      <c r="I1853" s="2">
        <v>267.87299999999999</v>
      </c>
      <c r="J1853" s="2">
        <v>265.928</v>
      </c>
      <c r="K1853" s="15">
        <v>8.0190000000000001</v>
      </c>
      <c r="L1853" s="2">
        <v>46.637</v>
      </c>
      <c r="N1853" s="7">
        <f t="shared" si="236"/>
        <v>261.60000000009313</v>
      </c>
      <c r="O1853" s="1">
        <f t="shared" si="230"/>
        <v>131</v>
      </c>
      <c r="P1853" s="1" t="str">
        <f t="shared" si="232"/>
        <v>261.600000000093,131</v>
      </c>
      <c r="Q1853" s="6" t="s">
        <v>10</v>
      </c>
      <c r="R1853" s="1">
        <v>90</v>
      </c>
      <c r="S1853" s="1">
        <v>2.5</v>
      </c>
      <c r="T1853" s="1" t="str">
        <f t="shared" si="231"/>
        <v>-text 261.600000000093,131 2.5 90 265.928</v>
      </c>
    </row>
    <row r="1854" spans="1:20" x14ac:dyDescent="0.35">
      <c r="A1854" s="1">
        <v>287780</v>
      </c>
      <c r="B1854" s="7">
        <v>1177251.8999999999</v>
      </c>
      <c r="C1854" s="2">
        <v>271.613</v>
      </c>
      <c r="D1854" s="2">
        <v>274.57100000000003</v>
      </c>
      <c r="E1854" s="2">
        <v>2.9580000000000002</v>
      </c>
      <c r="F1854" s="2">
        <v>270.94099999999997</v>
      </c>
      <c r="G1854" s="2">
        <v>273.858</v>
      </c>
      <c r="H1854" s="2">
        <v>2.9169999999999998</v>
      </c>
      <c r="I1854" s="2">
        <v>267.96899999999999</v>
      </c>
      <c r="J1854" s="2">
        <v>265.904</v>
      </c>
      <c r="K1854" s="15">
        <v>7.9539999999999997</v>
      </c>
      <c r="L1854" s="2">
        <v>44.393999999999998</v>
      </c>
      <c r="N1854" s="7">
        <f t="shared" si="236"/>
        <v>281.69999999995343</v>
      </c>
      <c r="O1854" s="1">
        <f t="shared" si="230"/>
        <v>131</v>
      </c>
      <c r="P1854" s="1" t="str">
        <f t="shared" si="232"/>
        <v>281.699999999953,131</v>
      </c>
      <c r="Q1854" s="6" t="s">
        <v>10</v>
      </c>
      <c r="R1854" s="1">
        <v>90</v>
      </c>
      <c r="S1854" s="1">
        <v>2.5</v>
      </c>
      <c r="T1854" s="1" t="str">
        <f t="shared" si="231"/>
        <v>-text 281.699999999953,131 2.5 90 265.904</v>
      </c>
    </row>
    <row r="1855" spans="1:20" x14ac:dyDescent="0.35">
      <c r="A1855" s="1">
        <v>287800</v>
      </c>
      <c r="B1855" s="7">
        <v>1177272.1000000001</v>
      </c>
      <c r="C1855" s="2">
        <v>271.55099999999999</v>
      </c>
      <c r="D1855" s="2">
        <v>274.48200000000003</v>
      </c>
      <c r="E1855" s="2">
        <v>2.931</v>
      </c>
      <c r="F1855" s="2">
        <v>270.87900000000002</v>
      </c>
      <c r="G1855" s="2">
        <v>273.76900000000001</v>
      </c>
      <c r="H1855" s="2">
        <v>2.89</v>
      </c>
      <c r="I1855" s="2">
        <v>267.95999999999998</v>
      </c>
      <c r="J1855" s="2">
        <v>266.42700000000002</v>
      </c>
      <c r="K1855" s="15">
        <v>7.343</v>
      </c>
      <c r="L1855" s="2">
        <v>42.173999999999999</v>
      </c>
      <c r="N1855" s="7">
        <f t="shared" si="236"/>
        <v>301.9000000001397</v>
      </c>
      <c r="O1855" s="1">
        <f t="shared" si="230"/>
        <v>131</v>
      </c>
      <c r="P1855" s="1" t="str">
        <f t="shared" si="232"/>
        <v>301.90000000014,131</v>
      </c>
      <c r="Q1855" s="6" t="s">
        <v>10</v>
      </c>
      <c r="R1855" s="1">
        <v>90</v>
      </c>
      <c r="S1855" s="1">
        <v>2.5</v>
      </c>
      <c r="T1855" s="1" t="str">
        <f t="shared" si="231"/>
        <v>-text 301.90000000014,131 2.5 90 266.427</v>
      </c>
    </row>
    <row r="1856" spans="1:20" x14ac:dyDescent="0.35">
      <c r="A1856" s="1">
        <v>287820</v>
      </c>
      <c r="B1856" s="7">
        <v>1177292.2</v>
      </c>
      <c r="C1856" s="2">
        <v>271.49</v>
      </c>
      <c r="D1856" s="2">
        <v>274.39400000000001</v>
      </c>
      <c r="E1856" s="2">
        <v>2.9039999999999999</v>
      </c>
      <c r="F1856" s="2">
        <v>270.81799999999998</v>
      </c>
      <c r="G1856" s="2">
        <v>273.68099999999998</v>
      </c>
      <c r="H1856" s="2">
        <v>2.863</v>
      </c>
      <c r="I1856" s="2">
        <v>268.14699999999999</v>
      </c>
      <c r="J1856" s="2">
        <v>267.34699999999998</v>
      </c>
      <c r="K1856" s="15">
        <v>6.3339999999999996</v>
      </c>
      <c r="L1856" s="2">
        <v>40.021000000000001</v>
      </c>
      <c r="N1856" s="7">
        <f t="shared" si="236"/>
        <v>322</v>
      </c>
      <c r="O1856" s="1">
        <f t="shared" si="230"/>
        <v>131</v>
      </c>
      <c r="P1856" s="1" t="str">
        <f t="shared" si="232"/>
        <v>322,131</v>
      </c>
      <c r="Q1856" s="6" t="s">
        <v>10</v>
      </c>
      <c r="R1856" s="1">
        <v>90</v>
      </c>
      <c r="S1856" s="1">
        <v>2.5</v>
      </c>
      <c r="T1856" s="1" t="str">
        <f t="shared" si="231"/>
        <v>-text 322,131 2.5 90 267.347</v>
      </c>
    </row>
    <row r="1857" spans="1:20" x14ac:dyDescent="0.35">
      <c r="A1857" s="1">
        <v>287840</v>
      </c>
      <c r="B1857" s="7">
        <v>1177312.2</v>
      </c>
      <c r="C1857" s="2">
        <v>271.41199999999998</v>
      </c>
      <c r="D1857" s="2">
        <v>274.30599999999998</v>
      </c>
      <c r="E1857" s="2">
        <v>2.8929999999999998</v>
      </c>
      <c r="F1857" s="2">
        <v>270.74</v>
      </c>
      <c r="G1857" s="2">
        <v>273.59300000000002</v>
      </c>
      <c r="H1857" s="2">
        <v>2.8519999999999999</v>
      </c>
      <c r="I1857" s="2">
        <v>268.25400000000002</v>
      </c>
      <c r="J1857" s="2">
        <v>267.49900000000002</v>
      </c>
      <c r="K1857" s="15">
        <v>6.0940000000000003</v>
      </c>
      <c r="L1857" s="2">
        <v>37.927</v>
      </c>
      <c r="N1857" s="7">
        <f t="shared" si="236"/>
        <v>342</v>
      </c>
      <c r="O1857" s="1">
        <f t="shared" si="230"/>
        <v>131</v>
      </c>
      <c r="P1857" s="1" t="str">
        <f t="shared" si="232"/>
        <v>342,131</v>
      </c>
      <c r="Q1857" s="6" t="s">
        <v>10</v>
      </c>
      <c r="R1857" s="1">
        <v>90</v>
      </c>
      <c r="S1857" s="1">
        <v>2.5</v>
      </c>
      <c r="T1857" s="1" t="str">
        <f t="shared" si="231"/>
        <v>-text 342,131 2.5 90 267.499</v>
      </c>
    </row>
    <row r="1858" spans="1:20" x14ac:dyDescent="0.35">
      <c r="A1858" s="1">
        <v>287860</v>
      </c>
      <c r="B1858" s="7">
        <v>1177332.3</v>
      </c>
      <c r="C1858" s="2">
        <v>271.33499999999998</v>
      </c>
      <c r="D1858" s="2">
        <v>274.21699999999998</v>
      </c>
      <c r="E1858" s="2">
        <v>2.8820000000000001</v>
      </c>
      <c r="F1858" s="2">
        <v>270.66300000000001</v>
      </c>
      <c r="G1858" s="2">
        <v>273.50400000000002</v>
      </c>
      <c r="H1858" s="2">
        <v>2.8410000000000002</v>
      </c>
      <c r="I1858" s="2">
        <v>268.27800000000002</v>
      </c>
      <c r="J1858" s="2">
        <v>267.45999999999998</v>
      </c>
      <c r="K1858" s="15">
        <v>6.0439999999999996</v>
      </c>
      <c r="L1858" s="2">
        <v>35.923999999999999</v>
      </c>
      <c r="N1858" s="7">
        <f t="shared" si="236"/>
        <v>362.10000000009313</v>
      </c>
      <c r="O1858" s="1">
        <f t="shared" si="230"/>
        <v>131</v>
      </c>
      <c r="P1858" s="1" t="str">
        <f t="shared" si="232"/>
        <v>362.100000000093,131</v>
      </c>
      <c r="Q1858" s="6" t="s">
        <v>10</v>
      </c>
      <c r="R1858" s="1">
        <v>90</v>
      </c>
      <c r="S1858" s="1">
        <v>2.5</v>
      </c>
      <c r="T1858" s="1" t="str">
        <f t="shared" si="231"/>
        <v>-text 362.100000000093,131 2.5 90 267.46</v>
      </c>
    </row>
    <row r="1859" spans="1:20" x14ac:dyDescent="0.35">
      <c r="A1859" s="1">
        <v>287880</v>
      </c>
      <c r="B1859" s="7">
        <v>1177352.3999999999</v>
      </c>
      <c r="C1859" s="2">
        <v>271.26100000000002</v>
      </c>
      <c r="D1859" s="2">
        <v>274.12799999999999</v>
      </c>
      <c r="E1859" s="2">
        <v>2.867</v>
      </c>
      <c r="F1859" s="2">
        <v>270.589</v>
      </c>
      <c r="G1859" s="2">
        <v>273.41500000000002</v>
      </c>
      <c r="H1859" s="2">
        <v>2.8260000000000001</v>
      </c>
      <c r="I1859" s="2">
        <v>268.17200000000003</v>
      </c>
      <c r="J1859" s="2">
        <v>266.80700000000002</v>
      </c>
      <c r="K1859" s="15">
        <v>6.609</v>
      </c>
      <c r="L1859" s="2">
        <v>34.030999999999999</v>
      </c>
      <c r="N1859" s="7">
        <f t="shared" si="236"/>
        <v>382.19999999995343</v>
      </c>
      <c r="O1859" s="1">
        <f t="shared" si="230"/>
        <v>131</v>
      </c>
      <c r="P1859" s="1" t="str">
        <f t="shared" si="232"/>
        <v>382.199999999953,131</v>
      </c>
      <c r="Q1859" s="6" t="s">
        <v>10</v>
      </c>
      <c r="R1859" s="1">
        <v>90</v>
      </c>
      <c r="S1859" s="1">
        <v>2.5</v>
      </c>
      <c r="T1859" s="1" t="str">
        <f t="shared" si="231"/>
        <v>-text 382.199999999953,131 2.5 90 266.807</v>
      </c>
    </row>
    <row r="1860" spans="1:20" x14ac:dyDescent="0.35">
      <c r="A1860" s="1">
        <v>287900</v>
      </c>
      <c r="B1860" s="7">
        <v>1177372.5</v>
      </c>
      <c r="C1860" s="2">
        <v>271.19400000000002</v>
      </c>
      <c r="D1860" s="2">
        <v>274.04000000000002</v>
      </c>
      <c r="E1860" s="2">
        <v>2.8460000000000001</v>
      </c>
      <c r="F1860" s="2">
        <v>270.52199999999999</v>
      </c>
      <c r="G1860" s="2">
        <v>273.327</v>
      </c>
      <c r="H1860" s="2">
        <v>2.8050000000000002</v>
      </c>
      <c r="I1860" s="2">
        <v>268.13299999999998</v>
      </c>
      <c r="J1860" s="2">
        <v>267.80099999999999</v>
      </c>
      <c r="K1860" s="15">
        <v>5.5259999999999998</v>
      </c>
      <c r="L1860" s="2">
        <v>32.244999999999997</v>
      </c>
      <c r="N1860" s="7">
        <f t="shared" si="236"/>
        <v>402.30000000004657</v>
      </c>
      <c r="O1860" s="1">
        <f t="shared" si="230"/>
        <v>131</v>
      </c>
      <c r="P1860" s="1" t="str">
        <f t="shared" si="232"/>
        <v>402.300000000047,131</v>
      </c>
      <c r="Q1860" s="6" t="s">
        <v>10</v>
      </c>
      <c r="R1860" s="1">
        <v>90</v>
      </c>
      <c r="S1860" s="1">
        <v>2.5</v>
      </c>
      <c r="T1860" s="1" t="str">
        <f t="shared" si="231"/>
        <v>-text 402.300000000047,131 2.5 90 267.801</v>
      </c>
    </row>
    <row r="1861" spans="1:20" x14ac:dyDescent="0.35">
      <c r="A1861" s="1">
        <v>287920</v>
      </c>
      <c r="B1861" s="7">
        <v>1177392.6000000001</v>
      </c>
      <c r="C1861" s="2">
        <v>271.142</v>
      </c>
      <c r="D1861" s="2">
        <v>273.95100000000002</v>
      </c>
      <c r="E1861" s="2">
        <v>2.8090000000000002</v>
      </c>
      <c r="F1861" s="2">
        <v>270.47000000000003</v>
      </c>
      <c r="G1861" s="2">
        <v>273.238</v>
      </c>
      <c r="H1861" s="2">
        <v>2.7679999999999998</v>
      </c>
      <c r="I1861" s="2">
        <v>268.03399999999999</v>
      </c>
      <c r="J1861" s="2">
        <v>267.96899999999999</v>
      </c>
      <c r="K1861" s="15">
        <v>5.27</v>
      </c>
      <c r="L1861" s="2">
        <v>30.59</v>
      </c>
      <c r="N1861" s="7">
        <f t="shared" si="236"/>
        <v>422.4000000001397</v>
      </c>
      <c r="O1861" s="1">
        <f t="shared" ref="O1861:O1929" si="237">19+16+16+16+16+16+16+16</f>
        <v>131</v>
      </c>
      <c r="P1861" s="1" t="str">
        <f t="shared" si="232"/>
        <v>422.40000000014,131</v>
      </c>
      <c r="Q1861" s="6" t="s">
        <v>10</v>
      </c>
      <c r="R1861" s="1">
        <v>90</v>
      </c>
      <c r="S1861" s="1">
        <v>2.5</v>
      </c>
      <c r="T1861" s="1" t="str">
        <f t="shared" ref="T1861:T1929" si="238">$Q1861&amp;" "&amp;$P1861&amp;" "&amp;$S1861&amp;" "&amp;$R1861&amp;" "&amp;$J1861</f>
        <v>-text 422.40000000014,131 2.5 90 267.969</v>
      </c>
    </row>
    <row r="1862" spans="1:20" x14ac:dyDescent="0.35">
      <c r="A1862" s="1">
        <v>287940</v>
      </c>
      <c r="B1862" s="7">
        <v>1177412.6000000001</v>
      </c>
      <c r="C1862" s="2">
        <v>271.09100000000001</v>
      </c>
      <c r="D1862" s="2">
        <v>273.863</v>
      </c>
      <c r="E1862" s="2">
        <v>2.7730000000000001</v>
      </c>
      <c r="F1862" s="2">
        <v>270.41899999999998</v>
      </c>
      <c r="G1862" s="2">
        <v>273.14999999999998</v>
      </c>
      <c r="H1862" s="2">
        <v>2.7320000000000002</v>
      </c>
      <c r="I1862" s="2">
        <v>267.98899999999998</v>
      </c>
      <c r="J1862" s="2">
        <v>267.971</v>
      </c>
      <c r="K1862" s="15">
        <v>5.1790000000000003</v>
      </c>
      <c r="L1862" s="2">
        <v>29.041</v>
      </c>
      <c r="N1862" s="7">
        <f t="shared" si="236"/>
        <v>442.4000000001397</v>
      </c>
      <c r="O1862" s="1">
        <f t="shared" si="237"/>
        <v>131</v>
      </c>
      <c r="P1862" s="1" t="str">
        <f t="shared" si="232"/>
        <v>442.40000000014,131</v>
      </c>
      <c r="Q1862" s="6" t="s">
        <v>10</v>
      </c>
      <c r="R1862" s="1">
        <v>90</v>
      </c>
      <c r="S1862" s="1">
        <v>2.5</v>
      </c>
      <c r="T1862" s="1" t="str">
        <f t="shared" si="238"/>
        <v>-text 442.40000000014,131 2.5 90 267.971</v>
      </c>
    </row>
    <row r="1863" spans="1:20" x14ac:dyDescent="0.35">
      <c r="A1863" s="1">
        <v>287960</v>
      </c>
      <c r="B1863" s="7">
        <v>1177432.6000000001</v>
      </c>
      <c r="C1863" s="2">
        <v>271.00299999999999</v>
      </c>
      <c r="D1863" s="2">
        <v>273.77499999999998</v>
      </c>
      <c r="E1863" s="2">
        <v>2.7719999999999998</v>
      </c>
      <c r="F1863" s="2">
        <v>270.33100000000002</v>
      </c>
      <c r="G1863" s="2">
        <v>273.06200000000001</v>
      </c>
      <c r="H1863" s="2">
        <v>2.7309999999999999</v>
      </c>
      <c r="I1863" s="2">
        <v>268.13499999999999</v>
      </c>
      <c r="J1863" s="2">
        <v>267.72699999999998</v>
      </c>
      <c r="K1863" s="15">
        <v>5.335</v>
      </c>
      <c r="L1863" s="2">
        <v>27.527999999999999</v>
      </c>
      <c r="N1863" s="7">
        <f t="shared" si="236"/>
        <v>462.4000000001397</v>
      </c>
      <c r="O1863" s="1">
        <f t="shared" si="237"/>
        <v>131</v>
      </c>
      <c r="P1863" s="1" t="str">
        <f t="shared" ref="P1863:P1931" si="239">CONCATENATE(N1863,",",O1863)</f>
        <v>462.40000000014,131</v>
      </c>
      <c r="Q1863" s="6" t="s">
        <v>10</v>
      </c>
      <c r="R1863" s="1">
        <v>90</v>
      </c>
      <c r="S1863" s="1">
        <v>2.5</v>
      </c>
      <c r="T1863" s="1" t="str">
        <f t="shared" si="238"/>
        <v>-text 462.40000000014,131 2.5 90 267.727</v>
      </c>
    </row>
    <row r="1864" spans="1:20" x14ac:dyDescent="0.35">
      <c r="A1864" s="1">
        <v>287980</v>
      </c>
      <c r="B1864" s="7">
        <v>1177452.8</v>
      </c>
      <c r="C1864" s="2">
        <v>270.93</v>
      </c>
      <c r="D1864" s="2">
        <v>273.68599999999998</v>
      </c>
      <c r="E1864" s="2">
        <v>2.7570000000000001</v>
      </c>
      <c r="F1864" s="2">
        <v>270.25799999999998</v>
      </c>
      <c r="G1864" s="2">
        <v>272.97300000000001</v>
      </c>
      <c r="H1864" s="2">
        <v>2.7160000000000002</v>
      </c>
      <c r="I1864" s="2">
        <v>268.21199999999999</v>
      </c>
      <c r="J1864" s="2">
        <v>267.49400000000003</v>
      </c>
      <c r="K1864" s="15">
        <v>5.4790000000000001</v>
      </c>
      <c r="L1864" s="2">
        <v>26.140999999999998</v>
      </c>
      <c r="N1864" s="7">
        <f t="shared" si="236"/>
        <v>482.60000000009313</v>
      </c>
      <c r="O1864" s="1">
        <f t="shared" si="237"/>
        <v>131</v>
      </c>
      <c r="P1864" s="1" t="str">
        <f t="shared" si="239"/>
        <v>482.600000000093,131</v>
      </c>
      <c r="Q1864" s="6" t="s">
        <v>10</v>
      </c>
      <c r="R1864" s="1">
        <v>90</v>
      </c>
      <c r="S1864" s="1">
        <v>2.5</v>
      </c>
      <c r="T1864" s="1" t="str">
        <f t="shared" si="238"/>
        <v>-text 482.600000000093,131 2.5 90 267.494</v>
      </c>
    </row>
    <row r="1865" spans="1:20" x14ac:dyDescent="0.35">
      <c r="A1865" s="1">
        <v>288000</v>
      </c>
      <c r="B1865" s="7">
        <v>1177472.8</v>
      </c>
      <c r="C1865" s="2">
        <v>270.86599999999999</v>
      </c>
      <c r="D1865" s="2">
        <v>273.59800000000001</v>
      </c>
      <c r="E1865" s="2">
        <v>2.7320000000000002</v>
      </c>
      <c r="F1865" s="2">
        <v>270.19400000000002</v>
      </c>
      <c r="G1865" s="2">
        <v>272.88499999999999</v>
      </c>
      <c r="H1865" s="2">
        <v>2.6909999999999998</v>
      </c>
      <c r="I1865" s="2">
        <v>268.37299999999999</v>
      </c>
      <c r="J1865" s="2">
        <v>267.96199999999999</v>
      </c>
      <c r="K1865" s="15">
        <v>4.923</v>
      </c>
      <c r="L1865" s="2">
        <v>24.881</v>
      </c>
      <c r="N1865" s="7">
        <f t="shared" si="236"/>
        <v>502.60000000009313</v>
      </c>
      <c r="O1865" s="1">
        <f t="shared" si="237"/>
        <v>131</v>
      </c>
      <c r="P1865" s="1" t="str">
        <f t="shared" si="239"/>
        <v>502.600000000093,131</v>
      </c>
      <c r="Q1865" s="6" t="s">
        <v>10</v>
      </c>
      <c r="R1865" s="1">
        <v>90</v>
      </c>
      <c r="S1865" s="1">
        <v>2.5</v>
      </c>
      <c r="T1865" s="1" t="str">
        <f t="shared" si="238"/>
        <v>-text 502.600000000093,131 2.5 90 267.962</v>
      </c>
    </row>
    <row r="1866" spans="1:20" s="10" customFormat="1" x14ac:dyDescent="0.35">
      <c r="B1866" s="11"/>
      <c r="C1866" s="9"/>
      <c r="D1866" s="9"/>
      <c r="E1866" s="9"/>
      <c r="F1866" s="9"/>
      <c r="G1866" s="9"/>
      <c r="H1866" s="9"/>
      <c r="I1866" s="9"/>
      <c r="J1866" s="9"/>
      <c r="K1866" s="16"/>
      <c r="L1866" s="9"/>
      <c r="M1866" s="9"/>
      <c r="N1866" s="11"/>
      <c r="Q1866" s="12"/>
    </row>
    <row r="1867" spans="1:20" x14ac:dyDescent="0.35">
      <c r="A1867" s="1">
        <v>288000</v>
      </c>
      <c r="B1867" s="7">
        <v>1177472.8</v>
      </c>
      <c r="C1867" s="2">
        <v>270.86599999999999</v>
      </c>
      <c r="D1867" s="2">
        <v>273.59800000000001</v>
      </c>
      <c r="E1867" s="2">
        <v>2.7320000000000002</v>
      </c>
      <c r="F1867" s="2">
        <v>270.19400000000002</v>
      </c>
      <c r="G1867" s="2">
        <v>272.88499999999999</v>
      </c>
      <c r="H1867" s="2">
        <v>2.6909999999999998</v>
      </c>
      <c r="I1867" s="2">
        <v>268.37299999999999</v>
      </c>
      <c r="J1867" s="2">
        <v>267.96199999999999</v>
      </c>
      <c r="K1867" s="15">
        <v>4.923</v>
      </c>
      <c r="L1867" s="2">
        <v>24.881</v>
      </c>
      <c r="N1867" s="7">
        <v>0</v>
      </c>
      <c r="O1867" s="1">
        <f t="shared" si="237"/>
        <v>131</v>
      </c>
      <c r="P1867" s="1" t="str">
        <f t="shared" si="239"/>
        <v>0,131</v>
      </c>
      <c r="Q1867" s="6" t="s">
        <v>10</v>
      </c>
      <c r="R1867" s="1">
        <v>90</v>
      </c>
      <c r="S1867" s="1">
        <v>2.5</v>
      </c>
      <c r="T1867" s="1" t="str">
        <f t="shared" si="238"/>
        <v>-text 0,131 2.5 90 267.962</v>
      </c>
    </row>
    <row r="1868" spans="1:20" x14ac:dyDescent="0.35">
      <c r="A1868" s="1">
        <v>288020</v>
      </c>
      <c r="B1868" s="7">
        <v>1177492.8</v>
      </c>
      <c r="C1868" s="2">
        <v>270.78300000000002</v>
      </c>
      <c r="D1868" s="2">
        <v>273.51</v>
      </c>
      <c r="E1868" s="2">
        <v>2.7269999999999999</v>
      </c>
      <c r="F1868" s="2">
        <v>270.11099999999999</v>
      </c>
      <c r="G1868" s="2">
        <v>272.79700000000003</v>
      </c>
      <c r="H1868" s="2">
        <v>2.6859999999999999</v>
      </c>
      <c r="I1868" s="2">
        <v>268.16899999999998</v>
      </c>
      <c r="J1868" s="2">
        <v>267.77199999999999</v>
      </c>
      <c r="K1868" s="15">
        <v>5.0250000000000004</v>
      </c>
      <c r="L1868" s="2">
        <v>23.702000000000002</v>
      </c>
      <c r="N1868" s="7">
        <f t="shared" ref="N1868:N1891" si="240">N1867+(B1868-B1867)</f>
        <v>20</v>
      </c>
      <c r="O1868" s="1">
        <f t="shared" si="237"/>
        <v>131</v>
      </c>
      <c r="P1868" s="1" t="str">
        <f t="shared" si="239"/>
        <v>20,131</v>
      </c>
      <c r="Q1868" s="6" t="s">
        <v>10</v>
      </c>
      <c r="R1868" s="1">
        <v>90</v>
      </c>
      <c r="S1868" s="1">
        <v>2.5</v>
      </c>
      <c r="T1868" s="1" t="str">
        <f t="shared" si="238"/>
        <v>-text 20,131 2.5 90 267.772</v>
      </c>
    </row>
    <row r="1869" spans="1:20" x14ac:dyDescent="0.35">
      <c r="A1869" s="1">
        <v>288040</v>
      </c>
      <c r="B1869" s="7">
        <v>1177512.8</v>
      </c>
      <c r="C1869" s="2">
        <v>270.69</v>
      </c>
      <c r="D1869" s="2">
        <v>273.42200000000003</v>
      </c>
      <c r="E1869" s="2">
        <v>2.7320000000000002</v>
      </c>
      <c r="F1869" s="2">
        <v>270.01799999999997</v>
      </c>
      <c r="G1869" s="2">
        <v>272.709</v>
      </c>
      <c r="H1869" s="2">
        <v>2.6909999999999998</v>
      </c>
      <c r="I1869" s="2">
        <v>268.072</v>
      </c>
      <c r="J1869" s="2">
        <v>267.31</v>
      </c>
      <c r="K1869" s="15">
        <v>5.399</v>
      </c>
      <c r="L1869" s="2">
        <v>22.61</v>
      </c>
      <c r="N1869" s="7">
        <f t="shared" si="240"/>
        <v>40</v>
      </c>
      <c r="O1869" s="1">
        <f t="shared" si="237"/>
        <v>131</v>
      </c>
      <c r="P1869" s="1" t="str">
        <f t="shared" si="239"/>
        <v>40,131</v>
      </c>
      <c r="Q1869" s="6" t="s">
        <v>10</v>
      </c>
      <c r="R1869" s="1">
        <v>90</v>
      </c>
      <c r="S1869" s="1">
        <v>2.5</v>
      </c>
      <c r="T1869" s="1" t="str">
        <f t="shared" si="238"/>
        <v>-text 40,131 2.5 90 267.31</v>
      </c>
    </row>
    <row r="1870" spans="1:20" x14ac:dyDescent="0.35">
      <c r="A1870" s="1">
        <v>288060</v>
      </c>
      <c r="B1870" s="7">
        <v>1177532.8999999999</v>
      </c>
      <c r="C1870" s="2">
        <v>270.62</v>
      </c>
      <c r="D1870" s="2">
        <v>273.334</v>
      </c>
      <c r="E1870" s="2">
        <v>2.7130000000000001</v>
      </c>
      <c r="F1870" s="2">
        <v>269.94799999999998</v>
      </c>
      <c r="G1870" s="2">
        <v>272.62099999999998</v>
      </c>
      <c r="H1870" s="2">
        <v>2.6720000000000002</v>
      </c>
      <c r="I1870" s="2">
        <v>268.05200000000002</v>
      </c>
      <c r="J1870" s="2">
        <v>267.64499999999998</v>
      </c>
      <c r="K1870" s="15">
        <v>4.976</v>
      </c>
      <c r="L1870" s="2">
        <v>21.649000000000001</v>
      </c>
      <c r="N1870" s="7">
        <f t="shared" si="240"/>
        <v>60.099999999860302</v>
      </c>
      <c r="O1870" s="1">
        <f t="shared" si="237"/>
        <v>131</v>
      </c>
      <c r="P1870" s="1" t="str">
        <f t="shared" si="239"/>
        <v>60.0999999998603,131</v>
      </c>
      <c r="Q1870" s="6" t="s">
        <v>10</v>
      </c>
      <c r="R1870" s="1">
        <v>90</v>
      </c>
      <c r="S1870" s="1">
        <v>2.5</v>
      </c>
      <c r="T1870" s="1" t="str">
        <f t="shared" si="238"/>
        <v>-text 60.0999999998603,131 2.5 90 267.645</v>
      </c>
    </row>
    <row r="1871" spans="1:20" x14ac:dyDescent="0.35">
      <c r="A1871" s="1">
        <v>288080</v>
      </c>
      <c r="B1871" s="7">
        <v>1177552.8999999999</v>
      </c>
      <c r="C1871" s="2">
        <v>270.55399999999997</v>
      </c>
      <c r="D1871" s="2">
        <v>273.245</v>
      </c>
      <c r="E1871" s="2">
        <v>2.6909999999999998</v>
      </c>
      <c r="F1871" s="2">
        <v>269.88200000000001</v>
      </c>
      <c r="G1871" s="2">
        <v>272.53199999999998</v>
      </c>
      <c r="H1871" s="2">
        <v>2.65</v>
      </c>
      <c r="I1871" s="2">
        <v>268.20699999999999</v>
      </c>
      <c r="J1871" s="2">
        <v>267.947</v>
      </c>
      <c r="K1871" s="15">
        <v>4.585</v>
      </c>
      <c r="L1871" s="2">
        <v>20.795000000000002</v>
      </c>
      <c r="N1871" s="7">
        <f t="shared" si="240"/>
        <v>80.099999999860302</v>
      </c>
      <c r="O1871" s="1">
        <f t="shared" si="237"/>
        <v>131</v>
      </c>
      <c r="P1871" s="1" t="str">
        <f t="shared" si="239"/>
        <v>80.0999999998603,131</v>
      </c>
      <c r="Q1871" s="6" t="s">
        <v>10</v>
      </c>
      <c r="R1871" s="1">
        <v>90</v>
      </c>
      <c r="S1871" s="1">
        <v>2.5</v>
      </c>
      <c r="T1871" s="1" t="str">
        <f t="shared" si="238"/>
        <v>-text 80.0999999998603,131 2.5 90 267.947</v>
      </c>
    </row>
    <row r="1872" spans="1:20" x14ac:dyDescent="0.35">
      <c r="A1872" s="1">
        <v>288100</v>
      </c>
      <c r="B1872" s="7">
        <v>1177572.8999999999</v>
      </c>
      <c r="C1872" s="2">
        <v>270.483</v>
      </c>
      <c r="D1872" s="2">
        <v>273.15699999999998</v>
      </c>
      <c r="E1872" s="2">
        <v>2.6739999999999999</v>
      </c>
      <c r="F1872" s="2">
        <v>269.81099999999998</v>
      </c>
      <c r="G1872" s="2">
        <v>272.44400000000002</v>
      </c>
      <c r="H1872" s="2">
        <v>2.633</v>
      </c>
      <c r="I1872" s="2">
        <v>268.2</v>
      </c>
      <c r="J1872" s="2">
        <v>267.96800000000002</v>
      </c>
      <c r="K1872" s="15">
        <v>4.476</v>
      </c>
      <c r="L1872" s="2">
        <v>20.027999999999999</v>
      </c>
      <c r="N1872" s="7">
        <f t="shared" si="240"/>
        <v>100.0999999998603</v>
      </c>
      <c r="O1872" s="1">
        <f t="shared" si="237"/>
        <v>131</v>
      </c>
      <c r="P1872" s="1" t="str">
        <f t="shared" si="239"/>
        <v>100.09999999986,131</v>
      </c>
      <c r="Q1872" s="6" t="s">
        <v>10</v>
      </c>
      <c r="R1872" s="1">
        <v>90</v>
      </c>
      <c r="S1872" s="1">
        <v>2.5</v>
      </c>
      <c r="T1872" s="1" t="str">
        <f t="shared" si="238"/>
        <v>-text 100.09999999986,131 2.5 90 267.968</v>
      </c>
    </row>
    <row r="1873" spans="1:20" x14ac:dyDescent="0.35">
      <c r="A1873" s="1">
        <v>288120</v>
      </c>
      <c r="B1873" s="7">
        <v>1177592.8999999999</v>
      </c>
      <c r="C1873" s="2">
        <v>270.41199999999998</v>
      </c>
      <c r="D1873" s="2">
        <v>273.06900000000002</v>
      </c>
      <c r="E1873" s="2">
        <v>2.657</v>
      </c>
      <c r="F1873" s="2">
        <v>269.74</v>
      </c>
      <c r="G1873" s="2">
        <v>272.35599999999999</v>
      </c>
      <c r="H1873" s="2">
        <v>2.6160000000000001</v>
      </c>
      <c r="I1873" s="2">
        <v>268.32400000000001</v>
      </c>
      <c r="J1873" s="2">
        <v>267.87400000000002</v>
      </c>
      <c r="K1873" s="15">
        <v>4.4820000000000002</v>
      </c>
      <c r="L1873" s="2">
        <v>19.361000000000001</v>
      </c>
      <c r="N1873" s="7">
        <f t="shared" si="240"/>
        <v>120.0999999998603</v>
      </c>
      <c r="O1873" s="1">
        <f t="shared" si="237"/>
        <v>131</v>
      </c>
      <c r="P1873" s="1" t="str">
        <f t="shared" si="239"/>
        <v>120.09999999986,131</v>
      </c>
      <c r="Q1873" s="6" t="s">
        <v>10</v>
      </c>
      <c r="R1873" s="1">
        <v>90</v>
      </c>
      <c r="S1873" s="1">
        <v>2.5</v>
      </c>
      <c r="T1873" s="1" t="str">
        <f t="shared" si="238"/>
        <v>-text 120.09999999986,131 2.5 90 267.874</v>
      </c>
    </row>
    <row r="1874" spans="1:20" x14ac:dyDescent="0.35">
      <c r="A1874" s="1">
        <v>288140</v>
      </c>
      <c r="B1874" s="7">
        <v>1177612.8999999999</v>
      </c>
      <c r="C1874" s="2">
        <v>270.34500000000003</v>
      </c>
      <c r="D1874" s="2">
        <v>272.98099999999999</v>
      </c>
      <c r="E1874" s="2">
        <v>2.6360000000000001</v>
      </c>
      <c r="F1874" s="2">
        <v>269.673</v>
      </c>
      <c r="G1874" s="2">
        <v>272.26799999999997</v>
      </c>
      <c r="H1874" s="2">
        <v>2.5950000000000002</v>
      </c>
      <c r="I1874" s="2">
        <v>268.55599999999998</v>
      </c>
      <c r="J1874" s="2">
        <v>267.82299999999998</v>
      </c>
      <c r="K1874" s="15">
        <v>4.4450000000000003</v>
      </c>
      <c r="L1874" s="2">
        <v>18.800999999999998</v>
      </c>
      <c r="N1874" s="7">
        <f t="shared" si="240"/>
        <v>140.0999999998603</v>
      </c>
      <c r="O1874" s="1">
        <f t="shared" si="237"/>
        <v>131</v>
      </c>
      <c r="P1874" s="1" t="str">
        <f t="shared" si="239"/>
        <v>140.09999999986,131</v>
      </c>
      <c r="Q1874" s="6" t="s">
        <v>10</v>
      </c>
      <c r="R1874" s="1">
        <v>90</v>
      </c>
      <c r="S1874" s="1">
        <v>2.5</v>
      </c>
      <c r="T1874" s="1" t="str">
        <f t="shared" si="238"/>
        <v>-text 140.09999999986,131 2.5 90 267.823</v>
      </c>
    </row>
    <row r="1875" spans="1:20" x14ac:dyDescent="0.35">
      <c r="A1875" s="1">
        <v>288160</v>
      </c>
      <c r="B1875" s="7">
        <v>1177632.8999999999</v>
      </c>
      <c r="C1875" s="2">
        <v>270.279</v>
      </c>
      <c r="D1875" s="2">
        <v>272.89299999999997</v>
      </c>
      <c r="E1875" s="2">
        <v>2.6139999999999999</v>
      </c>
      <c r="F1875" s="2">
        <v>269.60700000000003</v>
      </c>
      <c r="G1875" s="2">
        <v>272.18</v>
      </c>
      <c r="H1875" s="2">
        <v>2.573</v>
      </c>
      <c r="I1875" s="2">
        <v>268.322</v>
      </c>
      <c r="J1875" s="2">
        <v>267.77999999999997</v>
      </c>
      <c r="K1875" s="15">
        <v>4.4000000000000004</v>
      </c>
      <c r="L1875" s="2">
        <v>18.344000000000001</v>
      </c>
      <c r="N1875" s="7">
        <f t="shared" si="240"/>
        <v>160.0999999998603</v>
      </c>
      <c r="O1875" s="1">
        <f t="shared" si="237"/>
        <v>131</v>
      </c>
      <c r="P1875" s="1" t="str">
        <f t="shared" si="239"/>
        <v>160.09999999986,131</v>
      </c>
      <c r="Q1875" s="6" t="s">
        <v>10</v>
      </c>
      <c r="R1875" s="1">
        <v>90</v>
      </c>
      <c r="S1875" s="1">
        <v>2.5</v>
      </c>
      <c r="T1875" s="1" t="str">
        <f t="shared" si="238"/>
        <v>-text 160.09999999986,131 2.5 90 267.78</v>
      </c>
    </row>
    <row r="1876" spans="1:20" x14ac:dyDescent="0.35">
      <c r="A1876" s="1">
        <v>288180</v>
      </c>
      <c r="B1876" s="7">
        <v>1177652.8999999999</v>
      </c>
      <c r="C1876" s="2">
        <v>270.20100000000002</v>
      </c>
      <c r="D1876" s="2">
        <v>272.80500000000001</v>
      </c>
      <c r="E1876" s="2">
        <v>2.6030000000000002</v>
      </c>
      <c r="F1876" s="2">
        <v>269.529</v>
      </c>
      <c r="G1876" s="2">
        <v>272.09199999999998</v>
      </c>
      <c r="H1876" s="2">
        <v>2.5619999999999998</v>
      </c>
      <c r="I1876" s="2">
        <v>268.14600000000002</v>
      </c>
      <c r="J1876" s="2">
        <v>267.98700000000002</v>
      </c>
      <c r="K1876" s="15">
        <v>4.1050000000000004</v>
      </c>
      <c r="L1876" s="2">
        <v>17.983000000000001</v>
      </c>
      <c r="N1876" s="7">
        <f t="shared" si="240"/>
        <v>180.0999999998603</v>
      </c>
      <c r="O1876" s="1">
        <f t="shared" si="237"/>
        <v>131</v>
      </c>
      <c r="P1876" s="1" t="str">
        <f t="shared" si="239"/>
        <v>180.09999999986,131</v>
      </c>
      <c r="Q1876" s="6" t="s">
        <v>10</v>
      </c>
      <c r="R1876" s="1">
        <v>90</v>
      </c>
      <c r="S1876" s="1">
        <v>2.5</v>
      </c>
      <c r="T1876" s="1" t="str">
        <f t="shared" si="238"/>
        <v>-text 180.09999999986,131 2.5 90 267.987</v>
      </c>
    </row>
    <row r="1877" spans="1:20" x14ac:dyDescent="0.35">
      <c r="A1877" s="1">
        <v>288200</v>
      </c>
      <c r="B1877" s="7">
        <v>1177672.8999999999</v>
      </c>
      <c r="C1877" s="2">
        <v>270.113</v>
      </c>
      <c r="D1877" s="2">
        <v>272.71699999999998</v>
      </c>
      <c r="E1877" s="2">
        <v>2.6030000000000002</v>
      </c>
      <c r="F1877" s="2">
        <v>269.44099999999997</v>
      </c>
      <c r="G1877" s="2">
        <v>272.00400000000002</v>
      </c>
      <c r="H1877" s="2">
        <v>2.5619999999999998</v>
      </c>
      <c r="I1877" s="2">
        <v>268.15600000000001</v>
      </c>
      <c r="J1877" s="2">
        <v>268.02999999999997</v>
      </c>
      <c r="K1877" s="15">
        <v>3.9729999999999999</v>
      </c>
      <c r="L1877" s="2">
        <v>17.719000000000001</v>
      </c>
      <c r="N1877" s="7">
        <f t="shared" si="240"/>
        <v>200.0999999998603</v>
      </c>
      <c r="O1877" s="1">
        <f t="shared" si="237"/>
        <v>131</v>
      </c>
      <c r="P1877" s="1" t="str">
        <f t="shared" si="239"/>
        <v>200.09999999986,131</v>
      </c>
      <c r="Q1877" s="6" t="s">
        <v>10</v>
      </c>
      <c r="R1877" s="1">
        <v>90</v>
      </c>
      <c r="S1877" s="1">
        <v>2.5</v>
      </c>
      <c r="T1877" s="1" t="str">
        <f t="shared" si="238"/>
        <v>-text 200.09999999986,131 2.5 90 268.03</v>
      </c>
    </row>
    <row r="1878" spans="1:20" x14ac:dyDescent="0.35">
      <c r="A1878" s="1">
        <v>288220</v>
      </c>
      <c r="B1878" s="7">
        <v>1177692.7</v>
      </c>
      <c r="C1878" s="2">
        <v>270.05700000000002</v>
      </c>
      <c r="D1878" s="2">
        <v>272.63</v>
      </c>
      <c r="E1878" s="2">
        <v>2.573</v>
      </c>
      <c r="F1878" s="2">
        <v>269.38499999999999</v>
      </c>
      <c r="G1878" s="2">
        <v>271.91699999999997</v>
      </c>
      <c r="H1878" s="2">
        <v>2.532</v>
      </c>
      <c r="I1878" s="2">
        <v>268.21600000000001</v>
      </c>
      <c r="J1878" s="2">
        <v>267.88200000000001</v>
      </c>
      <c r="K1878" s="15">
        <v>4.0339999999999998</v>
      </c>
      <c r="L1878" s="2">
        <v>17.399999999999999</v>
      </c>
      <c r="N1878" s="7">
        <f t="shared" si="240"/>
        <v>219.89999999990687</v>
      </c>
      <c r="O1878" s="1">
        <f t="shared" si="237"/>
        <v>131</v>
      </c>
      <c r="P1878" s="1" t="str">
        <f t="shared" si="239"/>
        <v>219.899999999907,131</v>
      </c>
      <c r="Q1878" s="6" t="s">
        <v>10</v>
      </c>
      <c r="R1878" s="1">
        <v>90</v>
      </c>
      <c r="S1878" s="1">
        <v>2.5</v>
      </c>
      <c r="T1878" s="1" t="str">
        <f t="shared" si="238"/>
        <v>-text 219.899999999907,131 2.5 90 267.882</v>
      </c>
    </row>
    <row r="1879" spans="1:20" x14ac:dyDescent="0.35">
      <c r="A1879" s="1">
        <v>288240</v>
      </c>
      <c r="B1879" s="7">
        <v>1177712.7</v>
      </c>
      <c r="C1879" s="2">
        <v>270.02199999999999</v>
      </c>
      <c r="D1879" s="2">
        <v>272.54199999999997</v>
      </c>
      <c r="E1879" s="2">
        <v>2.52</v>
      </c>
      <c r="F1879" s="2">
        <v>269.35000000000002</v>
      </c>
      <c r="G1879" s="2">
        <v>271.82900000000001</v>
      </c>
      <c r="H1879" s="2">
        <v>2.4790000000000001</v>
      </c>
      <c r="I1879" s="2">
        <v>268.12599999999998</v>
      </c>
      <c r="J1879" s="2">
        <v>267.73200000000003</v>
      </c>
      <c r="K1879" s="15">
        <v>4.0970000000000004</v>
      </c>
      <c r="L1879" s="2">
        <v>17.071000000000002</v>
      </c>
      <c r="N1879" s="7">
        <f t="shared" si="240"/>
        <v>239.89999999990687</v>
      </c>
      <c r="O1879" s="1">
        <f t="shared" si="237"/>
        <v>131</v>
      </c>
      <c r="P1879" s="1" t="str">
        <f t="shared" si="239"/>
        <v>239.899999999907,131</v>
      </c>
      <c r="Q1879" s="6" t="s">
        <v>10</v>
      </c>
      <c r="R1879" s="1">
        <v>90</v>
      </c>
      <c r="S1879" s="1">
        <v>2.5</v>
      </c>
      <c r="T1879" s="1" t="str">
        <f t="shared" si="238"/>
        <v>-text 239.899999999907,131 2.5 90 267.732</v>
      </c>
    </row>
    <row r="1880" spans="1:20" x14ac:dyDescent="0.35">
      <c r="A1880" s="1">
        <v>288260</v>
      </c>
      <c r="B1880" s="7">
        <v>1177732.7</v>
      </c>
      <c r="C1880" s="2">
        <v>269.98700000000002</v>
      </c>
      <c r="D1880" s="2">
        <v>272.45299999999997</v>
      </c>
      <c r="E1880" s="2">
        <v>2.4670000000000001</v>
      </c>
      <c r="F1880" s="2">
        <v>269.315</v>
      </c>
      <c r="G1880" s="2">
        <v>271.74</v>
      </c>
      <c r="H1880" s="2">
        <v>2.4260000000000002</v>
      </c>
      <c r="I1880" s="2">
        <v>268.28399999999999</v>
      </c>
      <c r="J1880" s="2">
        <v>267.90300000000002</v>
      </c>
      <c r="K1880" s="15">
        <v>3.8380000000000001</v>
      </c>
      <c r="L1880" s="2">
        <v>16.841999999999999</v>
      </c>
      <c r="N1880" s="7">
        <f t="shared" si="240"/>
        <v>259.89999999990687</v>
      </c>
      <c r="O1880" s="1">
        <f t="shared" si="237"/>
        <v>131</v>
      </c>
      <c r="P1880" s="1" t="str">
        <f t="shared" si="239"/>
        <v>259.899999999907,131</v>
      </c>
      <c r="Q1880" s="6" t="s">
        <v>10</v>
      </c>
      <c r="R1880" s="1">
        <v>90</v>
      </c>
      <c r="S1880" s="1">
        <v>2.5</v>
      </c>
      <c r="T1880" s="1" t="str">
        <f t="shared" si="238"/>
        <v>-text 259.899999999907,131 2.5 90 267.903</v>
      </c>
    </row>
    <row r="1881" spans="1:20" x14ac:dyDescent="0.35">
      <c r="A1881" s="1">
        <v>288280</v>
      </c>
      <c r="B1881" s="7">
        <v>1177752.5</v>
      </c>
      <c r="C1881" s="2">
        <v>269.95</v>
      </c>
      <c r="D1881" s="2">
        <v>272.36599999999999</v>
      </c>
      <c r="E1881" s="2">
        <v>2.4159999999999999</v>
      </c>
      <c r="F1881" s="2">
        <v>269.27800000000002</v>
      </c>
      <c r="G1881" s="2">
        <v>271.65300000000002</v>
      </c>
      <c r="H1881" s="2">
        <v>2.375</v>
      </c>
      <c r="I1881" s="2">
        <v>268.29899999999998</v>
      </c>
      <c r="J1881" s="2">
        <v>268.02699999999999</v>
      </c>
      <c r="K1881" s="15">
        <v>3.6269999999999998</v>
      </c>
      <c r="L1881" s="2">
        <v>16.698</v>
      </c>
      <c r="N1881" s="7">
        <f t="shared" si="240"/>
        <v>279.69999999995343</v>
      </c>
      <c r="O1881" s="1">
        <f t="shared" si="237"/>
        <v>131</v>
      </c>
      <c r="P1881" s="1" t="str">
        <f t="shared" si="239"/>
        <v>279.699999999953,131</v>
      </c>
      <c r="Q1881" s="6" t="s">
        <v>10</v>
      </c>
      <c r="R1881" s="1">
        <v>90</v>
      </c>
      <c r="S1881" s="1">
        <v>2.5</v>
      </c>
      <c r="T1881" s="1" t="str">
        <f t="shared" si="238"/>
        <v>-text 279.699999999953,131 2.5 90 268.027</v>
      </c>
    </row>
    <row r="1882" spans="1:20" x14ac:dyDescent="0.35">
      <c r="A1882" s="1">
        <v>288300</v>
      </c>
      <c r="B1882" s="7">
        <v>1177772.5</v>
      </c>
      <c r="C1882" s="2">
        <v>269.892</v>
      </c>
      <c r="D1882" s="2">
        <v>272.27800000000002</v>
      </c>
      <c r="E1882" s="2">
        <v>2.3860000000000001</v>
      </c>
      <c r="F1882" s="2">
        <v>269.22000000000003</v>
      </c>
      <c r="G1882" s="2">
        <v>271.565</v>
      </c>
      <c r="H1882" s="2">
        <v>2.3450000000000002</v>
      </c>
      <c r="I1882" s="2">
        <v>268.29700000000003</v>
      </c>
      <c r="J1882" s="2">
        <v>267.971</v>
      </c>
      <c r="K1882" s="15">
        <v>3.5939999999999999</v>
      </c>
      <c r="L1882" s="2">
        <v>16.440000000000001</v>
      </c>
      <c r="N1882" s="7">
        <f t="shared" si="240"/>
        <v>299.69999999995343</v>
      </c>
      <c r="O1882" s="1">
        <f t="shared" si="237"/>
        <v>131</v>
      </c>
      <c r="P1882" s="1" t="str">
        <f t="shared" si="239"/>
        <v>299.699999999953,131</v>
      </c>
      <c r="Q1882" s="6" t="s">
        <v>10</v>
      </c>
      <c r="R1882" s="1">
        <v>90</v>
      </c>
      <c r="S1882" s="1">
        <v>2.5</v>
      </c>
      <c r="T1882" s="1" t="str">
        <f t="shared" si="238"/>
        <v>-text 299.699999999953,131 2.5 90 267.971</v>
      </c>
    </row>
    <row r="1883" spans="1:20" x14ac:dyDescent="0.35">
      <c r="A1883" s="1">
        <v>288320</v>
      </c>
      <c r="B1883" s="7">
        <v>1177792.3</v>
      </c>
      <c r="C1883" s="2">
        <v>269.85000000000002</v>
      </c>
      <c r="D1883" s="2">
        <v>272.19099999999997</v>
      </c>
      <c r="E1883" s="2">
        <v>2.34</v>
      </c>
      <c r="F1883" s="2">
        <v>269.178</v>
      </c>
      <c r="G1883" s="2">
        <v>271.47800000000001</v>
      </c>
      <c r="H1883" s="2">
        <v>2.2989999999999999</v>
      </c>
      <c r="I1883" s="2">
        <v>268.30500000000001</v>
      </c>
      <c r="J1883" s="2">
        <v>267.95100000000002</v>
      </c>
      <c r="K1883" s="15">
        <v>3.5270000000000001</v>
      </c>
      <c r="L1883" s="2">
        <v>16.128</v>
      </c>
      <c r="N1883" s="7">
        <f t="shared" si="240"/>
        <v>319.5</v>
      </c>
      <c r="O1883" s="1">
        <f t="shared" si="237"/>
        <v>131</v>
      </c>
      <c r="P1883" s="1" t="str">
        <f t="shared" si="239"/>
        <v>319.5,131</v>
      </c>
      <c r="Q1883" s="6" t="s">
        <v>10</v>
      </c>
      <c r="R1883" s="1">
        <v>90</v>
      </c>
      <c r="S1883" s="1">
        <v>2.5</v>
      </c>
      <c r="T1883" s="1" t="str">
        <f t="shared" si="238"/>
        <v>-text 319.5,131 2.5 90 267.951</v>
      </c>
    </row>
    <row r="1884" spans="1:20" x14ac:dyDescent="0.35">
      <c r="A1884" s="1">
        <v>288340</v>
      </c>
      <c r="B1884" s="7">
        <v>1177812.3</v>
      </c>
      <c r="C1884" s="2">
        <v>269.81599999999997</v>
      </c>
      <c r="D1884" s="2">
        <v>272.10300000000001</v>
      </c>
      <c r="E1884" s="2">
        <v>2.2869999999999999</v>
      </c>
      <c r="F1884" s="2">
        <v>269.14400000000001</v>
      </c>
      <c r="G1884" s="2">
        <v>271.39</v>
      </c>
      <c r="H1884" s="2">
        <v>2.246</v>
      </c>
      <c r="I1884" s="2">
        <v>268.31700000000001</v>
      </c>
      <c r="J1884" s="2">
        <v>268.14699999999999</v>
      </c>
      <c r="K1884" s="15">
        <v>3.242</v>
      </c>
      <c r="L1884" s="2">
        <v>15.843999999999999</v>
      </c>
      <c r="N1884" s="7">
        <f t="shared" si="240"/>
        <v>339.5</v>
      </c>
      <c r="O1884" s="1">
        <f t="shared" si="237"/>
        <v>131</v>
      </c>
      <c r="P1884" s="1" t="str">
        <f t="shared" si="239"/>
        <v>339.5,131</v>
      </c>
      <c r="Q1884" s="6" t="s">
        <v>10</v>
      </c>
      <c r="R1884" s="1">
        <v>90</v>
      </c>
      <c r="S1884" s="1">
        <v>2.5</v>
      </c>
      <c r="T1884" s="1" t="str">
        <f t="shared" si="238"/>
        <v>-text 339.5,131 2.5 90 268.147</v>
      </c>
    </row>
    <row r="1885" spans="1:20" x14ac:dyDescent="0.35">
      <c r="A1885" s="1">
        <v>288360</v>
      </c>
      <c r="B1885" s="7">
        <v>1177832.2</v>
      </c>
      <c r="C1885" s="2">
        <v>269.70999999999998</v>
      </c>
      <c r="D1885" s="2">
        <v>272.01499999999999</v>
      </c>
      <c r="E1885" s="2">
        <v>2.3050000000000002</v>
      </c>
      <c r="F1885" s="2">
        <v>269.03800000000001</v>
      </c>
      <c r="G1885" s="2">
        <v>271.30200000000002</v>
      </c>
      <c r="H1885" s="2">
        <v>2.2639999999999998</v>
      </c>
      <c r="I1885" s="2">
        <v>268.31799999999998</v>
      </c>
      <c r="J1885" s="2">
        <v>268.25799999999998</v>
      </c>
      <c r="K1885" s="15">
        <v>3.044</v>
      </c>
      <c r="L1885" s="2">
        <v>15.462</v>
      </c>
      <c r="N1885" s="7">
        <f t="shared" si="240"/>
        <v>359.39999999990687</v>
      </c>
      <c r="O1885" s="1">
        <f t="shared" si="237"/>
        <v>131</v>
      </c>
      <c r="P1885" s="1" t="str">
        <f t="shared" si="239"/>
        <v>359.399999999907,131</v>
      </c>
      <c r="Q1885" s="6" t="s">
        <v>10</v>
      </c>
      <c r="R1885" s="1">
        <v>90</v>
      </c>
      <c r="S1885" s="1">
        <v>2.5</v>
      </c>
      <c r="T1885" s="1" t="str">
        <f t="shared" si="238"/>
        <v>-text 359.399999999907,131 2.5 90 268.258</v>
      </c>
    </row>
    <row r="1886" spans="1:20" x14ac:dyDescent="0.35">
      <c r="A1886" s="1">
        <v>288380</v>
      </c>
      <c r="B1886" s="7">
        <v>1177852.1000000001</v>
      </c>
      <c r="C1886" s="2">
        <v>269.61500000000001</v>
      </c>
      <c r="D1886" s="2">
        <v>271.928</v>
      </c>
      <c r="E1886" s="2">
        <v>2.3130000000000002</v>
      </c>
      <c r="F1886" s="2">
        <v>268.94299999999998</v>
      </c>
      <c r="G1886" s="2">
        <v>271.21499999999997</v>
      </c>
      <c r="H1886" s="2">
        <v>2.2719999999999998</v>
      </c>
      <c r="I1886" s="2">
        <v>268.32499999999999</v>
      </c>
      <c r="J1886" s="2">
        <v>268.161</v>
      </c>
      <c r="K1886" s="15">
        <v>3.0539999999999998</v>
      </c>
      <c r="L1886" s="2">
        <v>15.106999999999999</v>
      </c>
      <c r="N1886" s="7">
        <f t="shared" si="240"/>
        <v>379.30000000004657</v>
      </c>
      <c r="O1886" s="1">
        <f t="shared" si="237"/>
        <v>131</v>
      </c>
      <c r="P1886" s="1" t="str">
        <f t="shared" si="239"/>
        <v>379.300000000047,131</v>
      </c>
      <c r="Q1886" s="6" t="s">
        <v>10</v>
      </c>
      <c r="R1886" s="1">
        <v>90</v>
      </c>
      <c r="S1886" s="1">
        <v>2.5</v>
      </c>
      <c r="T1886" s="1" t="str">
        <f t="shared" si="238"/>
        <v>-text 379.300000000047,131 2.5 90 268.161</v>
      </c>
    </row>
    <row r="1887" spans="1:20" x14ac:dyDescent="0.35">
      <c r="A1887" s="1">
        <v>288400</v>
      </c>
      <c r="B1887" s="7">
        <v>1177872.1000000001</v>
      </c>
      <c r="C1887" s="2">
        <v>269.53800000000001</v>
      </c>
      <c r="D1887" s="2">
        <v>271.83999999999997</v>
      </c>
      <c r="E1887" s="2">
        <v>2.302</v>
      </c>
      <c r="F1887" s="2">
        <v>268.86599999999999</v>
      </c>
      <c r="G1887" s="2">
        <v>271.12700000000001</v>
      </c>
      <c r="H1887" s="2">
        <v>2.2610000000000001</v>
      </c>
      <c r="I1887" s="2">
        <v>268.363</v>
      </c>
      <c r="J1887" s="2">
        <v>268.149</v>
      </c>
      <c r="K1887" s="15">
        <v>2.9769999999999999</v>
      </c>
      <c r="L1887" s="2">
        <v>14.75</v>
      </c>
      <c r="N1887" s="7">
        <f t="shared" si="240"/>
        <v>399.30000000004657</v>
      </c>
      <c r="O1887" s="1">
        <f t="shared" si="237"/>
        <v>131</v>
      </c>
      <c r="P1887" s="1" t="str">
        <f t="shared" si="239"/>
        <v>399.300000000047,131</v>
      </c>
      <c r="Q1887" s="6" t="s">
        <v>10</v>
      </c>
      <c r="R1887" s="1">
        <v>90</v>
      </c>
      <c r="S1887" s="1">
        <v>2.5</v>
      </c>
      <c r="T1887" s="1" t="str">
        <f t="shared" si="238"/>
        <v>-text 399.300000000047,131 2.5 90 268.149</v>
      </c>
    </row>
    <row r="1888" spans="1:20" x14ac:dyDescent="0.35">
      <c r="A1888" s="1">
        <v>288420</v>
      </c>
      <c r="B1888" s="7">
        <v>1177892</v>
      </c>
      <c r="C1888" s="2">
        <v>269.56400000000002</v>
      </c>
      <c r="D1888" s="2">
        <v>271.75200000000001</v>
      </c>
      <c r="E1888" s="2">
        <v>2.1880000000000002</v>
      </c>
      <c r="F1888" s="2">
        <v>268.892</v>
      </c>
      <c r="G1888" s="2">
        <v>271.03899999999999</v>
      </c>
      <c r="H1888" s="2">
        <v>2.1469999999999998</v>
      </c>
      <c r="I1888" s="2">
        <v>268.42399999999998</v>
      </c>
      <c r="J1888" s="2">
        <v>267.87400000000002</v>
      </c>
      <c r="K1888" s="15">
        <v>3.165</v>
      </c>
      <c r="L1888" s="2">
        <v>14.367000000000001</v>
      </c>
      <c r="N1888" s="7">
        <f t="shared" si="240"/>
        <v>419.19999999995343</v>
      </c>
      <c r="O1888" s="1">
        <f t="shared" si="237"/>
        <v>131</v>
      </c>
      <c r="P1888" s="1" t="str">
        <f t="shared" si="239"/>
        <v>419.199999999953,131</v>
      </c>
      <c r="Q1888" s="6" t="s">
        <v>10</v>
      </c>
      <c r="R1888" s="1">
        <v>90</v>
      </c>
      <c r="S1888" s="1">
        <v>2.5</v>
      </c>
      <c r="T1888" s="1" t="str">
        <f t="shared" si="238"/>
        <v>-text 419.199999999953,131 2.5 90 267.874</v>
      </c>
    </row>
    <row r="1889" spans="1:20" x14ac:dyDescent="0.35">
      <c r="A1889" s="1">
        <v>288440</v>
      </c>
      <c r="B1889" s="7">
        <v>1177911.8</v>
      </c>
      <c r="C1889" s="2">
        <v>269.53899999999999</v>
      </c>
      <c r="D1889" s="2">
        <v>271.66500000000002</v>
      </c>
      <c r="E1889" s="2">
        <v>2.125</v>
      </c>
      <c r="F1889" s="2">
        <v>268.86700000000002</v>
      </c>
      <c r="G1889" s="2">
        <v>270.952</v>
      </c>
      <c r="H1889" s="2">
        <v>2.0840000000000001</v>
      </c>
      <c r="I1889" s="2">
        <v>268.47300000000001</v>
      </c>
      <c r="J1889" s="2">
        <v>267.79500000000002</v>
      </c>
      <c r="K1889" s="15">
        <v>3.157</v>
      </c>
      <c r="L1889" s="2">
        <v>13.862</v>
      </c>
      <c r="N1889" s="7">
        <f t="shared" si="240"/>
        <v>439</v>
      </c>
      <c r="O1889" s="1">
        <f t="shared" si="237"/>
        <v>131</v>
      </c>
      <c r="P1889" s="1" t="str">
        <f t="shared" si="239"/>
        <v>439,131</v>
      </c>
      <c r="Q1889" s="6" t="s">
        <v>10</v>
      </c>
      <c r="R1889" s="1">
        <v>90</v>
      </c>
      <c r="S1889" s="1">
        <v>2.5</v>
      </c>
      <c r="T1889" s="1" t="str">
        <f t="shared" si="238"/>
        <v>-text 439,131 2.5 90 267.795</v>
      </c>
    </row>
    <row r="1890" spans="1:20" x14ac:dyDescent="0.35">
      <c r="A1890" s="1">
        <v>288460</v>
      </c>
      <c r="B1890" s="7">
        <v>1177931.8</v>
      </c>
      <c r="C1890" s="2">
        <v>269.47399999999999</v>
      </c>
      <c r="D1890" s="2">
        <v>271.57600000000002</v>
      </c>
      <c r="E1890" s="2">
        <v>2.1019999999999999</v>
      </c>
      <c r="F1890" s="2">
        <v>268.80200000000002</v>
      </c>
      <c r="G1890" s="2">
        <v>270.863</v>
      </c>
      <c r="H1890" s="2">
        <v>2.0609999999999999</v>
      </c>
      <c r="I1890" s="2">
        <v>268.52699999999999</v>
      </c>
      <c r="J1890" s="2">
        <v>268.06599999999997</v>
      </c>
      <c r="K1890" s="15">
        <v>2.7970000000000002</v>
      </c>
      <c r="L1890" s="2">
        <v>13.286</v>
      </c>
      <c r="N1890" s="7">
        <f t="shared" si="240"/>
        <v>459</v>
      </c>
      <c r="O1890" s="1">
        <f t="shared" si="237"/>
        <v>131</v>
      </c>
      <c r="P1890" s="1" t="str">
        <f t="shared" si="239"/>
        <v>459,131</v>
      </c>
      <c r="Q1890" s="6" t="s">
        <v>10</v>
      </c>
      <c r="R1890" s="1">
        <v>90</v>
      </c>
      <c r="S1890" s="1">
        <v>2.5</v>
      </c>
      <c r="T1890" s="1" t="str">
        <f t="shared" si="238"/>
        <v>-text 459,131 2.5 90 268.066</v>
      </c>
    </row>
    <row r="1891" spans="1:20" x14ac:dyDescent="0.35">
      <c r="A1891" s="1">
        <v>288480</v>
      </c>
      <c r="B1891" s="7">
        <v>1177951.8</v>
      </c>
      <c r="C1891" s="2">
        <v>269.38</v>
      </c>
      <c r="D1891" s="2">
        <v>271.488</v>
      </c>
      <c r="E1891" s="2">
        <v>2.109</v>
      </c>
      <c r="F1891" s="2">
        <v>268.70800000000003</v>
      </c>
      <c r="G1891" s="2">
        <v>270.77499999999998</v>
      </c>
      <c r="H1891" s="2">
        <v>2.0680000000000001</v>
      </c>
      <c r="I1891" s="2">
        <v>268.65199999999999</v>
      </c>
      <c r="J1891" s="2">
        <v>267.959</v>
      </c>
      <c r="K1891" s="15">
        <v>2.8170000000000002</v>
      </c>
      <c r="L1891" s="2">
        <v>12.692</v>
      </c>
      <c r="N1891" s="7">
        <f t="shared" si="240"/>
        <v>479</v>
      </c>
      <c r="O1891" s="1">
        <f t="shared" si="237"/>
        <v>131</v>
      </c>
      <c r="P1891" s="1" t="str">
        <f t="shared" si="239"/>
        <v>479,131</v>
      </c>
      <c r="Q1891" s="6" t="s">
        <v>10</v>
      </c>
      <c r="R1891" s="1">
        <v>90</v>
      </c>
      <c r="S1891" s="1">
        <v>2.5</v>
      </c>
      <c r="T1891" s="1" t="str">
        <f t="shared" si="238"/>
        <v>-text 479,131 2.5 90 267.959</v>
      </c>
    </row>
    <row r="1892" spans="1:20" x14ac:dyDescent="0.35">
      <c r="A1892" s="1">
        <v>288500</v>
      </c>
      <c r="B1892" s="7">
        <v>1177971.8999999999</v>
      </c>
      <c r="C1892" s="2">
        <v>269.26400000000001</v>
      </c>
      <c r="D1892" s="2">
        <v>271.39999999999998</v>
      </c>
      <c r="E1892" s="2">
        <v>2.1360000000000001</v>
      </c>
      <c r="F1892" s="2">
        <v>268.59199999999998</v>
      </c>
      <c r="G1892" s="2">
        <v>270.68700000000001</v>
      </c>
      <c r="H1892" s="2">
        <v>2.0950000000000002</v>
      </c>
      <c r="I1892" s="2">
        <v>268.80500000000001</v>
      </c>
      <c r="J1892" s="2">
        <v>268.20699999999999</v>
      </c>
      <c r="K1892" s="15">
        <v>2.48</v>
      </c>
      <c r="L1892" s="2">
        <v>12.103</v>
      </c>
      <c r="N1892" s="7">
        <f>N1889+(B1892-B1889)</f>
        <v>499.0999999998603</v>
      </c>
      <c r="O1892" s="1">
        <f t="shared" si="237"/>
        <v>131</v>
      </c>
      <c r="P1892" s="1" t="str">
        <f t="shared" ref="P1892" si="241">CONCATENATE(N1892,",",O1892)</f>
        <v>499.09999999986,131</v>
      </c>
      <c r="Q1892" s="6" t="s">
        <v>10</v>
      </c>
      <c r="R1892" s="1">
        <v>90</v>
      </c>
      <c r="S1892" s="1">
        <v>2.5</v>
      </c>
      <c r="T1892" s="1" t="str">
        <f t="shared" si="238"/>
        <v>-text 499.09999999986,131 2.5 90 268.207</v>
      </c>
    </row>
    <row r="1893" spans="1:20" s="10" customFormat="1" x14ac:dyDescent="0.35">
      <c r="B1893" s="11"/>
      <c r="C1893" s="9"/>
      <c r="D1893" s="9"/>
      <c r="E1893" s="9"/>
      <c r="F1893" s="9"/>
      <c r="G1893" s="9"/>
      <c r="H1893" s="9"/>
      <c r="I1893" s="9"/>
      <c r="J1893" s="9"/>
      <c r="K1893" s="16"/>
      <c r="L1893" s="9"/>
      <c r="M1893" s="9"/>
      <c r="N1893" s="11"/>
      <c r="Q1893" s="12"/>
    </row>
    <row r="1894" spans="1:20" x14ac:dyDescent="0.35">
      <c r="A1894" s="1">
        <v>288500</v>
      </c>
      <c r="B1894" s="7">
        <v>1177971.8999999999</v>
      </c>
      <c r="C1894" s="2">
        <v>269.26400000000001</v>
      </c>
      <c r="D1894" s="2">
        <v>271.39999999999998</v>
      </c>
      <c r="E1894" s="2">
        <v>2.1360000000000001</v>
      </c>
      <c r="F1894" s="2">
        <v>268.59199999999998</v>
      </c>
      <c r="G1894" s="2">
        <v>270.68700000000001</v>
      </c>
      <c r="H1894" s="2">
        <v>2.0950000000000002</v>
      </c>
      <c r="I1894" s="2">
        <v>268.80500000000001</v>
      </c>
      <c r="J1894" s="2">
        <v>268.20699999999999</v>
      </c>
      <c r="K1894" s="15">
        <v>2.48</v>
      </c>
      <c r="L1894" s="2">
        <v>12.103</v>
      </c>
      <c r="N1894" s="7">
        <v>0</v>
      </c>
      <c r="O1894" s="1">
        <f t="shared" si="237"/>
        <v>131</v>
      </c>
      <c r="P1894" s="1" t="str">
        <f t="shared" si="239"/>
        <v>0,131</v>
      </c>
      <c r="Q1894" s="6" t="s">
        <v>10</v>
      </c>
      <c r="R1894" s="1">
        <v>90</v>
      </c>
      <c r="S1894" s="1">
        <v>2.5</v>
      </c>
      <c r="T1894" s="1" t="str">
        <f t="shared" si="238"/>
        <v>-text 0,131 2.5 90 268.207</v>
      </c>
    </row>
    <row r="1895" spans="1:20" x14ac:dyDescent="0.35">
      <c r="A1895" s="1">
        <v>288520</v>
      </c>
      <c r="B1895" s="7">
        <v>1177991.8999999999</v>
      </c>
      <c r="C1895" s="2">
        <v>269.12900000000002</v>
      </c>
      <c r="D1895" s="2">
        <v>271.31200000000001</v>
      </c>
      <c r="E1895" s="2">
        <v>2.1829999999999998</v>
      </c>
      <c r="F1895" s="2">
        <v>268.45699999999999</v>
      </c>
      <c r="G1895" s="2">
        <v>270.59899999999999</v>
      </c>
      <c r="H1895" s="2">
        <v>2.1419999999999999</v>
      </c>
      <c r="I1895" s="2">
        <v>268.779</v>
      </c>
      <c r="J1895" s="2">
        <v>268.548</v>
      </c>
      <c r="K1895" s="15">
        <v>2.0510000000000002</v>
      </c>
      <c r="L1895" s="2">
        <v>11.516999999999999</v>
      </c>
      <c r="N1895" s="7">
        <f t="shared" ref="N1895:N1918" si="242">N1894+(B1895-B1894)</f>
        <v>20</v>
      </c>
      <c r="O1895" s="1">
        <f t="shared" si="237"/>
        <v>131</v>
      </c>
      <c r="P1895" s="1" t="str">
        <f t="shared" si="239"/>
        <v>20,131</v>
      </c>
      <c r="Q1895" s="6" t="s">
        <v>10</v>
      </c>
      <c r="R1895" s="1">
        <v>90</v>
      </c>
      <c r="S1895" s="1">
        <v>2.5</v>
      </c>
      <c r="T1895" s="1" t="str">
        <f t="shared" si="238"/>
        <v>-text 20,131 2.5 90 268.548</v>
      </c>
    </row>
    <row r="1896" spans="1:20" x14ac:dyDescent="0.35">
      <c r="A1896" s="1">
        <v>288540</v>
      </c>
      <c r="B1896" s="7">
        <v>1178011.8999999999</v>
      </c>
      <c r="C1896" s="2">
        <v>269.00099999999998</v>
      </c>
      <c r="D1896" s="2">
        <v>271.22399999999999</v>
      </c>
      <c r="E1896" s="2">
        <v>2.2229999999999999</v>
      </c>
      <c r="F1896" s="2">
        <v>268.32900000000001</v>
      </c>
      <c r="G1896" s="2">
        <v>270.51100000000002</v>
      </c>
      <c r="H1896" s="2">
        <v>2.1819999999999999</v>
      </c>
      <c r="I1896" s="2">
        <v>268.36599999999999</v>
      </c>
      <c r="J1896" s="2">
        <v>268.21800000000002</v>
      </c>
      <c r="K1896" s="15">
        <v>2.2930000000000001</v>
      </c>
      <c r="L1896" s="2">
        <v>10.997999999999999</v>
      </c>
      <c r="N1896" s="7">
        <f t="shared" si="242"/>
        <v>40</v>
      </c>
      <c r="O1896" s="1">
        <f t="shared" si="237"/>
        <v>131</v>
      </c>
      <c r="P1896" s="1" t="str">
        <f t="shared" si="239"/>
        <v>40,131</v>
      </c>
      <c r="Q1896" s="6" t="s">
        <v>10</v>
      </c>
      <c r="R1896" s="1">
        <v>90</v>
      </c>
      <c r="S1896" s="1">
        <v>2.5</v>
      </c>
      <c r="T1896" s="1" t="str">
        <f t="shared" si="238"/>
        <v>-text 40,131 2.5 90 268.218</v>
      </c>
    </row>
    <row r="1897" spans="1:20" x14ac:dyDescent="0.35">
      <c r="A1897" s="1">
        <v>288560</v>
      </c>
      <c r="B1897" s="7">
        <v>1178032</v>
      </c>
      <c r="C1897" s="2">
        <v>268.89100000000002</v>
      </c>
      <c r="D1897" s="2">
        <v>271.13499999999999</v>
      </c>
      <c r="E1897" s="2">
        <v>2.2440000000000002</v>
      </c>
      <c r="F1897" s="2">
        <v>268.21899999999999</v>
      </c>
      <c r="G1897" s="2">
        <v>270.42200000000003</v>
      </c>
      <c r="H1897" s="2">
        <v>2.2029999999999998</v>
      </c>
      <c r="I1897" s="2">
        <v>268.31099999999998</v>
      </c>
      <c r="J1897" s="2">
        <v>268.37799999999999</v>
      </c>
      <c r="K1897" s="15">
        <v>2.044</v>
      </c>
      <c r="L1897" s="2">
        <v>10.525</v>
      </c>
      <c r="N1897" s="7">
        <f t="shared" si="242"/>
        <v>60.100000000093132</v>
      </c>
      <c r="O1897" s="1">
        <f t="shared" si="237"/>
        <v>131</v>
      </c>
      <c r="P1897" s="1" t="str">
        <f t="shared" si="239"/>
        <v>60.1000000000931,131</v>
      </c>
      <c r="Q1897" s="6" t="s">
        <v>10</v>
      </c>
      <c r="R1897" s="1">
        <v>90</v>
      </c>
      <c r="S1897" s="1">
        <v>2.5</v>
      </c>
      <c r="T1897" s="1" t="str">
        <f t="shared" si="238"/>
        <v>-text 60.1000000000931,131 2.5 90 268.378</v>
      </c>
    </row>
    <row r="1898" spans="1:20" x14ac:dyDescent="0.35">
      <c r="A1898" s="1">
        <v>288580</v>
      </c>
      <c r="B1898" s="7">
        <v>1178052.1000000001</v>
      </c>
      <c r="C1898" s="2">
        <v>268.81700000000001</v>
      </c>
      <c r="D1898" s="2">
        <v>271.04700000000003</v>
      </c>
      <c r="E1898" s="2">
        <v>2.23</v>
      </c>
      <c r="F1898" s="2">
        <v>268.14499999999998</v>
      </c>
      <c r="G1898" s="2">
        <v>270.334</v>
      </c>
      <c r="H1898" s="2">
        <v>2.1890000000000001</v>
      </c>
      <c r="I1898" s="2">
        <v>268.75700000000001</v>
      </c>
      <c r="J1898" s="2">
        <v>268.18200000000002</v>
      </c>
      <c r="K1898" s="15">
        <v>2.1520000000000001</v>
      </c>
      <c r="L1898" s="2">
        <v>10.130000000000001</v>
      </c>
      <c r="N1898" s="7">
        <f t="shared" si="242"/>
        <v>80.200000000186265</v>
      </c>
      <c r="O1898" s="1">
        <f t="shared" si="237"/>
        <v>131</v>
      </c>
      <c r="P1898" s="1" t="str">
        <f t="shared" si="239"/>
        <v>80.2000000001863,131</v>
      </c>
      <c r="Q1898" s="6" t="s">
        <v>10</v>
      </c>
      <c r="R1898" s="1">
        <v>90</v>
      </c>
      <c r="S1898" s="1">
        <v>2.5</v>
      </c>
      <c r="T1898" s="1" t="str">
        <f t="shared" si="238"/>
        <v>-text 80.2000000001863,131 2.5 90 268.182</v>
      </c>
    </row>
    <row r="1899" spans="1:20" x14ac:dyDescent="0.35">
      <c r="A1899" s="1">
        <v>288600</v>
      </c>
      <c r="B1899" s="7">
        <v>1178072</v>
      </c>
      <c r="C1899" s="2">
        <v>268.786</v>
      </c>
      <c r="D1899" s="2">
        <v>270.959</v>
      </c>
      <c r="E1899" s="2">
        <v>2.173</v>
      </c>
      <c r="F1899" s="2">
        <v>268.11399999999998</v>
      </c>
      <c r="G1899" s="2">
        <v>270.24599999999998</v>
      </c>
      <c r="H1899" s="2">
        <v>2.1320000000000001</v>
      </c>
      <c r="I1899" s="2">
        <v>268.52499999999998</v>
      </c>
      <c r="J1899" s="2">
        <v>268.358</v>
      </c>
      <c r="K1899" s="15">
        <v>1.8879999999999999</v>
      </c>
      <c r="L1899" s="2">
        <v>9.8870000000000005</v>
      </c>
      <c r="N1899" s="7">
        <f t="shared" si="242"/>
        <v>100.10000000009313</v>
      </c>
      <c r="O1899" s="1">
        <f t="shared" si="237"/>
        <v>131</v>
      </c>
      <c r="P1899" s="1" t="str">
        <f t="shared" si="239"/>
        <v>100.100000000093,131</v>
      </c>
      <c r="Q1899" s="6" t="s">
        <v>10</v>
      </c>
      <c r="R1899" s="1">
        <v>90</v>
      </c>
      <c r="S1899" s="1">
        <v>2.5</v>
      </c>
      <c r="T1899" s="1" t="str">
        <f t="shared" si="238"/>
        <v>-text 100.100000000093,131 2.5 90 268.358</v>
      </c>
    </row>
    <row r="1900" spans="1:20" x14ac:dyDescent="0.35">
      <c r="A1900" s="1">
        <v>288620</v>
      </c>
      <c r="B1900" s="7">
        <v>1178092.2</v>
      </c>
      <c r="C1900" s="2">
        <v>268.78300000000002</v>
      </c>
      <c r="D1900" s="2">
        <v>270.87</v>
      </c>
      <c r="E1900" s="2">
        <v>2.0880000000000001</v>
      </c>
      <c r="F1900" s="2">
        <v>268.11099999999999</v>
      </c>
      <c r="G1900" s="2">
        <v>270.15699999999998</v>
      </c>
      <c r="H1900" s="2">
        <v>2.0470000000000002</v>
      </c>
      <c r="I1900" s="2">
        <v>268.32900000000001</v>
      </c>
      <c r="J1900" s="2">
        <v>268.49</v>
      </c>
      <c r="K1900" s="15">
        <v>1.667</v>
      </c>
      <c r="L1900" s="2">
        <v>9.7089999999999996</v>
      </c>
      <c r="N1900" s="7">
        <f t="shared" si="242"/>
        <v>120.30000000004657</v>
      </c>
      <c r="O1900" s="1">
        <f t="shared" si="237"/>
        <v>131</v>
      </c>
      <c r="P1900" s="1" t="str">
        <f t="shared" si="239"/>
        <v>120.300000000047,131</v>
      </c>
      <c r="Q1900" s="6" t="s">
        <v>10</v>
      </c>
      <c r="R1900" s="1">
        <v>90</v>
      </c>
      <c r="S1900" s="1">
        <v>2.5</v>
      </c>
      <c r="T1900" s="1" t="str">
        <f t="shared" si="238"/>
        <v>-text 120.300000000047,131 2.5 90 268.49</v>
      </c>
    </row>
    <row r="1901" spans="1:20" x14ac:dyDescent="0.35">
      <c r="A1901" s="1">
        <v>288640</v>
      </c>
      <c r="B1901" s="7">
        <v>1178112.1000000001</v>
      </c>
      <c r="C1901" s="2">
        <v>268.78899999999999</v>
      </c>
      <c r="D1901" s="2">
        <v>270.78199999999998</v>
      </c>
      <c r="E1901" s="2">
        <v>1.9930000000000001</v>
      </c>
      <c r="F1901" s="2">
        <v>268.11700000000002</v>
      </c>
      <c r="G1901" s="2">
        <v>270.06900000000002</v>
      </c>
      <c r="H1901" s="2">
        <v>1.952</v>
      </c>
      <c r="I1901" s="2">
        <v>268.21100000000001</v>
      </c>
      <c r="J1901" s="2">
        <v>268.065</v>
      </c>
      <c r="K1901" s="15">
        <v>2.004</v>
      </c>
      <c r="L1901" s="2">
        <v>9.48</v>
      </c>
      <c r="N1901" s="7">
        <f t="shared" si="242"/>
        <v>140.20000000018626</v>
      </c>
      <c r="O1901" s="1">
        <f t="shared" si="237"/>
        <v>131</v>
      </c>
      <c r="P1901" s="1" t="str">
        <f t="shared" si="239"/>
        <v>140.200000000186,131</v>
      </c>
      <c r="Q1901" s="6" t="s">
        <v>10</v>
      </c>
      <c r="R1901" s="1">
        <v>90</v>
      </c>
      <c r="S1901" s="1">
        <v>2.5</v>
      </c>
      <c r="T1901" s="1" t="str">
        <f t="shared" si="238"/>
        <v>-text 140.200000000186,131 2.5 90 268.065</v>
      </c>
    </row>
    <row r="1902" spans="1:20" x14ac:dyDescent="0.35">
      <c r="A1902" s="1">
        <v>288660</v>
      </c>
      <c r="B1902" s="7">
        <v>1178132.3</v>
      </c>
      <c r="C1902" s="2">
        <v>268.78100000000001</v>
      </c>
      <c r="D1902" s="2">
        <v>270.69400000000002</v>
      </c>
      <c r="E1902" s="2">
        <v>1.913</v>
      </c>
      <c r="F1902" s="2">
        <v>268.10899999999998</v>
      </c>
      <c r="G1902" s="2">
        <v>269.98099999999999</v>
      </c>
      <c r="H1902" s="2">
        <v>1.8720000000000001</v>
      </c>
      <c r="I1902" s="2">
        <v>268.12400000000002</v>
      </c>
      <c r="J1902" s="2">
        <v>267.91500000000002</v>
      </c>
      <c r="K1902" s="15">
        <v>2.0649999999999999</v>
      </c>
      <c r="L1902" s="2">
        <v>9.2449999999999992</v>
      </c>
      <c r="N1902" s="7">
        <f t="shared" si="242"/>
        <v>160.4000000001397</v>
      </c>
      <c r="O1902" s="1">
        <f t="shared" si="237"/>
        <v>131</v>
      </c>
      <c r="P1902" s="1" t="str">
        <f t="shared" si="239"/>
        <v>160.40000000014,131</v>
      </c>
      <c r="Q1902" s="6" t="s">
        <v>10</v>
      </c>
      <c r="R1902" s="1">
        <v>90</v>
      </c>
      <c r="S1902" s="1">
        <v>2.5</v>
      </c>
      <c r="T1902" s="1" t="str">
        <f t="shared" si="238"/>
        <v>-text 160.40000000014,131 2.5 90 267.915</v>
      </c>
    </row>
    <row r="1903" spans="1:20" x14ac:dyDescent="0.35">
      <c r="A1903" s="1">
        <v>288680</v>
      </c>
      <c r="B1903" s="7">
        <v>1178152.3</v>
      </c>
      <c r="C1903" s="2">
        <v>268.77499999999998</v>
      </c>
      <c r="D1903" s="2">
        <v>270.60599999999999</v>
      </c>
      <c r="E1903" s="2">
        <v>1.831</v>
      </c>
      <c r="F1903" s="2">
        <v>268.10300000000001</v>
      </c>
      <c r="G1903" s="2">
        <v>269.89299999999997</v>
      </c>
      <c r="H1903" s="2">
        <v>1.79</v>
      </c>
      <c r="I1903" s="2">
        <v>268.13099999999997</v>
      </c>
      <c r="J1903" s="2">
        <v>268.23399999999998</v>
      </c>
      <c r="K1903" s="15">
        <v>1.6579999999999999</v>
      </c>
      <c r="L1903" s="2">
        <v>9.0120000000000005</v>
      </c>
      <c r="N1903" s="7">
        <f t="shared" si="242"/>
        <v>180.4000000001397</v>
      </c>
      <c r="O1903" s="1">
        <f t="shared" si="237"/>
        <v>131</v>
      </c>
      <c r="P1903" s="1" t="str">
        <f t="shared" si="239"/>
        <v>180.40000000014,131</v>
      </c>
      <c r="Q1903" s="6" t="s">
        <v>10</v>
      </c>
      <c r="R1903" s="1">
        <v>90</v>
      </c>
      <c r="S1903" s="1">
        <v>2.5</v>
      </c>
      <c r="T1903" s="1" t="str">
        <f t="shared" si="238"/>
        <v>-text 180.40000000014,131 2.5 90 268.234</v>
      </c>
    </row>
    <row r="1904" spans="1:20" x14ac:dyDescent="0.35">
      <c r="A1904" s="1">
        <v>288700</v>
      </c>
      <c r="B1904" s="7">
        <v>1178172.3999999999</v>
      </c>
      <c r="C1904" s="2">
        <v>268.78300000000002</v>
      </c>
      <c r="D1904" s="2">
        <v>270.517</v>
      </c>
      <c r="E1904" s="2">
        <v>1.734</v>
      </c>
      <c r="F1904" s="2">
        <v>268.11099999999999</v>
      </c>
      <c r="G1904" s="2">
        <v>269.80399999999997</v>
      </c>
      <c r="H1904" s="2">
        <v>1.6930000000000001</v>
      </c>
      <c r="I1904" s="2">
        <v>268.15199999999999</v>
      </c>
      <c r="J1904" s="2">
        <v>267.92899999999997</v>
      </c>
      <c r="K1904" s="15">
        <v>1.875</v>
      </c>
      <c r="L1904" s="2">
        <v>8.8260000000000005</v>
      </c>
      <c r="N1904" s="7">
        <f t="shared" si="242"/>
        <v>200.5</v>
      </c>
      <c r="O1904" s="1">
        <f t="shared" si="237"/>
        <v>131</v>
      </c>
      <c r="P1904" s="1" t="str">
        <f t="shared" si="239"/>
        <v>200.5,131</v>
      </c>
      <c r="Q1904" s="6" t="s">
        <v>10</v>
      </c>
      <c r="R1904" s="1">
        <v>90</v>
      </c>
      <c r="S1904" s="1">
        <v>2.5</v>
      </c>
      <c r="T1904" s="1" t="str">
        <f t="shared" si="238"/>
        <v>-text 200.5,131 2.5 90 267.929</v>
      </c>
    </row>
    <row r="1905" spans="1:20" x14ac:dyDescent="0.35">
      <c r="A1905" s="1">
        <v>288720</v>
      </c>
      <c r="B1905" s="7">
        <v>1178192.3999999999</v>
      </c>
      <c r="C1905" s="2">
        <v>268.79899999999998</v>
      </c>
      <c r="D1905" s="2">
        <v>270.42899999999997</v>
      </c>
      <c r="E1905" s="2">
        <v>1.629</v>
      </c>
      <c r="F1905" s="2">
        <v>268.12700000000001</v>
      </c>
      <c r="G1905" s="2">
        <v>269.71600000000001</v>
      </c>
      <c r="H1905" s="2">
        <v>1.5880000000000001</v>
      </c>
      <c r="I1905" s="2">
        <v>268.06200000000001</v>
      </c>
      <c r="J1905" s="2">
        <v>267.94400000000002</v>
      </c>
      <c r="K1905" s="15">
        <v>1.772</v>
      </c>
      <c r="L1905" s="2">
        <v>8.6820000000000004</v>
      </c>
      <c r="N1905" s="7">
        <f t="shared" si="242"/>
        <v>220.5</v>
      </c>
      <c r="O1905" s="1">
        <f t="shared" si="237"/>
        <v>131</v>
      </c>
      <c r="P1905" s="1" t="str">
        <f t="shared" si="239"/>
        <v>220.5,131</v>
      </c>
      <c r="Q1905" s="6" t="s">
        <v>10</v>
      </c>
      <c r="R1905" s="1">
        <v>90</v>
      </c>
      <c r="S1905" s="1">
        <v>2.5</v>
      </c>
      <c r="T1905" s="1" t="str">
        <f t="shared" si="238"/>
        <v>-text 220.5,131 2.5 90 267.944</v>
      </c>
    </row>
    <row r="1906" spans="1:20" x14ac:dyDescent="0.35">
      <c r="A1906" s="1">
        <v>288740</v>
      </c>
      <c r="B1906" s="7">
        <v>1178212.3999999999</v>
      </c>
      <c r="C1906" s="2">
        <v>268.83699999999999</v>
      </c>
      <c r="D1906" s="2">
        <v>270.34100000000001</v>
      </c>
      <c r="E1906" s="2">
        <v>1.504</v>
      </c>
      <c r="F1906" s="2">
        <v>268.16500000000002</v>
      </c>
      <c r="G1906" s="2">
        <v>269.62799999999999</v>
      </c>
      <c r="H1906" s="2">
        <v>1.4630000000000001</v>
      </c>
      <c r="I1906" s="2">
        <v>268.11799999999999</v>
      </c>
      <c r="J1906" s="2">
        <v>268.02300000000002</v>
      </c>
      <c r="K1906" s="15">
        <v>1.6040000000000001</v>
      </c>
      <c r="L1906" s="2">
        <v>8.6920000000000002</v>
      </c>
      <c r="N1906" s="7">
        <f t="shared" si="242"/>
        <v>240.5</v>
      </c>
      <c r="O1906" s="1">
        <f t="shared" si="237"/>
        <v>131</v>
      </c>
      <c r="P1906" s="1" t="str">
        <f t="shared" si="239"/>
        <v>240.5,131</v>
      </c>
      <c r="Q1906" s="6" t="s">
        <v>10</v>
      </c>
      <c r="R1906" s="1">
        <v>90</v>
      </c>
      <c r="S1906" s="1">
        <v>2.5</v>
      </c>
      <c r="T1906" s="1" t="str">
        <f t="shared" si="238"/>
        <v>-text 240.5,131 2.5 90 268.023</v>
      </c>
    </row>
    <row r="1907" spans="1:20" x14ac:dyDescent="0.35">
      <c r="A1907" s="1">
        <v>288760</v>
      </c>
      <c r="B1907" s="7">
        <v>1178232.5</v>
      </c>
      <c r="C1907" s="2">
        <v>268.86799999999999</v>
      </c>
      <c r="D1907" s="2">
        <v>270.25200000000001</v>
      </c>
      <c r="E1907" s="2">
        <v>1.3839999999999999</v>
      </c>
      <c r="F1907" s="2">
        <v>268.19600000000003</v>
      </c>
      <c r="G1907" s="2">
        <v>269.53899999999999</v>
      </c>
      <c r="H1907" s="2">
        <v>1.343</v>
      </c>
      <c r="I1907" s="2">
        <v>268.154</v>
      </c>
      <c r="J1907" s="2">
        <v>267.28300000000002</v>
      </c>
      <c r="K1907" s="15">
        <v>2.2559999999999998</v>
      </c>
      <c r="L1907" s="2">
        <v>8.7609999999999992</v>
      </c>
      <c r="N1907" s="7">
        <f t="shared" si="242"/>
        <v>260.60000000009313</v>
      </c>
      <c r="O1907" s="1">
        <f t="shared" si="237"/>
        <v>131</v>
      </c>
      <c r="P1907" s="1" t="str">
        <f t="shared" si="239"/>
        <v>260.600000000093,131</v>
      </c>
      <c r="Q1907" s="6" t="s">
        <v>10</v>
      </c>
      <c r="R1907" s="1">
        <v>90</v>
      </c>
      <c r="S1907" s="1">
        <v>2.5</v>
      </c>
      <c r="T1907" s="1" t="str">
        <f t="shared" si="238"/>
        <v>-text 260.600000000093,131 2.5 90 267.283</v>
      </c>
    </row>
    <row r="1908" spans="1:20" x14ac:dyDescent="0.35">
      <c r="A1908" s="1">
        <v>288780</v>
      </c>
      <c r="B1908" s="7">
        <v>1178252.5</v>
      </c>
      <c r="C1908" s="2">
        <v>268.88499999999999</v>
      </c>
      <c r="D1908" s="2">
        <v>270.16399999999999</v>
      </c>
      <c r="E1908" s="2">
        <v>1.2789999999999999</v>
      </c>
      <c r="F1908" s="2">
        <v>268.21300000000002</v>
      </c>
      <c r="G1908" s="2">
        <v>269.45100000000002</v>
      </c>
      <c r="H1908" s="2">
        <v>1.238</v>
      </c>
      <c r="I1908" s="2">
        <v>268.16199999999998</v>
      </c>
      <c r="J1908" s="2">
        <v>267.34399999999999</v>
      </c>
      <c r="K1908" s="15">
        <v>2.1070000000000002</v>
      </c>
      <c r="L1908" s="2">
        <v>8.9740000000000002</v>
      </c>
      <c r="N1908" s="7">
        <f t="shared" si="242"/>
        <v>280.60000000009313</v>
      </c>
      <c r="O1908" s="1">
        <f t="shared" si="237"/>
        <v>131</v>
      </c>
      <c r="P1908" s="1" t="str">
        <f t="shared" si="239"/>
        <v>280.600000000093,131</v>
      </c>
      <c r="Q1908" s="6" t="s">
        <v>10</v>
      </c>
      <c r="R1908" s="1">
        <v>90</v>
      </c>
      <c r="S1908" s="1">
        <v>2.5</v>
      </c>
      <c r="T1908" s="1" t="str">
        <f t="shared" si="238"/>
        <v>-text 280.600000000093,131 2.5 90 267.344</v>
      </c>
    </row>
    <row r="1909" spans="1:20" x14ac:dyDescent="0.35">
      <c r="A1909" s="1">
        <v>288800</v>
      </c>
      <c r="B1909" s="7">
        <v>1178272.5</v>
      </c>
      <c r="C1909" s="2">
        <v>268.89499999999998</v>
      </c>
      <c r="D1909" s="2">
        <v>270.07600000000002</v>
      </c>
      <c r="E1909" s="2">
        <v>1.181</v>
      </c>
      <c r="F1909" s="2">
        <v>268.22300000000001</v>
      </c>
      <c r="G1909" s="2">
        <v>269.363</v>
      </c>
      <c r="H1909" s="2">
        <v>1.1399999999999999</v>
      </c>
      <c r="I1909" s="2">
        <v>268.12299999999999</v>
      </c>
      <c r="J1909" s="2">
        <v>267.375</v>
      </c>
      <c r="K1909" s="15">
        <v>1.988</v>
      </c>
      <c r="L1909" s="2">
        <v>9.2040000000000006</v>
      </c>
      <c r="N1909" s="7">
        <f t="shared" si="242"/>
        <v>300.60000000009313</v>
      </c>
      <c r="O1909" s="1">
        <f t="shared" si="237"/>
        <v>131</v>
      </c>
      <c r="P1909" s="1" t="str">
        <f t="shared" si="239"/>
        <v>300.600000000093,131</v>
      </c>
      <c r="Q1909" s="6" t="s">
        <v>10</v>
      </c>
      <c r="R1909" s="1">
        <v>90</v>
      </c>
      <c r="S1909" s="1">
        <v>2.5</v>
      </c>
      <c r="T1909" s="1" t="str">
        <f t="shared" si="238"/>
        <v>-text 300.600000000093,131 2.5 90 267.375</v>
      </c>
    </row>
    <row r="1910" spans="1:20" x14ac:dyDescent="0.35">
      <c r="A1910" s="1">
        <v>288820</v>
      </c>
      <c r="B1910" s="7">
        <v>1178292.5</v>
      </c>
      <c r="C1910" s="2">
        <v>268.88799999999998</v>
      </c>
      <c r="D1910" s="2">
        <v>269.988</v>
      </c>
      <c r="E1910" s="2">
        <v>1.099</v>
      </c>
      <c r="F1910" s="2">
        <v>268.21600000000001</v>
      </c>
      <c r="G1910" s="2">
        <v>269.27499999999998</v>
      </c>
      <c r="H1910" s="2">
        <v>1.0580000000000001</v>
      </c>
      <c r="I1910" s="2">
        <v>268.01499999999999</v>
      </c>
      <c r="J1910" s="2">
        <v>267.154</v>
      </c>
      <c r="K1910" s="15">
        <v>2.121</v>
      </c>
      <c r="L1910" s="2">
        <v>9.4730000000000008</v>
      </c>
      <c r="N1910" s="7">
        <f t="shared" si="242"/>
        <v>320.60000000009313</v>
      </c>
      <c r="O1910" s="1">
        <f t="shared" si="237"/>
        <v>131</v>
      </c>
      <c r="P1910" s="1" t="str">
        <f t="shared" si="239"/>
        <v>320.600000000093,131</v>
      </c>
      <c r="Q1910" s="6" t="s">
        <v>10</v>
      </c>
      <c r="R1910" s="1">
        <v>90</v>
      </c>
      <c r="S1910" s="1">
        <v>2.5</v>
      </c>
      <c r="T1910" s="1" t="str">
        <f t="shared" si="238"/>
        <v>-text 320.600000000093,131 2.5 90 267.154</v>
      </c>
    </row>
    <row r="1911" spans="1:20" x14ac:dyDescent="0.35">
      <c r="A1911" s="1">
        <v>288840</v>
      </c>
      <c r="B1911" s="7">
        <v>1178312.6000000001</v>
      </c>
      <c r="C1911" s="2">
        <v>268.88099999999997</v>
      </c>
      <c r="D1911" s="2">
        <v>269.89999999999998</v>
      </c>
      <c r="E1911" s="2">
        <v>1.0189999999999999</v>
      </c>
      <c r="F1911" s="2">
        <v>268.209</v>
      </c>
      <c r="G1911" s="2">
        <v>269.18700000000001</v>
      </c>
      <c r="H1911" s="2">
        <v>0.97799999999999998</v>
      </c>
      <c r="I1911" s="2">
        <v>267.83100000000002</v>
      </c>
      <c r="J1911" s="2">
        <v>267.14699999999999</v>
      </c>
      <c r="K1911" s="15">
        <v>2.04</v>
      </c>
      <c r="L1911" s="2">
        <v>9.7520000000000007</v>
      </c>
      <c r="N1911" s="7">
        <f t="shared" si="242"/>
        <v>340.70000000018626</v>
      </c>
      <c r="O1911" s="1">
        <f t="shared" si="237"/>
        <v>131</v>
      </c>
      <c r="P1911" s="1" t="str">
        <f t="shared" si="239"/>
        <v>340.700000000186,131</v>
      </c>
      <c r="Q1911" s="6" t="s">
        <v>10</v>
      </c>
      <c r="R1911" s="1">
        <v>90</v>
      </c>
      <c r="S1911" s="1">
        <v>2.5</v>
      </c>
      <c r="T1911" s="1" t="str">
        <f t="shared" si="238"/>
        <v>-text 340.700000000186,131 2.5 90 267.147</v>
      </c>
    </row>
    <row r="1912" spans="1:20" x14ac:dyDescent="0.35">
      <c r="A1912" s="1">
        <v>288860</v>
      </c>
      <c r="B1912" s="7">
        <v>1178332.6000000001</v>
      </c>
      <c r="C1912" s="2">
        <v>268.87099999999998</v>
      </c>
      <c r="D1912" s="2">
        <v>269.81099999999998</v>
      </c>
      <c r="E1912" s="2">
        <v>0.94099999999999995</v>
      </c>
      <c r="F1912" s="2">
        <v>268.19900000000001</v>
      </c>
      <c r="G1912" s="2">
        <v>269.09800000000001</v>
      </c>
      <c r="H1912" s="2">
        <v>0.9</v>
      </c>
      <c r="I1912" s="2">
        <v>266.04300000000001</v>
      </c>
      <c r="J1912" s="2">
        <v>266.44299999999998</v>
      </c>
      <c r="K1912" s="15">
        <v>2.6560000000000001</v>
      </c>
      <c r="L1912" s="2">
        <v>10.067</v>
      </c>
      <c r="N1912" s="7">
        <f t="shared" si="242"/>
        <v>360.70000000018626</v>
      </c>
      <c r="O1912" s="1">
        <f t="shared" si="237"/>
        <v>131</v>
      </c>
      <c r="P1912" s="1" t="str">
        <f t="shared" si="239"/>
        <v>360.700000000186,131</v>
      </c>
      <c r="Q1912" s="6" t="s">
        <v>10</v>
      </c>
      <c r="R1912" s="1">
        <v>90</v>
      </c>
      <c r="S1912" s="1">
        <v>2.5</v>
      </c>
      <c r="T1912" s="1" t="str">
        <f t="shared" si="238"/>
        <v>-text 360.700000000186,131 2.5 90 266.443</v>
      </c>
    </row>
    <row r="1913" spans="1:20" x14ac:dyDescent="0.35">
      <c r="A1913" s="1">
        <v>288880</v>
      </c>
      <c r="B1913" s="7">
        <v>1178352.6000000001</v>
      </c>
      <c r="C1913" s="2">
        <v>268.87599999999998</v>
      </c>
      <c r="D1913" s="2">
        <v>269.72300000000001</v>
      </c>
      <c r="E1913" s="2">
        <v>0.84699999999999998</v>
      </c>
      <c r="F1913" s="2">
        <v>268.20400000000001</v>
      </c>
      <c r="G1913" s="2">
        <v>269.01</v>
      </c>
      <c r="H1913" s="2">
        <v>0.80600000000000005</v>
      </c>
      <c r="I1913" s="2">
        <v>265.488</v>
      </c>
      <c r="J1913" s="2">
        <v>264.25</v>
      </c>
      <c r="K1913" s="15">
        <v>4.7610000000000001</v>
      </c>
      <c r="L1913" s="2">
        <v>10.367000000000001</v>
      </c>
      <c r="N1913" s="7">
        <f t="shared" si="242"/>
        <v>380.70000000018626</v>
      </c>
      <c r="O1913" s="1">
        <f t="shared" si="237"/>
        <v>131</v>
      </c>
      <c r="P1913" s="1" t="str">
        <f t="shared" si="239"/>
        <v>380.700000000186,131</v>
      </c>
      <c r="Q1913" s="6" t="s">
        <v>10</v>
      </c>
      <c r="R1913" s="1">
        <v>90</v>
      </c>
      <c r="S1913" s="1">
        <v>2.5</v>
      </c>
      <c r="T1913" s="1" t="str">
        <f t="shared" si="238"/>
        <v>-text 380.700000000186,131 2.5 90 264.25</v>
      </c>
    </row>
    <row r="1914" spans="1:20" x14ac:dyDescent="0.35">
      <c r="A1914" s="1">
        <v>288900</v>
      </c>
      <c r="B1914" s="7">
        <v>1178372.6000000001</v>
      </c>
      <c r="C1914" s="2">
        <v>268.89299999999997</v>
      </c>
      <c r="D1914" s="2">
        <v>269.63499999999999</v>
      </c>
      <c r="E1914" s="2">
        <v>0.74299999999999999</v>
      </c>
      <c r="F1914" s="2">
        <v>268.221</v>
      </c>
      <c r="G1914" s="2">
        <v>268.92200000000003</v>
      </c>
      <c r="H1914" s="2">
        <v>0.70199999999999996</v>
      </c>
      <c r="I1914" s="2">
        <v>268.25</v>
      </c>
      <c r="J1914" s="2">
        <v>267.36</v>
      </c>
      <c r="K1914" s="15">
        <v>1.5620000000000001</v>
      </c>
      <c r="L1914" s="2">
        <v>10.66</v>
      </c>
      <c r="N1914" s="7">
        <f t="shared" si="242"/>
        <v>400.70000000018626</v>
      </c>
      <c r="O1914" s="1">
        <f t="shared" si="237"/>
        <v>131</v>
      </c>
      <c r="P1914" s="1" t="str">
        <f t="shared" si="239"/>
        <v>400.700000000186,131</v>
      </c>
      <c r="Q1914" s="6" t="s">
        <v>10</v>
      </c>
      <c r="R1914" s="1">
        <v>90</v>
      </c>
      <c r="S1914" s="1">
        <v>2.5</v>
      </c>
      <c r="T1914" s="1" t="str">
        <f t="shared" si="238"/>
        <v>-text 400.700000000186,131 2.5 90 267.36</v>
      </c>
    </row>
    <row r="1915" spans="1:20" x14ac:dyDescent="0.35">
      <c r="A1915" s="1">
        <v>288920</v>
      </c>
      <c r="B1915" s="7">
        <v>1178392.6000000001</v>
      </c>
      <c r="C1915" s="2">
        <v>268.899</v>
      </c>
      <c r="D1915" s="2">
        <v>269.54700000000003</v>
      </c>
      <c r="E1915" s="2">
        <v>0.64900000000000002</v>
      </c>
      <c r="F1915" s="2">
        <v>268.22699999999998</v>
      </c>
      <c r="G1915" s="2">
        <v>268.834</v>
      </c>
      <c r="H1915" s="2">
        <v>0.60799999999999998</v>
      </c>
      <c r="I1915" s="2">
        <v>268.25900000000001</v>
      </c>
      <c r="J1915" s="2">
        <v>267.07400000000001</v>
      </c>
      <c r="K1915" s="15">
        <v>1.7609999999999999</v>
      </c>
      <c r="L1915" s="2">
        <v>10.942</v>
      </c>
      <c r="N1915" s="7">
        <f t="shared" si="242"/>
        <v>420.70000000018626</v>
      </c>
      <c r="O1915" s="1">
        <f t="shared" si="237"/>
        <v>131</v>
      </c>
      <c r="P1915" s="1" t="str">
        <f t="shared" si="239"/>
        <v>420.700000000186,131</v>
      </c>
      <c r="Q1915" s="6" t="s">
        <v>10</v>
      </c>
      <c r="R1915" s="1">
        <v>90</v>
      </c>
      <c r="S1915" s="1">
        <v>2.5</v>
      </c>
      <c r="T1915" s="1" t="str">
        <f t="shared" si="238"/>
        <v>-text 420.700000000186,131 2.5 90 267.074</v>
      </c>
    </row>
    <row r="1916" spans="1:20" x14ac:dyDescent="0.35">
      <c r="A1916" s="1">
        <v>288940</v>
      </c>
      <c r="B1916" s="7">
        <v>1178412.6000000001</v>
      </c>
      <c r="C1916" s="2">
        <v>268.904</v>
      </c>
      <c r="D1916" s="2">
        <v>269.459</v>
      </c>
      <c r="E1916" s="2">
        <v>0.55500000000000005</v>
      </c>
      <c r="F1916" s="2">
        <v>268.23200000000003</v>
      </c>
      <c r="G1916" s="2">
        <v>268.74599999999998</v>
      </c>
      <c r="H1916" s="2">
        <v>0.51400000000000001</v>
      </c>
      <c r="I1916" s="2">
        <v>268.03199999999998</v>
      </c>
      <c r="J1916" s="2">
        <v>266.82799999999997</v>
      </c>
      <c r="K1916" s="15">
        <v>1.9179999999999999</v>
      </c>
      <c r="L1916" s="2">
        <v>11.225</v>
      </c>
      <c r="N1916" s="7">
        <f t="shared" si="242"/>
        <v>440.70000000018626</v>
      </c>
      <c r="O1916" s="1">
        <f t="shared" si="237"/>
        <v>131</v>
      </c>
      <c r="P1916" s="1" t="str">
        <f t="shared" si="239"/>
        <v>440.700000000186,131</v>
      </c>
      <c r="Q1916" s="6" t="s">
        <v>10</v>
      </c>
      <c r="R1916" s="1">
        <v>90</v>
      </c>
      <c r="S1916" s="1">
        <v>2.5</v>
      </c>
      <c r="T1916" s="1" t="str">
        <f t="shared" si="238"/>
        <v>-text 440.700000000186,131 2.5 90 266.828</v>
      </c>
    </row>
    <row r="1917" spans="1:20" x14ac:dyDescent="0.35">
      <c r="A1917" s="1">
        <v>288960</v>
      </c>
      <c r="B1917" s="7">
        <v>1178432.6000000001</v>
      </c>
      <c r="C1917" s="2">
        <v>268.86799999999999</v>
      </c>
      <c r="D1917" s="2">
        <v>269.37099999999998</v>
      </c>
      <c r="E1917" s="2">
        <v>0.503</v>
      </c>
      <c r="F1917" s="2">
        <v>268.19600000000003</v>
      </c>
      <c r="G1917" s="2">
        <v>268.65800000000002</v>
      </c>
      <c r="H1917" s="2">
        <v>0.46200000000000002</v>
      </c>
      <c r="I1917" s="2">
        <v>267.55599999999998</v>
      </c>
      <c r="J1917" s="2">
        <v>266.85500000000002</v>
      </c>
      <c r="K1917" s="15">
        <v>1.8029999999999999</v>
      </c>
      <c r="L1917" s="2">
        <v>11.553000000000001</v>
      </c>
      <c r="N1917" s="7">
        <f t="shared" si="242"/>
        <v>460.70000000018626</v>
      </c>
      <c r="O1917" s="1">
        <f t="shared" si="237"/>
        <v>131</v>
      </c>
      <c r="P1917" s="1" t="str">
        <f t="shared" si="239"/>
        <v>460.700000000186,131</v>
      </c>
      <c r="Q1917" s="6" t="s">
        <v>10</v>
      </c>
      <c r="R1917" s="1">
        <v>90</v>
      </c>
      <c r="S1917" s="1">
        <v>2.5</v>
      </c>
      <c r="T1917" s="1" t="str">
        <f t="shared" si="238"/>
        <v>-text 460.700000000186,131 2.5 90 266.855</v>
      </c>
    </row>
    <row r="1918" spans="1:20" x14ac:dyDescent="0.35">
      <c r="A1918" s="1">
        <v>288980</v>
      </c>
      <c r="B1918" s="7">
        <v>1178452.6000000001</v>
      </c>
      <c r="C1918" s="2">
        <v>268.827</v>
      </c>
      <c r="D1918" s="2">
        <v>269.28300000000002</v>
      </c>
      <c r="E1918" s="2">
        <v>0.45500000000000002</v>
      </c>
      <c r="F1918" s="2">
        <v>268.15499999999997</v>
      </c>
      <c r="G1918" s="2">
        <v>268.57</v>
      </c>
      <c r="H1918" s="2">
        <v>0.41399999999999998</v>
      </c>
      <c r="I1918" s="2">
        <v>267.30599999999998</v>
      </c>
      <c r="J1918" s="2">
        <v>267.27800000000002</v>
      </c>
      <c r="K1918" s="15">
        <v>1.292</v>
      </c>
      <c r="L1918" s="2">
        <v>11.887</v>
      </c>
      <c r="N1918" s="7">
        <f t="shared" si="242"/>
        <v>480.70000000018626</v>
      </c>
      <c r="O1918" s="1">
        <f t="shared" si="237"/>
        <v>131</v>
      </c>
      <c r="P1918" s="1" t="str">
        <f t="shared" si="239"/>
        <v>480.700000000186,131</v>
      </c>
      <c r="Q1918" s="6" t="s">
        <v>10</v>
      </c>
      <c r="R1918" s="1">
        <v>90</v>
      </c>
      <c r="S1918" s="1">
        <v>2.5</v>
      </c>
      <c r="T1918" s="1" t="str">
        <f t="shared" si="238"/>
        <v>-text 480.700000000186,131 2.5 90 267.278</v>
      </c>
    </row>
    <row r="1919" spans="1:20" x14ac:dyDescent="0.35">
      <c r="A1919" s="1">
        <v>289000</v>
      </c>
      <c r="B1919" s="7">
        <v>1178472.6000000001</v>
      </c>
      <c r="C1919" s="2">
        <v>268.80700000000002</v>
      </c>
      <c r="D1919" s="2">
        <v>269.19499999999999</v>
      </c>
      <c r="E1919" s="2">
        <v>0.38800000000000001</v>
      </c>
      <c r="F1919" s="2">
        <v>268.13499999999999</v>
      </c>
      <c r="G1919" s="2">
        <v>268.48200000000003</v>
      </c>
      <c r="H1919" s="2">
        <v>0.34699999999999998</v>
      </c>
      <c r="I1919" s="2">
        <v>267.44200000000001</v>
      </c>
      <c r="J1919" s="2">
        <v>266.80799999999999</v>
      </c>
      <c r="K1919" s="15">
        <v>1.6739999999999999</v>
      </c>
      <c r="L1919" s="2">
        <v>12.154</v>
      </c>
      <c r="N1919" s="7">
        <f>N1916+(B1919-B1916)</f>
        <v>500.70000000018626</v>
      </c>
      <c r="O1919" s="1">
        <f t="shared" si="237"/>
        <v>131</v>
      </c>
      <c r="P1919" s="1" t="str">
        <f t="shared" ref="P1919" si="243">CONCATENATE(N1919,",",O1919)</f>
        <v>500.700000000186,131</v>
      </c>
      <c r="Q1919" s="6" t="s">
        <v>10</v>
      </c>
      <c r="R1919" s="1">
        <v>90</v>
      </c>
      <c r="S1919" s="1">
        <v>2.5</v>
      </c>
      <c r="T1919" s="1" t="str">
        <f t="shared" si="238"/>
        <v>-text 500.700000000186,131 2.5 90 266.808</v>
      </c>
    </row>
    <row r="1920" spans="1:20" s="10" customFormat="1" x14ac:dyDescent="0.35">
      <c r="B1920" s="11"/>
      <c r="C1920" s="9"/>
      <c r="D1920" s="9"/>
      <c r="E1920" s="9"/>
      <c r="F1920" s="9"/>
      <c r="G1920" s="9"/>
      <c r="H1920" s="9"/>
      <c r="I1920" s="9"/>
      <c r="J1920" s="9"/>
      <c r="K1920" s="16"/>
      <c r="L1920" s="9"/>
      <c r="M1920" s="9"/>
      <c r="N1920" s="11"/>
      <c r="Q1920" s="12"/>
    </row>
    <row r="1921" spans="1:20" x14ac:dyDescent="0.35">
      <c r="A1921" s="1">
        <v>289000</v>
      </c>
      <c r="B1921" s="7">
        <v>1178472.6000000001</v>
      </c>
      <c r="C1921" s="2">
        <v>268.80700000000002</v>
      </c>
      <c r="D1921" s="2">
        <v>269.19499999999999</v>
      </c>
      <c r="E1921" s="2">
        <v>0.38800000000000001</v>
      </c>
      <c r="F1921" s="2">
        <v>268.13499999999999</v>
      </c>
      <c r="G1921" s="2">
        <v>268.48200000000003</v>
      </c>
      <c r="H1921" s="2">
        <v>0.34699999999999998</v>
      </c>
      <c r="I1921" s="2">
        <v>267.44200000000001</v>
      </c>
      <c r="J1921" s="2">
        <v>266.80799999999999</v>
      </c>
      <c r="K1921" s="15">
        <v>1.6739999999999999</v>
      </c>
      <c r="L1921" s="2">
        <v>12.154</v>
      </c>
      <c r="N1921" s="7">
        <v>0</v>
      </c>
      <c r="O1921" s="1">
        <f t="shared" si="237"/>
        <v>131</v>
      </c>
      <c r="P1921" s="1" t="str">
        <f t="shared" si="239"/>
        <v>0,131</v>
      </c>
      <c r="Q1921" s="6" t="s">
        <v>10</v>
      </c>
      <c r="R1921" s="1">
        <v>90</v>
      </c>
      <c r="S1921" s="1">
        <v>2.5</v>
      </c>
      <c r="T1921" s="1" t="str">
        <f t="shared" si="238"/>
        <v>-text 0,131 2.5 90 266.808</v>
      </c>
    </row>
    <row r="1922" spans="1:20" x14ac:dyDescent="0.35">
      <c r="A1922" s="1">
        <v>289020</v>
      </c>
      <c r="B1922" s="7">
        <v>1178492.5</v>
      </c>
      <c r="C1922" s="2">
        <v>268.78899999999999</v>
      </c>
      <c r="D1922" s="2">
        <v>269.10700000000003</v>
      </c>
      <c r="E1922" s="2">
        <v>0.318</v>
      </c>
      <c r="F1922" s="2">
        <v>268.11700000000002</v>
      </c>
      <c r="G1922" s="2">
        <v>268.39400000000001</v>
      </c>
      <c r="H1922" s="2">
        <v>0.27700000000000002</v>
      </c>
      <c r="I1922" s="2">
        <v>267.57</v>
      </c>
      <c r="J1922" s="2">
        <v>266.50799999999998</v>
      </c>
      <c r="K1922" s="15">
        <v>1.8859999999999999</v>
      </c>
      <c r="L1922" s="2">
        <v>12.407999999999999</v>
      </c>
      <c r="N1922" s="7">
        <f t="shared" ref="N1922:N1945" si="244">N1921+(B1922-B1921)</f>
        <v>19.899999999906868</v>
      </c>
      <c r="O1922" s="1">
        <f t="shared" si="237"/>
        <v>131</v>
      </c>
      <c r="P1922" s="1" t="str">
        <f t="shared" si="239"/>
        <v>19.8999999999069,131</v>
      </c>
      <c r="Q1922" s="6" t="s">
        <v>10</v>
      </c>
      <c r="R1922" s="1">
        <v>90</v>
      </c>
      <c r="S1922" s="1">
        <v>2.5</v>
      </c>
      <c r="T1922" s="1" t="str">
        <f t="shared" si="238"/>
        <v>-text 19.8999999999069,131 2.5 90 266.508</v>
      </c>
    </row>
    <row r="1923" spans="1:20" x14ac:dyDescent="0.35">
      <c r="A1923" s="1">
        <v>289040</v>
      </c>
      <c r="B1923" s="7">
        <v>1178512.5</v>
      </c>
      <c r="C1923" s="2">
        <v>268.77999999999997</v>
      </c>
      <c r="D1923" s="2">
        <v>269.01900000000001</v>
      </c>
      <c r="E1923" s="2">
        <v>0.23899999999999999</v>
      </c>
      <c r="F1923" s="2">
        <v>268.108</v>
      </c>
      <c r="G1923" s="2">
        <v>268.30599999999998</v>
      </c>
      <c r="H1923" s="2">
        <v>0.19800000000000001</v>
      </c>
      <c r="I1923" s="2">
        <v>267.52800000000002</v>
      </c>
      <c r="J1923" s="2">
        <v>266.71100000000001</v>
      </c>
      <c r="K1923" s="15">
        <v>1.595</v>
      </c>
      <c r="L1923" s="2">
        <v>12.547000000000001</v>
      </c>
      <c r="N1923" s="7">
        <f t="shared" si="244"/>
        <v>39.899999999906868</v>
      </c>
      <c r="O1923" s="1">
        <f t="shared" si="237"/>
        <v>131</v>
      </c>
      <c r="P1923" s="1" t="str">
        <f t="shared" si="239"/>
        <v>39.8999999999069,131</v>
      </c>
      <c r="Q1923" s="6" t="s">
        <v>10</v>
      </c>
      <c r="R1923" s="1">
        <v>90</v>
      </c>
      <c r="S1923" s="1">
        <v>2.5</v>
      </c>
      <c r="T1923" s="1" t="str">
        <f t="shared" si="238"/>
        <v>-text 39.8999999999069,131 2.5 90 266.711</v>
      </c>
    </row>
    <row r="1924" spans="1:20" x14ac:dyDescent="0.35">
      <c r="A1924" s="1">
        <v>289060</v>
      </c>
      <c r="B1924" s="7">
        <v>1178532.2</v>
      </c>
      <c r="C1924" s="2">
        <v>268.77300000000002</v>
      </c>
      <c r="D1924" s="2">
        <v>268.93200000000002</v>
      </c>
      <c r="E1924" s="2">
        <v>0.159</v>
      </c>
      <c r="F1924" s="2">
        <v>268.101</v>
      </c>
      <c r="G1924" s="2">
        <v>268.21899999999999</v>
      </c>
      <c r="H1924" s="2">
        <v>0.11799999999999999</v>
      </c>
      <c r="I1924" s="2">
        <v>267.80700000000002</v>
      </c>
      <c r="J1924" s="2">
        <v>266.90899999999999</v>
      </c>
      <c r="K1924" s="15">
        <v>1.31</v>
      </c>
      <c r="L1924" s="2">
        <v>12.61</v>
      </c>
      <c r="N1924" s="7">
        <f t="shared" si="244"/>
        <v>59.599999999860302</v>
      </c>
      <c r="O1924" s="1">
        <f t="shared" si="237"/>
        <v>131</v>
      </c>
      <c r="P1924" s="1" t="str">
        <f t="shared" si="239"/>
        <v>59.5999999998603,131</v>
      </c>
      <c r="Q1924" s="6" t="s">
        <v>10</v>
      </c>
      <c r="R1924" s="1">
        <v>90</v>
      </c>
      <c r="S1924" s="1">
        <v>2.5</v>
      </c>
      <c r="T1924" s="1" t="str">
        <f t="shared" si="238"/>
        <v>-text 59.5999999998603,131 2.5 90 266.909</v>
      </c>
    </row>
    <row r="1925" spans="1:20" x14ac:dyDescent="0.35">
      <c r="A1925" s="1">
        <v>289080</v>
      </c>
      <c r="B1925" s="7">
        <v>1178552.2</v>
      </c>
      <c r="C1925" s="2">
        <v>268.73899999999998</v>
      </c>
      <c r="D1925" s="2">
        <v>268.84399999999999</v>
      </c>
      <c r="E1925" s="2">
        <v>0.105</v>
      </c>
      <c r="F1925" s="2">
        <v>268.06700000000001</v>
      </c>
      <c r="G1925" s="2">
        <v>268.13099999999997</v>
      </c>
      <c r="H1925" s="2">
        <v>6.4000000000000001E-2</v>
      </c>
      <c r="I1925" s="2">
        <v>268.31</v>
      </c>
      <c r="J1925" s="2">
        <v>268.33699999999999</v>
      </c>
      <c r="K1925" s="1">
        <v>-0.20599999999999999</v>
      </c>
      <c r="L1925" s="2">
        <v>12.345000000000001</v>
      </c>
      <c r="N1925" s="7">
        <f t="shared" si="244"/>
        <v>79.599999999860302</v>
      </c>
      <c r="O1925" s="1">
        <f t="shared" si="237"/>
        <v>131</v>
      </c>
      <c r="P1925" s="1" t="str">
        <f t="shared" si="239"/>
        <v>79.5999999998603,131</v>
      </c>
      <c r="Q1925" s="6" t="s">
        <v>10</v>
      </c>
      <c r="R1925" s="1">
        <v>90</v>
      </c>
      <c r="S1925" s="1">
        <v>2.5</v>
      </c>
      <c r="T1925" s="1" t="str">
        <f t="shared" si="238"/>
        <v>-text 79.5999999998603,131 2.5 90 268.337</v>
      </c>
    </row>
    <row r="1926" spans="1:20" x14ac:dyDescent="0.35">
      <c r="A1926" s="1">
        <v>289100</v>
      </c>
      <c r="B1926" s="7">
        <v>1178572</v>
      </c>
      <c r="C1926" s="2">
        <v>268.72000000000003</v>
      </c>
      <c r="D1926" s="2">
        <v>268.84300000000002</v>
      </c>
      <c r="E1926" s="2">
        <v>0.123</v>
      </c>
      <c r="F1926" s="2">
        <v>268.048</v>
      </c>
      <c r="G1926" s="2">
        <v>268.13</v>
      </c>
      <c r="H1926" s="2">
        <v>8.2000000000000003E-2</v>
      </c>
      <c r="I1926" s="2">
        <v>268.16500000000002</v>
      </c>
      <c r="J1926" s="2">
        <v>268.24700000000001</v>
      </c>
      <c r="K1926" s="1">
        <v>-0.11700000000000001</v>
      </c>
      <c r="L1926" s="2">
        <v>11.913</v>
      </c>
      <c r="N1926" s="7">
        <f t="shared" si="244"/>
        <v>99.399999999906868</v>
      </c>
      <c r="O1926" s="1">
        <f t="shared" si="237"/>
        <v>131</v>
      </c>
      <c r="P1926" s="1" t="str">
        <f t="shared" si="239"/>
        <v>99.3999999999069,131</v>
      </c>
      <c r="Q1926" s="6" t="s">
        <v>10</v>
      </c>
      <c r="R1926" s="1">
        <v>90</v>
      </c>
      <c r="S1926" s="1">
        <v>2.5</v>
      </c>
      <c r="T1926" s="1" t="str">
        <f t="shared" si="238"/>
        <v>-text 99.3999999999069,131 2.5 90 268.247</v>
      </c>
    </row>
    <row r="1927" spans="1:20" x14ac:dyDescent="0.35">
      <c r="A1927" s="1">
        <v>289120</v>
      </c>
      <c r="B1927" s="7">
        <v>1178592</v>
      </c>
      <c r="C1927" s="2">
        <v>268.67500000000001</v>
      </c>
      <c r="D1927" s="2">
        <v>268.84300000000002</v>
      </c>
      <c r="E1927" s="2">
        <v>0.16800000000000001</v>
      </c>
      <c r="F1927" s="2">
        <v>268.00299999999999</v>
      </c>
      <c r="G1927" s="2">
        <v>268.13</v>
      </c>
      <c r="H1927" s="2">
        <v>0.127</v>
      </c>
      <c r="I1927" s="2">
        <v>268.40300000000002</v>
      </c>
      <c r="J1927" s="2">
        <v>268.49299999999999</v>
      </c>
      <c r="K1927" s="1">
        <v>-0.36299999999999999</v>
      </c>
      <c r="L1927" s="2">
        <v>11.254</v>
      </c>
      <c r="N1927" s="7">
        <f t="shared" si="244"/>
        <v>119.39999999990687</v>
      </c>
      <c r="O1927" s="1">
        <f t="shared" si="237"/>
        <v>131</v>
      </c>
      <c r="P1927" s="1" t="str">
        <f t="shared" si="239"/>
        <v>119.399999999907,131</v>
      </c>
      <c r="Q1927" s="6" t="s">
        <v>10</v>
      </c>
      <c r="R1927" s="1">
        <v>90</v>
      </c>
      <c r="S1927" s="1">
        <v>2.5</v>
      </c>
      <c r="T1927" s="1" t="str">
        <f t="shared" si="238"/>
        <v>-text 119.399999999907,131 2.5 90 268.493</v>
      </c>
    </row>
    <row r="1928" spans="1:20" x14ac:dyDescent="0.35">
      <c r="A1928" s="1">
        <v>289140</v>
      </c>
      <c r="B1928" s="7">
        <v>1178612</v>
      </c>
      <c r="C1928" s="2">
        <v>268.62900000000002</v>
      </c>
      <c r="D1928" s="2">
        <v>268.84300000000002</v>
      </c>
      <c r="E1928" s="2">
        <v>0.214</v>
      </c>
      <c r="F1928" s="2">
        <v>267.95699999999999</v>
      </c>
      <c r="G1928" s="2">
        <v>268.13</v>
      </c>
      <c r="H1928" s="2">
        <v>0.17299999999999999</v>
      </c>
      <c r="I1928" s="2">
        <v>268.428</v>
      </c>
      <c r="J1928" s="2">
        <v>268.41699999999997</v>
      </c>
      <c r="K1928" s="1">
        <v>-0.28699999999999998</v>
      </c>
      <c r="L1928" s="2">
        <v>10.595000000000001</v>
      </c>
      <c r="N1928" s="7">
        <f t="shared" si="244"/>
        <v>139.39999999990687</v>
      </c>
      <c r="O1928" s="1">
        <f t="shared" si="237"/>
        <v>131</v>
      </c>
      <c r="P1928" s="1" t="str">
        <f t="shared" si="239"/>
        <v>139.399999999907,131</v>
      </c>
      <c r="Q1928" s="6" t="s">
        <v>10</v>
      </c>
      <c r="R1928" s="1">
        <v>90</v>
      </c>
      <c r="S1928" s="1">
        <v>2.5</v>
      </c>
      <c r="T1928" s="1" t="str">
        <f t="shared" si="238"/>
        <v>-text 139.399999999907,131 2.5 90 268.417</v>
      </c>
    </row>
    <row r="1929" spans="1:20" x14ac:dyDescent="0.35">
      <c r="A1929" s="1">
        <v>289160</v>
      </c>
      <c r="B1929" s="7">
        <v>1178632</v>
      </c>
      <c r="C1929" s="2">
        <v>268.61200000000002</v>
      </c>
      <c r="D1929" s="2">
        <v>268.84300000000002</v>
      </c>
      <c r="E1929" s="2">
        <v>0.23100000000000001</v>
      </c>
      <c r="F1929" s="2">
        <v>267.94</v>
      </c>
      <c r="G1929" s="2">
        <v>268.13</v>
      </c>
      <c r="H1929" s="2">
        <v>0.19</v>
      </c>
      <c r="I1929" s="2">
        <v>268.38900000000001</v>
      </c>
      <c r="J1929" s="2">
        <v>268.50700000000001</v>
      </c>
      <c r="K1929" s="1">
        <v>-0.377</v>
      </c>
      <c r="L1929" s="2">
        <v>9.92</v>
      </c>
      <c r="N1929" s="7">
        <f t="shared" si="244"/>
        <v>159.39999999990687</v>
      </c>
      <c r="O1929" s="1">
        <f t="shared" si="237"/>
        <v>131</v>
      </c>
      <c r="P1929" s="1" t="str">
        <f t="shared" si="239"/>
        <v>159.399999999907,131</v>
      </c>
      <c r="Q1929" s="6" t="s">
        <v>10</v>
      </c>
      <c r="R1929" s="1">
        <v>90</v>
      </c>
      <c r="S1929" s="1">
        <v>2.5</v>
      </c>
      <c r="T1929" s="1" t="str">
        <f t="shared" si="238"/>
        <v>-text 159.399999999907,131 2.5 90 268.507</v>
      </c>
    </row>
    <row r="1930" spans="1:20" x14ac:dyDescent="0.35">
      <c r="A1930" s="1">
        <v>289180</v>
      </c>
      <c r="B1930" s="7">
        <v>1178652</v>
      </c>
      <c r="C1930" s="2">
        <v>268.62200000000001</v>
      </c>
      <c r="D1930" s="2">
        <v>268.84300000000002</v>
      </c>
      <c r="E1930" s="2">
        <v>0.221</v>
      </c>
      <c r="F1930" s="2">
        <v>267.95</v>
      </c>
      <c r="G1930" s="2">
        <v>268.13</v>
      </c>
      <c r="H1930" s="2">
        <v>0.18</v>
      </c>
      <c r="I1930" s="2">
        <v>268.49700000000001</v>
      </c>
      <c r="J1930" s="2">
        <v>268.57299999999998</v>
      </c>
      <c r="K1930" s="1">
        <v>-0.443</v>
      </c>
      <c r="L1930" s="2">
        <v>9.2289999999999992</v>
      </c>
      <c r="N1930" s="7">
        <f t="shared" si="244"/>
        <v>179.39999999990687</v>
      </c>
      <c r="O1930" s="1">
        <f t="shared" ref="O1930:O1996" si="245">19+16+16+16+16+16+16+16</f>
        <v>131</v>
      </c>
      <c r="P1930" s="1" t="str">
        <f t="shared" si="239"/>
        <v>179.399999999907,131</v>
      </c>
      <c r="Q1930" s="6" t="s">
        <v>10</v>
      </c>
      <c r="R1930" s="1">
        <v>90</v>
      </c>
      <c r="S1930" s="1">
        <v>2.5</v>
      </c>
      <c r="T1930" s="1" t="str">
        <f t="shared" ref="T1930:T1996" si="246">$Q1930&amp;" "&amp;$P1930&amp;" "&amp;$S1930&amp;" "&amp;$R1930&amp;" "&amp;$J1930</f>
        <v>-text 179.399999999907,131 2.5 90 268.573</v>
      </c>
    </row>
    <row r="1931" spans="1:20" x14ac:dyDescent="0.35">
      <c r="A1931" s="1">
        <v>289200</v>
      </c>
      <c r="B1931" s="7">
        <v>1178672</v>
      </c>
      <c r="C1931" s="2">
        <v>268.63299999999998</v>
      </c>
      <c r="D1931" s="2">
        <v>268.84300000000002</v>
      </c>
      <c r="E1931" s="2">
        <v>0.21</v>
      </c>
      <c r="F1931" s="2">
        <v>267.96100000000001</v>
      </c>
      <c r="G1931" s="2">
        <v>268.13</v>
      </c>
      <c r="H1931" s="2">
        <v>0.16900000000000001</v>
      </c>
      <c r="I1931" s="2">
        <v>268.52100000000002</v>
      </c>
      <c r="J1931" s="2">
        <v>268.40800000000002</v>
      </c>
      <c r="K1931" s="1">
        <v>-0.27800000000000002</v>
      </c>
      <c r="L1931" s="2">
        <v>8.5540000000000003</v>
      </c>
      <c r="N1931" s="7">
        <f t="shared" si="244"/>
        <v>199.39999999990687</v>
      </c>
      <c r="O1931" s="1">
        <f t="shared" si="245"/>
        <v>131</v>
      </c>
      <c r="P1931" s="1" t="str">
        <f t="shared" si="239"/>
        <v>199.399999999907,131</v>
      </c>
      <c r="Q1931" s="6" t="s">
        <v>10</v>
      </c>
      <c r="R1931" s="1">
        <v>90</v>
      </c>
      <c r="S1931" s="1">
        <v>2.5</v>
      </c>
      <c r="T1931" s="1" t="str">
        <f t="shared" si="246"/>
        <v>-text 199.399999999907,131 2.5 90 268.408</v>
      </c>
    </row>
    <row r="1932" spans="1:20" x14ac:dyDescent="0.35">
      <c r="A1932" s="1">
        <v>289220</v>
      </c>
      <c r="B1932" s="7">
        <v>1178692.1000000001</v>
      </c>
      <c r="C1932" s="2">
        <v>268.65899999999999</v>
      </c>
      <c r="D1932" s="2">
        <v>268.84300000000002</v>
      </c>
      <c r="E1932" s="2">
        <v>0.184</v>
      </c>
      <c r="F1932" s="2">
        <v>267.98700000000002</v>
      </c>
      <c r="G1932" s="2">
        <v>268.13</v>
      </c>
      <c r="H1932" s="2">
        <v>0.14299999999999999</v>
      </c>
      <c r="I1932" s="2">
        <v>268.76499999999999</v>
      </c>
      <c r="J1932" s="2">
        <v>268.822</v>
      </c>
      <c r="K1932" s="1">
        <v>-0.69199999999999995</v>
      </c>
      <c r="L1932" s="2">
        <v>7.91</v>
      </c>
      <c r="N1932" s="7">
        <f t="shared" si="244"/>
        <v>219.5</v>
      </c>
      <c r="O1932" s="1">
        <f t="shared" si="245"/>
        <v>131</v>
      </c>
      <c r="P1932" s="1" t="str">
        <f t="shared" ref="P1932:P2000" si="247">CONCATENATE(N1932,",",O1932)</f>
        <v>219.5,131</v>
      </c>
      <c r="Q1932" s="6" t="s">
        <v>10</v>
      </c>
      <c r="R1932" s="1">
        <v>90</v>
      </c>
      <c r="S1932" s="1">
        <v>2.5</v>
      </c>
      <c r="T1932" s="1" t="str">
        <f t="shared" si="246"/>
        <v>-text 219.5,131 2.5 90 268.822</v>
      </c>
    </row>
    <row r="1933" spans="1:20" x14ac:dyDescent="0.35">
      <c r="A1933" s="1">
        <v>289240</v>
      </c>
      <c r="B1933" s="7">
        <v>1178712.1000000001</v>
      </c>
      <c r="C1933" s="2">
        <v>268.74</v>
      </c>
      <c r="D1933" s="2">
        <v>268.84300000000002</v>
      </c>
      <c r="E1933" s="2">
        <v>0.10299999999999999</v>
      </c>
      <c r="F1933" s="2">
        <v>268.06799999999998</v>
      </c>
      <c r="G1933" s="2">
        <v>268.13</v>
      </c>
      <c r="H1933" s="2">
        <v>6.2E-2</v>
      </c>
      <c r="I1933" s="2">
        <v>268.97399999999999</v>
      </c>
      <c r="J1933" s="2">
        <v>268.92200000000003</v>
      </c>
      <c r="K1933" s="1">
        <v>-0.79200000000000004</v>
      </c>
      <c r="L1933" s="2">
        <v>7.3760000000000003</v>
      </c>
      <c r="N1933" s="7">
        <f t="shared" si="244"/>
        <v>239.5</v>
      </c>
      <c r="O1933" s="1">
        <f t="shared" si="245"/>
        <v>131</v>
      </c>
      <c r="P1933" s="1" t="str">
        <f t="shared" si="247"/>
        <v>239.5,131</v>
      </c>
      <c r="Q1933" s="6" t="s">
        <v>10</v>
      </c>
      <c r="R1933" s="1">
        <v>90</v>
      </c>
      <c r="S1933" s="1">
        <v>2.5</v>
      </c>
      <c r="T1933" s="1" t="str">
        <f t="shared" si="246"/>
        <v>-text 239.5,131 2.5 90 268.922</v>
      </c>
    </row>
    <row r="1934" spans="1:20" x14ac:dyDescent="0.35">
      <c r="A1934" s="1">
        <v>289260</v>
      </c>
      <c r="B1934" s="7">
        <v>1178732.3</v>
      </c>
      <c r="C1934" s="2">
        <v>268.81400000000002</v>
      </c>
      <c r="D1934" s="2">
        <v>268.84300000000002</v>
      </c>
      <c r="E1934" s="2">
        <v>2.9000000000000001E-2</v>
      </c>
      <c r="F1934" s="2">
        <v>268.142</v>
      </c>
      <c r="G1934" s="2">
        <v>268.13</v>
      </c>
      <c r="H1934" s="2">
        <v>-1.2E-2</v>
      </c>
      <c r="I1934" s="2">
        <v>268.98700000000002</v>
      </c>
      <c r="J1934" s="2">
        <v>268.86099999999999</v>
      </c>
      <c r="K1934" s="1">
        <v>-0.73099999999999998</v>
      </c>
      <c r="L1934" s="2">
        <v>7.1710000000000003</v>
      </c>
      <c r="N1934" s="7">
        <f t="shared" si="244"/>
        <v>259.69999999995343</v>
      </c>
      <c r="O1934" s="1">
        <f t="shared" si="245"/>
        <v>131</v>
      </c>
      <c r="P1934" s="1" t="str">
        <f t="shared" si="247"/>
        <v>259.699999999953,131</v>
      </c>
      <c r="Q1934" s="6" t="s">
        <v>10</v>
      </c>
      <c r="R1934" s="1">
        <v>90</v>
      </c>
      <c r="S1934" s="1">
        <v>2.5</v>
      </c>
      <c r="T1934" s="1" t="str">
        <f t="shared" si="246"/>
        <v>-text 259.699999999953,131 2.5 90 268.861</v>
      </c>
    </row>
    <row r="1935" spans="1:20" x14ac:dyDescent="0.35">
      <c r="A1935" s="1">
        <v>289280</v>
      </c>
      <c r="B1935" s="7">
        <v>1178752.3999999999</v>
      </c>
      <c r="C1935" s="2">
        <v>268.91199999999998</v>
      </c>
      <c r="D1935" s="2">
        <v>268.84300000000002</v>
      </c>
      <c r="E1935" s="2">
        <v>-6.9000000000000006E-2</v>
      </c>
      <c r="F1935" s="2">
        <v>268.24</v>
      </c>
      <c r="G1935" s="2">
        <v>268.13</v>
      </c>
      <c r="H1935" s="2">
        <v>-0.11</v>
      </c>
      <c r="I1935" s="2">
        <v>269.11700000000002</v>
      </c>
      <c r="J1935" s="2">
        <v>269.23500000000001</v>
      </c>
      <c r="K1935" s="1">
        <v>-1.105</v>
      </c>
      <c r="L1935" s="2">
        <v>7.2990000000000004</v>
      </c>
      <c r="N1935" s="7">
        <f t="shared" si="244"/>
        <v>279.79999999981374</v>
      </c>
      <c r="O1935" s="1">
        <f t="shared" si="245"/>
        <v>131</v>
      </c>
      <c r="P1935" s="1" t="str">
        <f t="shared" si="247"/>
        <v>279.799999999814,131</v>
      </c>
      <c r="Q1935" s="6" t="s">
        <v>10</v>
      </c>
      <c r="R1935" s="1">
        <v>90</v>
      </c>
      <c r="S1935" s="1">
        <v>2.5</v>
      </c>
      <c r="T1935" s="1" t="str">
        <f t="shared" si="246"/>
        <v>-text 279.799999999814,131 2.5 90 269.235</v>
      </c>
    </row>
    <row r="1936" spans="1:20" x14ac:dyDescent="0.35">
      <c r="A1936" s="1">
        <v>289300</v>
      </c>
      <c r="B1936" s="7">
        <v>1178772.3999999999</v>
      </c>
      <c r="C1936" s="2">
        <v>268.90499999999997</v>
      </c>
      <c r="D1936" s="2">
        <v>268.84300000000002</v>
      </c>
      <c r="E1936" s="2">
        <v>-6.2E-2</v>
      </c>
      <c r="F1936" s="2">
        <v>268.233</v>
      </c>
      <c r="G1936" s="2">
        <v>268.13</v>
      </c>
      <c r="H1936" s="2">
        <v>-0.10299999999999999</v>
      </c>
      <c r="I1936" s="2">
        <v>268.96600000000001</v>
      </c>
      <c r="J1936" s="2">
        <v>269.08699999999999</v>
      </c>
      <c r="K1936" s="1">
        <v>-0.95699999999999996</v>
      </c>
      <c r="L1936" s="2">
        <v>7.7220000000000004</v>
      </c>
      <c r="N1936" s="7">
        <f t="shared" si="244"/>
        <v>299.79999999981374</v>
      </c>
      <c r="O1936" s="1">
        <f t="shared" si="245"/>
        <v>131</v>
      </c>
      <c r="P1936" s="1" t="str">
        <f t="shared" si="247"/>
        <v>299.799999999814,131</v>
      </c>
      <c r="Q1936" s="6" t="s">
        <v>10</v>
      </c>
      <c r="R1936" s="1">
        <v>90</v>
      </c>
      <c r="S1936" s="1">
        <v>2.5</v>
      </c>
      <c r="T1936" s="1" t="str">
        <f t="shared" si="246"/>
        <v>-text 299.799999999814,131 2.5 90 269.087</v>
      </c>
    </row>
    <row r="1937" spans="1:20" x14ac:dyDescent="0.35">
      <c r="A1937" s="1">
        <v>289320</v>
      </c>
      <c r="B1937" s="7">
        <v>1178792.3999999999</v>
      </c>
      <c r="C1937" s="2">
        <v>268.85599999999999</v>
      </c>
      <c r="D1937" s="2">
        <v>268.84300000000002</v>
      </c>
      <c r="E1937" s="2">
        <v>-1.2999999999999999E-2</v>
      </c>
      <c r="F1937" s="2">
        <v>268.18400000000003</v>
      </c>
      <c r="G1937" s="2">
        <v>268.13</v>
      </c>
      <c r="H1937" s="2">
        <v>-5.3999999999999999E-2</v>
      </c>
      <c r="I1937" s="2">
        <v>268.91500000000002</v>
      </c>
      <c r="J1937" s="2">
        <v>269.03300000000002</v>
      </c>
      <c r="K1937" s="1">
        <v>-0.90300000000000002</v>
      </c>
      <c r="L1937" s="2">
        <v>8.3770000000000007</v>
      </c>
      <c r="N1937" s="7">
        <f t="shared" si="244"/>
        <v>319.79999999981374</v>
      </c>
      <c r="O1937" s="1">
        <f t="shared" si="245"/>
        <v>131</v>
      </c>
      <c r="P1937" s="1" t="str">
        <f t="shared" si="247"/>
        <v>319.799999999814,131</v>
      </c>
      <c r="Q1937" s="6" t="s">
        <v>10</v>
      </c>
      <c r="R1937" s="1">
        <v>90</v>
      </c>
      <c r="S1937" s="1">
        <v>2.5</v>
      </c>
      <c r="T1937" s="1" t="str">
        <f t="shared" si="246"/>
        <v>-text 319.799999999814,131 2.5 90 269.033</v>
      </c>
    </row>
    <row r="1938" spans="1:20" x14ac:dyDescent="0.35">
      <c r="A1938" s="1">
        <v>289340</v>
      </c>
      <c r="B1938" s="7">
        <v>1178812.5</v>
      </c>
      <c r="C1938" s="2">
        <v>268.80799999999999</v>
      </c>
      <c r="D1938" s="2">
        <v>268.84300000000002</v>
      </c>
      <c r="E1938" s="2">
        <v>3.5000000000000003E-2</v>
      </c>
      <c r="F1938" s="2">
        <v>268.13600000000002</v>
      </c>
      <c r="G1938" s="2">
        <v>268.13</v>
      </c>
      <c r="H1938" s="2">
        <v>-6.0000000000000001E-3</v>
      </c>
      <c r="I1938" s="2">
        <v>268.73200000000003</v>
      </c>
      <c r="J1938" s="2">
        <v>268.70600000000002</v>
      </c>
      <c r="K1938" s="1">
        <v>-0.57599999999999996</v>
      </c>
      <c r="L1938" s="2">
        <v>9.27</v>
      </c>
      <c r="N1938" s="7">
        <f t="shared" si="244"/>
        <v>339.89999999990687</v>
      </c>
      <c r="O1938" s="1">
        <f t="shared" si="245"/>
        <v>131</v>
      </c>
      <c r="P1938" s="1" t="str">
        <f t="shared" si="247"/>
        <v>339.899999999907,131</v>
      </c>
      <c r="Q1938" s="6" t="s">
        <v>10</v>
      </c>
      <c r="R1938" s="1">
        <v>90</v>
      </c>
      <c r="S1938" s="1">
        <v>2.5</v>
      </c>
      <c r="T1938" s="1" t="str">
        <f t="shared" si="246"/>
        <v>-text 339.899999999907,131 2.5 90 268.706</v>
      </c>
    </row>
    <row r="1939" spans="1:20" x14ac:dyDescent="0.35">
      <c r="A1939" s="1">
        <v>289360</v>
      </c>
      <c r="B1939" s="7">
        <v>1178832.5</v>
      </c>
      <c r="C1939" s="2">
        <v>268.76299999999998</v>
      </c>
      <c r="D1939" s="2">
        <v>268.84300000000002</v>
      </c>
      <c r="E1939" s="2">
        <v>0.08</v>
      </c>
      <c r="F1939" s="2">
        <v>268.09100000000001</v>
      </c>
      <c r="G1939" s="2">
        <v>268.13</v>
      </c>
      <c r="H1939" s="2">
        <v>3.9E-2</v>
      </c>
      <c r="I1939" s="2">
        <v>268.536</v>
      </c>
      <c r="J1939" s="2">
        <v>268.53899999999999</v>
      </c>
      <c r="K1939" s="1">
        <v>-0.40899999999999997</v>
      </c>
      <c r="L1939" s="2">
        <v>10.416</v>
      </c>
      <c r="N1939" s="7">
        <f t="shared" si="244"/>
        <v>359.89999999990687</v>
      </c>
      <c r="O1939" s="1">
        <f t="shared" si="245"/>
        <v>131</v>
      </c>
      <c r="P1939" s="1" t="str">
        <f t="shared" si="247"/>
        <v>359.899999999907,131</v>
      </c>
      <c r="Q1939" s="6" t="s">
        <v>10</v>
      </c>
      <c r="R1939" s="1">
        <v>90</v>
      </c>
      <c r="S1939" s="1">
        <v>2.5</v>
      </c>
      <c r="T1939" s="1" t="str">
        <f t="shared" si="246"/>
        <v>-text 359.899999999907,131 2.5 90 268.539</v>
      </c>
    </row>
    <row r="1940" spans="1:20" x14ac:dyDescent="0.35">
      <c r="A1940" s="1">
        <v>289380</v>
      </c>
      <c r="B1940" s="7">
        <v>1178852.5</v>
      </c>
      <c r="C1940" s="2">
        <v>268.71899999999999</v>
      </c>
      <c r="D1940" s="2">
        <v>268.84300000000002</v>
      </c>
      <c r="E1940" s="2">
        <v>0.124</v>
      </c>
      <c r="F1940" s="2">
        <v>268.04700000000003</v>
      </c>
      <c r="G1940" s="2">
        <v>268.13</v>
      </c>
      <c r="H1940" s="2">
        <v>8.3000000000000004E-2</v>
      </c>
      <c r="I1940" s="2">
        <v>268.48700000000002</v>
      </c>
      <c r="J1940" s="2">
        <v>268.512</v>
      </c>
      <c r="K1940" s="1">
        <v>-0.38200000000000001</v>
      </c>
      <c r="L1940" s="2">
        <v>11.768000000000001</v>
      </c>
      <c r="N1940" s="7">
        <f t="shared" si="244"/>
        <v>379.89999999990687</v>
      </c>
      <c r="O1940" s="1">
        <f t="shared" si="245"/>
        <v>131</v>
      </c>
      <c r="P1940" s="1" t="str">
        <f t="shared" si="247"/>
        <v>379.899999999907,131</v>
      </c>
      <c r="Q1940" s="6" t="s">
        <v>10</v>
      </c>
      <c r="R1940" s="1">
        <v>90</v>
      </c>
      <c r="S1940" s="1">
        <v>2.5</v>
      </c>
      <c r="T1940" s="1" t="str">
        <f t="shared" si="246"/>
        <v>-text 379.899999999907,131 2.5 90 268.512</v>
      </c>
    </row>
    <row r="1941" spans="1:20" x14ac:dyDescent="0.35">
      <c r="A1941" s="1">
        <v>289400</v>
      </c>
      <c r="B1941" s="7">
        <v>1178872.6000000001</v>
      </c>
      <c r="C1941" s="2">
        <v>268.67399999999998</v>
      </c>
      <c r="D1941" s="2">
        <v>268.84300000000002</v>
      </c>
      <c r="E1941" s="2">
        <v>0.16900000000000001</v>
      </c>
      <c r="F1941" s="2">
        <v>268.00200000000001</v>
      </c>
      <c r="G1941" s="2">
        <v>268.13</v>
      </c>
      <c r="H1941" s="2">
        <v>0.128</v>
      </c>
      <c r="I1941" s="2">
        <v>268.505</v>
      </c>
      <c r="J1941" s="2">
        <v>268.55200000000002</v>
      </c>
      <c r="K1941" s="1">
        <v>-0.42199999999999999</v>
      </c>
      <c r="L1941" s="2">
        <v>13.259</v>
      </c>
      <c r="N1941" s="7">
        <f t="shared" si="244"/>
        <v>400</v>
      </c>
      <c r="O1941" s="1">
        <f t="shared" si="245"/>
        <v>131</v>
      </c>
      <c r="P1941" s="1" t="str">
        <f t="shared" si="247"/>
        <v>400,131</v>
      </c>
      <c r="Q1941" s="6" t="s">
        <v>10</v>
      </c>
      <c r="R1941" s="1">
        <v>90</v>
      </c>
      <c r="S1941" s="1">
        <v>2.5</v>
      </c>
      <c r="T1941" s="1" t="str">
        <f t="shared" si="246"/>
        <v>-text 400,131 2.5 90 268.552</v>
      </c>
    </row>
    <row r="1942" spans="1:20" x14ac:dyDescent="0.35">
      <c r="A1942" s="1">
        <v>289420</v>
      </c>
      <c r="B1942" s="7">
        <v>1178892.7</v>
      </c>
      <c r="C1942" s="2">
        <v>268.66199999999998</v>
      </c>
      <c r="D1942" s="2">
        <v>268.84300000000002</v>
      </c>
      <c r="E1942" s="2">
        <v>0.18099999999999999</v>
      </c>
      <c r="F1942" s="2">
        <v>267.99</v>
      </c>
      <c r="G1942" s="2">
        <v>268.13</v>
      </c>
      <c r="H1942" s="2">
        <v>0.14000000000000001</v>
      </c>
      <c r="I1942" s="2">
        <v>268.80500000000001</v>
      </c>
      <c r="J1942" s="2">
        <v>268.98899999999998</v>
      </c>
      <c r="K1942" s="1">
        <v>-0.85899999999999999</v>
      </c>
      <c r="L1942" s="2">
        <v>14.861000000000001</v>
      </c>
      <c r="N1942" s="7">
        <f t="shared" si="244"/>
        <v>420.0999999998603</v>
      </c>
      <c r="O1942" s="1">
        <f t="shared" si="245"/>
        <v>131</v>
      </c>
      <c r="P1942" s="1" t="str">
        <f t="shared" si="247"/>
        <v>420.09999999986,131</v>
      </c>
      <c r="Q1942" s="6" t="s">
        <v>10</v>
      </c>
      <c r="R1942" s="1">
        <v>90</v>
      </c>
      <c r="S1942" s="1">
        <v>2.5</v>
      </c>
      <c r="T1942" s="1" t="str">
        <f t="shared" si="246"/>
        <v>-text 420.09999999986,131 2.5 90 268.989</v>
      </c>
    </row>
    <row r="1943" spans="1:20" x14ac:dyDescent="0.35">
      <c r="A1943" s="1">
        <v>289440</v>
      </c>
      <c r="B1943" s="7">
        <v>1178912.7</v>
      </c>
      <c r="C1943" s="2">
        <v>268.685</v>
      </c>
      <c r="D1943" s="2">
        <v>268.84300000000002</v>
      </c>
      <c r="E1943" s="2">
        <v>0.158</v>
      </c>
      <c r="F1943" s="2">
        <v>268.01299999999998</v>
      </c>
      <c r="G1943" s="2">
        <v>268.13</v>
      </c>
      <c r="H1943" s="2">
        <v>0.11700000000000001</v>
      </c>
      <c r="I1943" s="2">
        <v>268.97000000000003</v>
      </c>
      <c r="J1943" s="2">
        <v>269.041</v>
      </c>
      <c r="K1943" s="1">
        <v>-0.91100000000000003</v>
      </c>
      <c r="L1943" s="2">
        <v>16.463000000000001</v>
      </c>
      <c r="N1943" s="7">
        <f t="shared" si="244"/>
        <v>440.0999999998603</v>
      </c>
      <c r="O1943" s="1">
        <f t="shared" si="245"/>
        <v>131</v>
      </c>
      <c r="P1943" s="1" t="str">
        <f t="shared" si="247"/>
        <v>440.09999999986,131</v>
      </c>
      <c r="Q1943" s="6" t="s">
        <v>10</v>
      </c>
      <c r="R1943" s="1">
        <v>90</v>
      </c>
      <c r="S1943" s="1">
        <v>2.5</v>
      </c>
      <c r="T1943" s="1" t="str">
        <f t="shared" si="246"/>
        <v>-text 440.09999999986,131 2.5 90 269.041</v>
      </c>
    </row>
    <row r="1944" spans="1:20" x14ac:dyDescent="0.35">
      <c r="A1944" s="1">
        <v>289460</v>
      </c>
      <c r="B1944" s="7">
        <v>1178932.8</v>
      </c>
      <c r="C1944" s="2">
        <v>268.71100000000001</v>
      </c>
      <c r="D1944" s="2">
        <v>268.84300000000002</v>
      </c>
      <c r="E1944" s="2">
        <v>0.13200000000000001</v>
      </c>
      <c r="F1944" s="2">
        <v>268.03899999999999</v>
      </c>
      <c r="G1944" s="2">
        <v>268.13</v>
      </c>
      <c r="H1944" s="2">
        <v>9.0999999999999998E-2</v>
      </c>
      <c r="I1944" s="2">
        <v>268.72000000000003</v>
      </c>
      <c r="J1944" s="2">
        <v>268.64499999999998</v>
      </c>
      <c r="K1944" s="1">
        <v>-0.51500000000000001</v>
      </c>
      <c r="L1944" s="2">
        <v>18.068999999999999</v>
      </c>
      <c r="N1944" s="7">
        <f t="shared" si="244"/>
        <v>460.19999999995343</v>
      </c>
      <c r="O1944" s="1">
        <f t="shared" si="245"/>
        <v>131</v>
      </c>
      <c r="P1944" s="1" t="str">
        <f t="shared" si="247"/>
        <v>460.199999999953,131</v>
      </c>
      <c r="Q1944" s="6" t="s">
        <v>10</v>
      </c>
      <c r="R1944" s="1">
        <v>90</v>
      </c>
      <c r="S1944" s="1">
        <v>2.5</v>
      </c>
      <c r="T1944" s="1" t="str">
        <f t="shared" si="246"/>
        <v>-text 460.199999999953,131 2.5 90 268.645</v>
      </c>
    </row>
    <row r="1945" spans="1:20" x14ac:dyDescent="0.35">
      <c r="A1945" s="1">
        <v>289480</v>
      </c>
      <c r="B1945" s="7">
        <v>1178952.8</v>
      </c>
      <c r="C1945" s="2">
        <v>268.72199999999998</v>
      </c>
      <c r="D1945" s="2">
        <v>268.84300000000002</v>
      </c>
      <c r="E1945" s="2">
        <v>0.121</v>
      </c>
      <c r="F1945" s="2">
        <v>268.05</v>
      </c>
      <c r="G1945" s="2">
        <v>268.13</v>
      </c>
      <c r="H1945" s="2">
        <v>0.08</v>
      </c>
      <c r="I1945" s="2">
        <v>268.49</v>
      </c>
      <c r="J1945" s="2">
        <v>268.404</v>
      </c>
      <c r="K1945" s="1">
        <v>-0.27400000000000002</v>
      </c>
      <c r="L1945" s="2">
        <v>19.658000000000001</v>
      </c>
      <c r="N1945" s="7">
        <f t="shared" si="244"/>
        <v>480.19999999995343</v>
      </c>
      <c r="O1945" s="1">
        <f t="shared" si="245"/>
        <v>131</v>
      </c>
      <c r="P1945" s="1" t="str">
        <f t="shared" si="247"/>
        <v>480.199999999953,131</v>
      </c>
      <c r="Q1945" s="6" t="s">
        <v>10</v>
      </c>
      <c r="R1945" s="1">
        <v>90</v>
      </c>
      <c r="S1945" s="1">
        <v>2.5</v>
      </c>
      <c r="T1945" s="1" t="str">
        <f t="shared" si="246"/>
        <v>-text 480.199999999953,131 2.5 90 268.404</v>
      </c>
    </row>
    <row r="1946" spans="1:20" x14ac:dyDescent="0.35">
      <c r="A1946" s="1">
        <v>289500</v>
      </c>
      <c r="B1946" s="7">
        <v>1178972.8</v>
      </c>
      <c r="C1946" s="2">
        <v>268.714</v>
      </c>
      <c r="D1946" s="2">
        <v>268.84300000000002</v>
      </c>
      <c r="E1946" s="2">
        <v>0.129</v>
      </c>
      <c r="F1946" s="2">
        <v>268.04199999999997</v>
      </c>
      <c r="G1946" s="2">
        <v>268.13</v>
      </c>
      <c r="H1946" s="2">
        <v>8.7999999999999995E-2</v>
      </c>
      <c r="I1946" s="2">
        <v>268.28800000000001</v>
      </c>
      <c r="J1946" s="2">
        <v>268.31700000000001</v>
      </c>
      <c r="K1946" s="1">
        <v>-0.187</v>
      </c>
      <c r="L1946" s="2">
        <v>21.198</v>
      </c>
      <c r="N1946" s="7">
        <f>N1943+(B1946-B1943)</f>
        <v>500.19999999995343</v>
      </c>
      <c r="O1946" s="1">
        <f t="shared" si="245"/>
        <v>131</v>
      </c>
      <c r="P1946" s="1" t="str">
        <f t="shared" ref="P1946" si="248">CONCATENATE(N1946,",",O1946)</f>
        <v>500.199999999953,131</v>
      </c>
      <c r="Q1946" s="6" t="s">
        <v>10</v>
      </c>
      <c r="R1946" s="1">
        <v>90</v>
      </c>
      <c r="S1946" s="1">
        <v>2.5</v>
      </c>
      <c r="T1946" s="1" t="str">
        <f t="shared" si="246"/>
        <v>-text 500.199999999953,131 2.5 90 268.317</v>
      </c>
    </row>
    <row r="1947" spans="1:20" s="10" customFormat="1" x14ac:dyDescent="0.35">
      <c r="B1947" s="11"/>
      <c r="C1947" s="9"/>
      <c r="D1947" s="9"/>
      <c r="E1947" s="9"/>
      <c r="F1947" s="9"/>
      <c r="G1947" s="9"/>
      <c r="H1947" s="9"/>
      <c r="I1947" s="9"/>
      <c r="J1947" s="9"/>
      <c r="K1947" s="16"/>
      <c r="L1947" s="9"/>
      <c r="M1947" s="9"/>
      <c r="N1947" s="11"/>
      <c r="Q1947" s="12"/>
    </row>
    <row r="1948" spans="1:20" x14ac:dyDescent="0.35">
      <c r="A1948" s="1">
        <v>289500</v>
      </c>
      <c r="B1948" s="7">
        <v>1178972.8</v>
      </c>
      <c r="C1948" s="2">
        <v>268.714</v>
      </c>
      <c r="D1948" s="2">
        <v>268.84300000000002</v>
      </c>
      <c r="E1948" s="2">
        <v>0.129</v>
      </c>
      <c r="F1948" s="2">
        <v>268.04199999999997</v>
      </c>
      <c r="G1948" s="2">
        <v>268.13</v>
      </c>
      <c r="H1948" s="2">
        <v>8.7999999999999995E-2</v>
      </c>
      <c r="I1948" s="2">
        <v>268.28800000000001</v>
      </c>
      <c r="J1948" s="2">
        <v>268.31700000000001</v>
      </c>
      <c r="K1948" s="1">
        <v>-0.187</v>
      </c>
      <c r="L1948" s="2">
        <v>21.198</v>
      </c>
      <c r="N1948" s="7">
        <v>0</v>
      </c>
      <c r="O1948" s="1">
        <f t="shared" si="245"/>
        <v>131</v>
      </c>
      <c r="P1948" s="1" t="str">
        <f t="shared" si="247"/>
        <v>0,131</v>
      </c>
      <c r="Q1948" s="6" t="s">
        <v>10</v>
      </c>
      <c r="R1948" s="1">
        <v>90</v>
      </c>
      <c r="S1948" s="1">
        <v>2.5</v>
      </c>
      <c r="T1948" s="1" t="str">
        <f t="shared" si="246"/>
        <v>-text 0,131 2.5 90 268.317</v>
      </c>
    </row>
    <row r="1949" spans="1:20" x14ac:dyDescent="0.35">
      <c r="A1949" s="1">
        <v>289520</v>
      </c>
      <c r="B1949" s="7">
        <v>1178992.8999999999</v>
      </c>
      <c r="C1949" s="2">
        <v>268.68799999999999</v>
      </c>
      <c r="D1949" s="2">
        <v>268.84300000000002</v>
      </c>
      <c r="E1949" s="2">
        <v>0.155</v>
      </c>
      <c r="F1949" s="2">
        <v>268.01600000000002</v>
      </c>
      <c r="G1949" s="2">
        <v>268.13</v>
      </c>
      <c r="H1949" s="2">
        <v>0.114</v>
      </c>
      <c r="I1949" s="2">
        <v>268.27</v>
      </c>
      <c r="J1949" s="2">
        <v>268.62200000000001</v>
      </c>
      <c r="K1949" s="1">
        <v>-0.49199999999999999</v>
      </c>
      <c r="L1949" s="2">
        <v>22.646999999999998</v>
      </c>
      <c r="N1949" s="7">
        <f t="shared" ref="N1949:N1970" si="249">N1948+(B1949-B1948)</f>
        <v>20.099999999860302</v>
      </c>
      <c r="O1949" s="1">
        <f t="shared" si="245"/>
        <v>131</v>
      </c>
      <c r="P1949" s="1" t="str">
        <f t="shared" si="247"/>
        <v>20.0999999998603,131</v>
      </c>
      <c r="Q1949" s="6" t="s">
        <v>10</v>
      </c>
      <c r="R1949" s="1">
        <v>90</v>
      </c>
      <c r="S1949" s="1">
        <v>2.5</v>
      </c>
      <c r="T1949" s="1" t="str">
        <f t="shared" si="246"/>
        <v>-text 20.0999999998603,131 2.5 90 268.622</v>
      </c>
    </row>
    <row r="1950" spans="1:20" x14ac:dyDescent="0.35">
      <c r="A1950" s="1">
        <v>289540</v>
      </c>
      <c r="B1950" s="7">
        <v>1179013</v>
      </c>
      <c r="C1950" s="2">
        <v>268.661</v>
      </c>
      <c r="D1950" s="2">
        <v>268.84300000000002</v>
      </c>
      <c r="E1950" s="2">
        <v>0.182</v>
      </c>
      <c r="F1950" s="2">
        <v>267.98899999999998</v>
      </c>
      <c r="G1950" s="2">
        <v>268.13</v>
      </c>
      <c r="H1950" s="2">
        <v>0.14099999999999999</v>
      </c>
      <c r="I1950" s="2">
        <v>268.54199999999997</v>
      </c>
      <c r="J1950" s="2">
        <v>268.863</v>
      </c>
      <c r="K1950" s="1">
        <v>-0.73299999999999998</v>
      </c>
      <c r="L1950" s="2">
        <v>23.951000000000001</v>
      </c>
      <c r="N1950" s="7">
        <f t="shared" si="249"/>
        <v>40.199999999953434</v>
      </c>
      <c r="O1950" s="1">
        <f t="shared" si="245"/>
        <v>131</v>
      </c>
      <c r="P1950" s="1" t="str">
        <f t="shared" si="247"/>
        <v>40.1999999999534,131</v>
      </c>
      <c r="Q1950" s="6" t="s">
        <v>10</v>
      </c>
      <c r="R1950" s="1">
        <v>90</v>
      </c>
      <c r="S1950" s="1">
        <v>2.5</v>
      </c>
      <c r="T1950" s="1" t="str">
        <f t="shared" si="246"/>
        <v>-text 40.1999999999534,131 2.5 90 268.863</v>
      </c>
    </row>
    <row r="1951" spans="1:20" x14ac:dyDescent="0.35">
      <c r="A1951" s="1">
        <v>289560</v>
      </c>
      <c r="B1951" s="7">
        <v>1179033</v>
      </c>
      <c r="C1951" s="2">
        <v>268.64299999999997</v>
      </c>
      <c r="D1951" s="2">
        <v>268.84300000000002</v>
      </c>
      <c r="E1951" s="2">
        <v>0.2</v>
      </c>
      <c r="F1951" s="2">
        <v>267.971</v>
      </c>
      <c r="G1951" s="2">
        <v>268.13</v>
      </c>
      <c r="H1951" s="2">
        <v>0.159</v>
      </c>
      <c r="I1951" s="2">
        <v>268.66199999999998</v>
      </c>
      <c r="J1951" s="2">
        <v>268.89299999999997</v>
      </c>
      <c r="K1951" s="1">
        <v>-0.76300000000000001</v>
      </c>
      <c r="L1951" s="2">
        <v>25.053999999999998</v>
      </c>
      <c r="N1951" s="7">
        <f t="shared" si="249"/>
        <v>60.199999999953434</v>
      </c>
      <c r="O1951" s="1">
        <f t="shared" si="245"/>
        <v>131</v>
      </c>
      <c r="P1951" s="1" t="str">
        <f t="shared" si="247"/>
        <v>60.1999999999534,131</v>
      </c>
      <c r="Q1951" s="6" t="s">
        <v>10</v>
      </c>
      <c r="R1951" s="1">
        <v>90</v>
      </c>
      <c r="S1951" s="1">
        <v>2.5</v>
      </c>
      <c r="T1951" s="1" t="str">
        <f t="shared" si="246"/>
        <v>-text 60.1999999999534,131 2.5 90 268.893</v>
      </c>
    </row>
    <row r="1952" spans="1:20" x14ac:dyDescent="0.35">
      <c r="A1952" s="1">
        <v>289580</v>
      </c>
      <c r="B1952" s="7">
        <v>1179053</v>
      </c>
      <c r="C1952" s="2">
        <v>268.65600000000001</v>
      </c>
      <c r="D1952" s="2">
        <v>268.84300000000002</v>
      </c>
      <c r="E1952" s="2">
        <v>0.187</v>
      </c>
      <c r="F1952" s="2">
        <v>267.98399999999998</v>
      </c>
      <c r="G1952" s="2">
        <v>268.13</v>
      </c>
      <c r="H1952" s="2">
        <v>0.14599999999999999</v>
      </c>
      <c r="I1952" s="2">
        <v>268.57499999999999</v>
      </c>
      <c r="J1952" s="2">
        <v>268.59300000000002</v>
      </c>
      <c r="K1952" s="1">
        <v>-0.46300000000000002</v>
      </c>
      <c r="L1952" s="2">
        <v>25.870999999999999</v>
      </c>
      <c r="N1952" s="7">
        <f t="shared" si="249"/>
        <v>80.199999999953434</v>
      </c>
      <c r="O1952" s="1">
        <f t="shared" si="245"/>
        <v>131</v>
      </c>
      <c r="P1952" s="1" t="str">
        <f t="shared" si="247"/>
        <v>80.1999999999534,131</v>
      </c>
      <c r="Q1952" s="6" t="s">
        <v>10</v>
      </c>
      <c r="R1952" s="1">
        <v>90</v>
      </c>
      <c r="S1952" s="1">
        <v>2.5</v>
      </c>
      <c r="T1952" s="1" t="str">
        <f t="shared" si="246"/>
        <v>-text 80.1999999999534,131 2.5 90 268.593</v>
      </c>
    </row>
    <row r="1953" spans="1:20" x14ac:dyDescent="0.35">
      <c r="A1953" s="1">
        <v>289600</v>
      </c>
      <c r="B1953" s="7">
        <v>1179073.1000000001</v>
      </c>
      <c r="C1953" s="2">
        <v>268.66699999999997</v>
      </c>
      <c r="D1953" s="2">
        <v>268.84300000000002</v>
      </c>
      <c r="E1953" s="2">
        <v>0.17599999999999999</v>
      </c>
      <c r="F1953" s="2">
        <v>267.995</v>
      </c>
      <c r="G1953" s="2">
        <v>268.13</v>
      </c>
      <c r="H1953" s="2">
        <v>0.13500000000000001</v>
      </c>
      <c r="I1953" s="2">
        <v>268.16399999999999</v>
      </c>
      <c r="J1953" s="2">
        <v>268.173</v>
      </c>
      <c r="K1953" s="1">
        <v>-4.2999999999999997E-2</v>
      </c>
      <c r="L1953" s="2">
        <v>26.472999999999999</v>
      </c>
      <c r="N1953" s="7">
        <f t="shared" si="249"/>
        <v>100.30000000004657</v>
      </c>
      <c r="O1953" s="1">
        <f t="shared" si="245"/>
        <v>131</v>
      </c>
      <c r="P1953" s="1" t="str">
        <f t="shared" si="247"/>
        <v>100.300000000047,131</v>
      </c>
      <c r="Q1953" s="6" t="s">
        <v>10</v>
      </c>
      <c r="R1953" s="1">
        <v>90</v>
      </c>
      <c r="S1953" s="1">
        <v>2.5</v>
      </c>
      <c r="T1953" s="1" t="str">
        <f t="shared" si="246"/>
        <v>-text 100.300000000047,131 2.5 90 268.173</v>
      </c>
    </row>
    <row r="1954" spans="1:20" x14ac:dyDescent="0.35">
      <c r="A1954" s="1">
        <v>289620</v>
      </c>
      <c r="B1954" s="7">
        <v>1179093.1000000001</v>
      </c>
      <c r="C1954" s="2">
        <v>268.66300000000001</v>
      </c>
      <c r="D1954" s="2">
        <v>268.84300000000002</v>
      </c>
      <c r="E1954" s="2">
        <v>0.18</v>
      </c>
      <c r="F1954" s="2">
        <v>267.99099999999999</v>
      </c>
      <c r="G1954" s="2">
        <v>268.13</v>
      </c>
      <c r="H1954" s="2">
        <v>0.13900000000000001</v>
      </c>
      <c r="I1954" s="2">
        <v>268.15199999999999</v>
      </c>
      <c r="J1954" s="2">
        <v>267.85500000000002</v>
      </c>
      <c r="K1954" s="15">
        <v>0.27500000000000002</v>
      </c>
      <c r="L1954" s="2">
        <v>26.91</v>
      </c>
      <c r="N1954" s="7">
        <f t="shared" si="249"/>
        <v>120.30000000004657</v>
      </c>
      <c r="O1954" s="1">
        <f t="shared" si="245"/>
        <v>131</v>
      </c>
      <c r="P1954" s="1" t="str">
        <f t="shared" si="247"/>
        <v>120.300000000047,131</v>
      </c>
      <c r="Q1954" s="6" t="s">
        <v>10</v>
      </c>
      <c r="R1954" s="1">
        <v>90</v>
      </c>
      <c r="S1954" s="1">
        <v>2.5</v>
      </c>
      <c r="T1954" s="1" t="str">
        <f t="shared" si="246"/>
        <v>-text 120.300000000047,131 2.5 90 267.855</v>
      </c>
    </row>
    <row r="1955" spans="1:20" x14ac:dyDescent="0.35">
      <c r="A1955" s="1">
        <v>289640</v>
      </c>
      <c r="B1955" s="7">
        <v>1179113.1000000001</v>
      </c>
      <c r="C1955" s="2">
        <v>268.697</v>
      </c>
      <c r="D1955" s="2">
        <v>268.84300000000002</v>
      </c>
      <c r="E1955" s="2">
        <v>0.14599999999999999</v>
      </c>
      <c r="F1955" s="2">
        <v>268.02499999999998</v>
      </c>
      <c r="G1955" s="2">
        <v>268.13</v>
      </c>
      <c r="H1955" s="2">
        <v>0.105</v>
      </c>
      <c r="I1955" s="2">
        <v>268.17700000000002</v>
      </c>
      <c r="J1955" s="2">
        <v>268.03100000000001</v>
      </c>
      <c r="K1955" s="15">
        <v>9.9000000000000005E-2</v>
      </c>
      <c r="L1955" s="2">
        <v>27.175000000000001</v>
      </c>
      <c r="N1955" s="7">
        <f t="shared" si="249"/>
        <v>140.30000000004657</v>
      </c>
      <c r="O1955" s="1">
        <f t="shared" si="245"/>
        <v>131</v>
      </c>
      <c r="P1955" s="1" t="str">
        <f t="shared" si="247"/>
        <v>140.300000000047,131</v>
      </c>
      <c r="Q1955" s="6" t="s">
        <v>10</v>
      </c>
      <c r="R1955" s="1">
        <v>90</v>
      </c>
      <c r="S1955" s="1">
        <v>2.5</v>
      </c>
      <c r="T1955" s="1" t="str">
        <f t="shared" si="246"/>
        <v>-text 140.300000000047,131 2.5 90 268.031</v>
      </c>
    </row>
    <row r="1956" spans="1:20" x14ac:dyDescent="0.35">
      <c r="A1956" s="1">
        <v>289660</v>
      </c>
      <c r="B1956" s="7">
        <v>1179133.1000000001</v>
      </c>
      <c r="C1956" s="2">
        <v>268.779</v>
      </c>
      <c r="D1956" s="2">
        <v>268.84300000000002</v>
      </c>
      <c r="E1956" s="2">
        <v>6.4000000000000001E-2</v>
      </c>
      <c r="F1956" s="2">
        <v>268.10700000000003</v>
      </c>
      <c r="G1956" s="2">
        <v>268.13</v>
      </c>
      <c r="H1956" s="2">
        <v>2.3E-2</v>
      </c>
      <c r="I1956" s="2">
        <v>268.017</v>
      </c>
      <c r="J1956" s="2">
        <v>267.99400000000003</v>
      </c>
      <c r="K1956" s="15">
        <v>0.13600000000000001</v>
      </c>
      <c r="L1956" s="2">
        <v>27.321999999999999</v>
      </c>
      <c r="N1956" s="7">
        <f t="shared" si="249"/>
        <v>160.30000000004657</v>
      </c>
      <c r="O1956" s="1">
        <f t="shared" si="245"/>
        <v>131</v>
      </c>
      <c r="P1956" s="1" t="str">
        <f t="shared" si="247"/>
        <v>160.300000000047,131</v>
      </c>
      <c r="Q1956" s="6" t="s">
        <v>10</v>
      </c>
      <c r="R1956" s="1">
        <v>90</v>
      </c>
      <c r="S1956" s="1">
        <v>2.5</v>
      </c>
      <c r="T1956" s="1" t="str">
        <f t="shared" si="246"/>
        <v>-text 160.300000000047,131 2.5 90 267.994</v>
      </c>
    </row>
    <row r="1957" spans="1:20" x14ac:dyDescent="0.35">
      <c r="A1957" s="1">
        <v>289680</v>
      </c>
      <c r="B1957" s="7">
        <v>1179153.1000000001</v>
      </c>
      <c r="C1957" s="2">
        <v>268.79300000000001</v>
      </c>
      <c r="D1957" s="2">
        <v>268.84300000000002</v>
      </c>
      <c r="E1957" s="2">
        <v>0.05</v>
      </c>
      <c r="F1957" s="2">
        <v>268.12099999999998</v>
      </c>
      <c r="G1957" s="2">
        <v>268.13</v>
      </c>
      <c r="H1957" s="2">
        <v>8.9999999999999993E-3</v>
      </c>
      <c r="I1957" s="2">
        <v>268.18599999999998</v>
      </c>
      <c r="J1957" s="2">
        <v>268.12700000000001</v>
      </c>
      <c r="K1957" s="15">
        <v>3.0000000000000001E-3</v>
      </c>
      <c r="L1957" s="2">
        <v>27.315000000000001</v>
      </c>
      <c r="N1957" s="7">
        <f t="shared" si="249"/>
        <v>180.30000000004657</v>
      </c>
      <c r="O1957" s="1">
        <f t="shared" si="245"/>
        <v>131</v>
      </c>
      <c r="P1957" s="1" t="str">
        <f t="shared" si="247"/>
        <v>180.300000000047,131</v>
      </c>
      <c r="Q1957" s="6" t="s">
        <v>10</v>
      </c>
      <c r="R1957" s="1">
        <v>90</v>
      </c>
      <c r="S1957" s="1">
        <v>2.5</v>
      </c>
      <c r="T1957" s="1" t="str">
        <f t="shared" si="246"/>
        <v>-text 180.300000000047,131 2.5 90 268.127</v>
      </c>
    </row>
    <row r="1958" spans="1:20" x14ac:dyDescent="0.35">
      <c r="A1958" s="1">
        <v>289700</v>
      </c>
      <c r="B1958" s="7">
        <v>1179173.1000000001</v>
      </c>
      <c r="C1958" s="2">
        <v>268.83600000000001</v>
      </c>
      <c r="D1958" s="2">
        <v>268.84300000000002</v>
      </c>
      <c r="E1958" s="2">
        <v>7.0000000000000001E-3</v>
      </c>
      <c r="F1958" s="2">
        <v>268.16399999999999</v>
      </c>
      <c r="G1958" s="2">
        <v>268.13</v>
      </c>
      <c r="H1958" s="2">
        <v>-3.4000000000000002E-2</v>
      </c>
      <c r="I1958" s="2">
        <v>268.17599999999999</v>
      </c>
      <c r="J1958" s="2">
        <v>268.24700000000001</v>
      </c>
      <c r="K1958" s="1">
        <v>-0.11700000000000001</v>
      </c>
      <c r="L1958" s="2">
        <v>27.305</v>
      </c>
      <c r="N1958" s="7">
        <f t="shared" si="249"/>
        <v>200.30000000004657</v>
      </c>
      <c r="O1958" s="1">
        <f t="shared" si="245"/>
        <v>131</v>
      </c>
      <c r="P1958" s="1" t="str">
        <f t="shared" si="247"/>
        <v>200.300000000047,131</v>
      </c>
      <c r="Q1958" s="6" t="s">
        <v>10</v>
      </c>
      <c r="R1958" s="1">
        <v>90</v>
      </c>
      <c r="S1958" s="1">
        <v>2.5</v>
      </c>
      <c r="T1958" s="1" t="str">
        <f t="shared" si="246"/>
        <v>-text 200.300000000047,131 2.5 90 268.247</v>
      </c>
    </row>
    <row r="1959" spans="1:20" x14ac:dyDescent="0.35">
      <c r="A1959" s="1">
        <v>289720</v>
      </c>
      <c r="B1959" s="7">
        <v>1179193.1000000001</v>
      </c>
      <c r="C1959" s="2">
        <v>268.84100000000001</v>
      </c>
      <c r="D1959" s="2">
        <v>268.84300000000002</v>
      </c>
      <c r="E1959" s="2">
        <v>2E-3</v>
      </c>
      <c r="F1959" s="2">
        <v>268.16899999999998</v>
      </c>
      <c r="G1959" s="2">
        <v>268.13</v>
      </c>
      <c r="H1959" s="2">
        <v>-3.9E-2</v>
      </c>
      <c r="I1959" s="2">
        <v>268.15899999999999</v>
      </c>
      <c r="J1959" s="2">
        <v>268.23</v>
      </c>
      <c r="K1959" s="1">
        <v>-0.1</v>
      </c>
      <c r="L1959" s="2">
        <v>27.283999999999999</v>
      </c>
      <c r="N1959" s="7">
        <f t="shared" si="249"/>
        <v>220.30000000004657</v>
      </c>
      <c r="O1959" s="1">
        <f t="shared" si="245"/>
        <v>131</v>
      </c>
      <c r="P1959" s="1" t="str">
        <f t="shared" si="247"/>
        <v>220.300000000047,131</v>
      </c>
      <c r="Q1959" s="6" t="s">
        <v>10</v>
      </c>
      <c r="R1959" s="1">
        <v>90</v>
      </c>
      <c r="S1959" s="1">
        <v>2.5</v>
      </c>
      <c r="T1959" s="1" t="str">
        <f t="shared" si="246"/>
        <v>-text 220.300000000047,131 2.5 90 268.23</v>
      </c>
    </row>
    <row r="1960" spans="1:20" x14ac:dyDescent="0.35">
      <c r="A1960" s="1">
        <v>289740</v>
      </c>
      <c r="B1960" s="7">
        <v>1179213.1000000001</v>
      </c>
      <c r="C1960" s="2">
        <v>268.834</v>
      </c>
      <c r="D1960" s="2">
        <v>268.84300000000002</v>
      </c>
      <c r="E1960" s="2">
        <v>8.9999999999999993E-3</v>
      </c>
      <c r="F1960" s="2">
        <v>268.16199999999998</v>
      </c>
      <c r="G1960" s="2">
        <v>268.13</v>
      </c>
      <c r="H1960" s="2">
        <v>-3.2000000000000001E-2</v>
      </c>
      <c r="I1960" s="2">
        <v>268.29599999999999</v>
      </c>
      <c r="J1960" s="2">
        <v>268.39100000000002</v>
      </c>
      <c r="K1960" s="1">
        <v>-0.26100000000000001</v>
      </c>
      <c r="L1960" s="2">
        <v>27.259</v>
      </c>
      <c r="N1960" s="7">
        <f t="shared" si="249"/>
        <v>240.30000000004657</v>
      </c>
      <c r="O1960" s="1">
        <f t="shared" si="245"/>
        <v>131</v>
      </c>
      <c r="P1960" s="1" t="str">
        <f t="shared" si="247"/>
        <v>240.300000000047,131</v>
      </c>
      <c r="Q1960" s="6" t="s">
        <v>10</v>
      </c>
      <c r="R1960" s="1">
        <v>90</v>
      </c>
      <c r="S1960" s="1">
        <v>2.5</v>
      </c>
      <c r="T1960" s="1" t="str">
        <f t="shared" si="246"/>
        <v>-text 240.300000000047,131 2.5 90 268.391</v>
      </c>
    </row>
    <row r="1961" spans="1:20" x14ac:dyDescent="0.35">
      <c r="A1961" s="1">
        <v>289760</v>
      </c>
      <c r="B1961" s="7">
        <v>1179233.1000000001</v>
      </c>
      <c r="C1961" s="2">
        <v>268.827</v>
      </c>
      <c r="D1961" s="2">
        <v>268.84300000000002</v>
      </c>
      <c r="E1961" s="2">
        <v>1.6E-2</v>
      </c>
      <c r="F1961" s="2">
        <v>268.15499999999997</v>
      </c>
      <c r="G1961" s="2">
        <v>268.13</v>
      </c>
      <c r="H1961" s="2">
        <v>-2.5000000000000001E-2</v>
      </c>
      <c r="I1961" s="2">
        <v>268.47500000000002</v>
      </c>
      <c r="J1961" s="2">
        <v>268.61599999999999</v>
      </c>
      <c r="K1961" s="1">
        <v>-0.48599999999999999</v>
      </c>
      <c r="L1961" s="2">
        <v>27.234000000000002</v>
      </c>
      <c r="N1961" s="7">
        <f t="shared" si="249"/>
        <v>260.30000000004657</v>
      </c>
      <c r="O1961" s="1">
        <f t="shared" si="245"/>
        <v>131</v>
      </c>
      <c r="P1961" s="1" t="str">
        <f t="shared" si="247"/>
        <v>260.300000000047,131</v>
      </c>
      <c r="Q1961" s="6" t="s">
        <v>10</v>
      </c>
      <c r="R1961" s="1">
        <v>90</v>
      </c>
      <c r="S1961" s="1">
        <v>2.5</v>
      </c>
      <c r="T1961" s="1" t="str">
        <f t="shared" si="246"/>
        <v>-text 260.300000000047,131 2.5 90 268.616</v>
      </c>
    </row>
    <row r="1962" spans="1:20" x14ac:dyDescent="0.35">
      <c r="A1962" s="1">
        <v>289780</v>
      </c>
      <c r="B1962" s="7">
        <v>1179253.1000000001</v>
      </c>
      <c r="C1962" s="2">
        <v>268.81900000000002</v>
      </c>
      <c r="D1962" s="2">
        <v>268.84300000000002</v>
      </c>
      <c r="E1962" s="2">
        <v>2.4E-2</v>
      </c>
      <c r="F1962" s="2">
        <v>268.14699999999999</v>
      </c>
      <c r="G1962" s="2">
        <v>268.13</v>
      </c>
      <c r="H1962" s="2">
        <v>-1.7000000000000001E-2</v>
      </c>
      <c r="I1962" s="2">
        <v>268.57600000000002</v>
      </c>
      <c r="J1962" s="2">
        <v>268.77100000000002</v>
      </c>
      <c r="K1962" s="1">
        <v>-0.64100000000000001</v>
      </c>
      <c r="L1962" s="2">
        <v>27.207000000000001</v>
      </c>
      <c r="N1962" s="7">
        <f t="shared" si="249"/>
        <v>280.30000000004657</v>
      </c>
      <c r="O1962" s="1">
        <f t="shared" si="245"/>
        <v>131</v>
      </c>
      <c r="P1962" s="1" t="str">
        <f t="shared" si="247"/>
        <v>280.300000000047,131</v>
      </c>
      <c r="Q1962" s="6" t="s">
        <v>10</v>
      </c>
      <c r="R1962" s="1">
        <v>90</v>
      </c>
      <c r="S1962" s="1">
        <v>2.5</v>
      </c>
      <c r="T1962" s="1" t="str">
        <f t="shared" si="246"/>
        <v>-text 280.300000000047,131 2.5 90 268.771</v>
      </c>
    </row>
    <row r="1963" spans="1:20" x14ac:dyDescent="0.35">
      <c r="A1963" s="1">
        <v>289800</v>
      </c>
      <c r="B1963" s="7">
        <v>1179273.1000000001</v>
      </c>
      <c r="C1963" s="2">
        <v>268.81900000000002</v>
      </c>
      <c r="D1963" s="2">
        <v>268.84300000000002</v>
      </c>
      <c r="E1963" s="2">
        <v>2.4E-2</v>
      </c>
      <c r="F1963" s="2">
        <v>268.14699999999999</v>
      </c>
      <c r="G1963" s="2">
        <v>268.13</v>
      </c>
      <c r="H1963" s="2">
        <v>-1.7000000000000001E-2</v>
      </c>
      <c r="I1963" s="2">
        <v>268.59199999999998</v>
      </c>
      <c r="J1963" s="2">
        <v>268.77600000000001</v>
      </c>
      <c r="K1963" s="1">
        <v>-0.64600000000000002</v>
      </c>
      <c r="L1963" s="2">
        <v>27.183</v>
      </c>
      <c r="N1963" s="7">
        <f t="shared" si="249"/>
        <v>300.30000000004657</v>
      </c>
      <c r="O1963" s="1">
        <f t="shared" si="245"/>
        <v>131</v>
      </c>
      <c r="P1963" s="1" t="str">
        <f t="shared" si="247"/>
        <v>300.300000000047,131</v>
      </c>
      <c r="Q1963" s="6" t="s">
        <v>10</v>
      </c>
      <c r="R1963" s="1">
        <v>90</v>
      </c>
      <c r="S1963" s="1">
        <v>2.5</v>
      </c>
      <c r="T1963" s="1" t="str">
        <f t="shared" si="246"/>
        <v>-text 300.300000000047,131 2.5 90 268.776</v>
      </c>
    </row>
    <row r="1964" spans="1:20" x14ac:dyDescent="0.35">
      <c r="A1964" s="1">
        <v>289820</v>
      </c>
      <c r="B1964" s="7">
        <v>1179293.1000000001</v>
      </c>
      <c r="C1964" s="2">
        <v>268.82499999999999</v>
      </c>
      <c r="D1964" s="2">
        <v>268.84300000000002</v>
      </c>
      <c r="E1964" s="2">
        <v>1.7999999999999999E-2</v>
      </c>
      <c r="F1964" s="2">
        <v>268.15300000000002</v>
      </c>
      <c r="G1964" s="2">
        <v>268.13</v>
      </c>
      <c r="H1964" s="2">
        <v>-2.3E-2</v>
      </c>
      <c r="I1964" s="2">
        <v>268.649</v>
      </c>
      <c r="J1964" s="2">
        <v>268.72699999999998</v>
      </c>
      <c r="K1964" s="1">
        <v>-0.59699999999999998</v>
      </c>
      <c r="L1964" s="2">
        <v>27.161000000000001</v>
      </c>
      <c r="N1964" s="7">
        <f t="shared" si="249"/>
        <v>320.30000000004657</v>
      </c>
      <c r="O1964" s="1">
        <f t="shared" si="245"/>
        <v>131</v>
      </c>
      <c r="P1964" s="1" t="str">
        <f t="shared" si="247"/>
        <v>320.300000000047,131</v>
      </c>
      <c r="Q1964" s="6" t="s">
        <v>10</v>
      </c>
      <c r="R1964" s="1">
        <v>90</v>
      </c>
      <c r="S1964" s="1">
        <v>2.5</v>
      </c>
      <c r="T1964" s="1" t="str">
        <f t="shared" si="246"/>
        <v>-text 320.300000000047,131 2.5 90 268.727</v>
      </c>
    </row>
    <row r="1965" spans="1:20" x14ac:dyDescent="0.35">
      <c r="A1965" s="1">
        <v>289840</v>
      </c>
      <c r="B1965" s="7">
        <v>1179313</v>
      </c>
      <c r="C1965" s="2">
        <v>268.83100000000002</v>
      </c>
      <c r="D1965" s="2">
        <v>268.84300000000002</v>
      </c>
      <c r="E1965" s="2">
        <v>1.2E-2</v>
      </c>
      <c r="F1965" s="2">
        <v>268.15899999999999</v>
      </c>
      <c r="G1965" s="2">
        <v>268.13</v>
      </c>
      <c r="H1965" s="2">
        <v>-2.9000000000000001E-2</v>
      </c>
      <c r="I1965" s="2">
        <v>269.02600000000001</v>
      </c>
      <c r="J1965" s="2">
        <v>269.50900000000001</v>
      </c>
      <c r="K1965" s="1">
        <v>-1.379</v>
      </c>
      <c r="L1965" s="2">
        <v>27.129000000000001</v>
      </c>
      <c r="N1965" s="7">
        <f t="shared" si="249"/>
        <v>340.19999999995343</v>
      </c>
      <c r="O1965" s="1">
        <f t="shared" si="245"/>
        <v>131</v>
      </c>
      <c r="P1965" s="1" t="str">
        <f t="shared" si="247"/>
        <v>340.199999999953,131</v>
      </c>
      <c r="Q1965" s="6" t="s">
        <v>10</v>
      </c>
      <c r="R1965" s="1">
        <v>90</v>
      </c>
      <c r="S1965" s="1">
        <v>2.5</v>
      </c>
      <c r="T1965" s="1" t="str">
        <f t="shared" si="246"/>
        <v>-text 340.199999999953,131 2.5 90 269.509</v>
      </c>
    </row>
    <row r="1966" spans="1:20" x14ac:dyDescent="0.35">
      <c r="A1966" s="1">
        <v>289860</v>
      </c>
      <c r="B1966" s="7">
        <v>1179333</v>
      </c>
      <c r="C1966" s="2">
        <v>268.83800000000002</v>
      </c>
      <c r="D1966" s="2">
        <v>268.84300000000002</v>
      </c>
      <c r="E1966" s="2">
        <v>5.0000000000000001E-3</v>
      </c>
      <c r="F1966" s="2">
        <v>268.166</v>
      </c>
      <c r="G1966" s="2">
        <v>268.13</v>
      </c>
      <c r="H1966" s="2">
        <v>-3.5999999999999997E-2</v>
      </c>
      <c r="I1966" s="2">
        <v>269.00900000000001</v>
      </c>
      <c r="J1966" s="2">
        <v>268.95699999999999</v>
      </c>
      <c r="K1966" s="1">
        <v>-0.82699999999999996</v>
      </c>
      <c r="L1966" s="2">
        <v>27.088000000000001</v>
      </c>
      <c r="N1966" s="7">
        <f t="shared" si="249"/>
        <v>360.19999999995343</v>
      </c>
      <c r="O1966" s="1">
        <f t="shared" si="245"/>
        <v>131</v>
      </c>
      <c r="P1966" s="1" t="str">
        <f t="shared" si="247"/>
        <v>360.199999999953,131</v>
      </c>
      <c r="Q1966" s="6" t="s">
        <v>10</v>
      </c>
      <c r="R1966" s="1">
        <v>90</v>
      </c>
      <c r="S1966" s="1">
        <v>2.5</v>
      </c>
      <c r="T1966" s="1" t="str">
        <f t="shared" si="246"/>
        <v>-text 360.199999999953,131 2.5 90 268.957</v>
      </c>
    </row>
    <row r="1967" spans="1:20" x14ac:dyDescent="0.35">
      <c r="A1967" s="1">
        <v>289880</v>
      </c>
      <c r="B1967" s="7">
        <v>1179353</v>
      </c>
      <c r="C1967" s="2">
        <v>268.83300000000003</v>
      </c>
      <c r="D1967" s="2">
        <v>268.84300000000002</v>
      </c>
      <c r="E1967" s="2">
        <v>0.01</v>
      </c>
      <c r="F1967" s="2">
        <v>268.161</v>
      </c>
      <c r="G1967" s="2">
        <v>268.13</v>
      </c>
      <c r="H1967" s="2">
        <v>-3.1E-2</v>
      </c>
      <c r="I1967" s="2">
        <v>268.72699999999998</v>
      </c>
      <c r="J1967" s="2">
        <v>268.52499999999998</v>
      </c>
      <c r="K1967" s="1">
        <v>-0.39500000000000002</v>
      </c>
      <c r="L1967" s="2">
        <v>27.045999999999999</v>
      </c>
      <c r="N1967" s="7">
        <f t="shared" si="249"/>
        <v>380.19999999995343</v>
      </c>
      <c r="O1967" s="1">
        <f t="shared" si="245"/>
        <v>131</v>
      </c>
      <c r="P1967" s="1" t="str">
        <f t="shared" si="247"/>
        <v>380.199999999953,131</v>
      </c>
      <c r="Q1967" s="6" t="s">
        <v>10</v>
      </c>
      <c r="R1967" s="1">
        <v>90</v>
      </c>
      <c r="S1967" s="1">
        <v>2.5</v>
      </c>
      <c r="T1967" s="1" t="str">
        <f t="shared" si="246"/>
        <v>-text 380.199999999953,131 2.5 90 268.525</v>
      </c>
    </row>
    <row r="1968" spans="1:20" x14ac:dyDescent="0.35">
      <c r="A1968" s="1">
        <v>289900</v>
      </c>
      <c r="B1968" s="7">
        <v>1179373</v>
      </c>
      <c r="C1968" s="2">
        <v>268.80799999999999</v>
      </c>
      <c r="D1968" s="2">
        <v>268.84300000000002</v>
      </c>
      <c r="E1968" s="2">
        <v>3.5000000000000003E-2</v>
      </c>
      <c r="F1968" s="2">
        <v>268.13600000000002</v>
      </c>
      <c r="G1968" s="2">
        <v>268.13</v>
      </c>
      <c r="H1968" s="2">
        <v>-6.0000000000000001E-3</v>
      </c>
      <c r="I1968" s="2">
        <v>268.577</v>
      </c>
      <c r="J1968" s="2">
        <v>268.43200000000002</v>
      </c>
      <c r="K1968" s="1">
        <v>-0.30199999999999999</v>
      </c>
      <c r="L1968" s="2">
        <v>27.001000000000001</v>
      </c>
      <c r="N1968" s="7">
        <f t="shared" si="249"/>
        <v>400.19999999995343</v>
      </c>
      <c r="O1968" s="1">
        <f t="shared" si="245"/>
        <v>131</v>
      </c>
      <c r="P1968" s="1" t="str">
        <f t="shared" si="247"/>
        <v>400.199999999953,131</v>
      </c>
      <c r="Q1968" s="6" t="s">
        <v>10</v>
      </c>
      <c r="R1968" s="1">
        <v>90</v>
      </c>
      <c r="S1968" s="1">
        <v>2.5</v>
      </c>
      <c r="T1968" s="1" t="str">
        <f t="shared" si="246"/>
        <v>-text 400.199999999953,131 2.5 90 268.432</v>
      </c>
    </row>
    <row r="1969" spans="1:20" x14ac:dyDescent="0.35">
      <c r="A1969" s="1">
        <v>289920</v>
      </c>
      <c r="B1969" s="7">
        <v>1179393</v>
      </c>
      <c r="C1969" s="2">
        <v>268.78399999999999</v>
      </c>
      <c r="D1969" s="2">
        <v>268.84300000000002</v>
      </c>
      <c r="E1969" s="2">
        <v>5.8999999999999997E-2</v>
      </c>
      <c r="F1969" s="2">
        <v>268.11200000000002</v>
      </c>
      <c r="G1969" s="2">
        <v>268.13</v>
      </c>
      <c r="H1969" s="2">
        <v>1.7999999999999999E-2</v>
      </c>
      <c r="I1969" s="2">
        <v>268.44</v>
      </c>
      <c r="J1969" s="2">
        <v>268.34300000000002</v>
      </c>
      <c r="K1969" s="1">
        <v>-0.21299999999999999</v>
      </c>
      <c r="L1969" s="2">
        <v>26.956</v>
      </c>
      <c r="N1969" s="7">
        <f t="shared" si="249"/>
        <v>420.19999999995343</v>
      </c>
      <c r="O1969" s="1">
        <f t="shared" si="245"/>
        <v>131</v>
      </c>
      <c r="P1969" s="1" t="str">
        <f t="shared" si="247"/>
        <v>420.199999999953,131</v>
      </c>
      <c r="Q1969" s="6" t="s">
        <v>10</v>
      </c>
      <c r="R1969" s="1">
        <v>90</v>
      </c>
      <c r="S1969" s="1">
        <v>2.5</v>
      </c>
      <c r="T1969" s="1" t="str">
        <f t="shared" si="246"/>
        <v>-text 420.199999999953,131 2.5 90 268.343</v>
      </c>
    </row>
    <row r="1970" spans="1:20" x14ac:dyDescent="0.35">
      <c r="A1970" s="1">
        <v>289921.10597889998</v>
      </c>
      <c r="B1970" s="7">
        <v>1179394.1000000001</v>
      </c>
      <c r="C1970" s="2">
        <v>268.78199999999998</v>
      </c>
      <c r="D1970" s="2">
        <v>268.84300000000002</v>
      </c>
      <c r="E1970" s="2">
        <v>6.0999999999999999E-2</v>
      </c>
      <c r="F1970" s="2">
        <v>268.11</v>
      </c>
      <c r="G1970" s="2">
        <v>268.13</v>
      </c>
      <c r="H1970" s="2">
        <v>0.02</v>
      </c>
      <c r="I1970" s="2">
        <v>268.435</v>
      </c>
      <c r="J1970" s="2">
        <v>268.34399999999999</v>
      </c>
      <c r="K1970" s="1">
        <v>-0.214</v>
      </c>
      <c r="L1970" s="2">
        <v>26.954000000000001</v>
      </c>
      <c r="N1970" s="7">
        <f t="shared" si="249"/>
        <v>421.30000000004657</v>
      </c>
      <c r="O1970" s="1">
        <f t="shared" si="245"/>
        <v>131</v>
      </c>
      <c r="P1970" s="1" t="str">
        <f t="shared" si="247"/>
        <v>421.300000000047,131</v>
      </c>
      <c r="Q1970" s="6" t="s">
        <v>10</v>
      </c>
      <c r="R1970" s="1">
        <v>90</v>
      </c>
      <c r="S1970" s="1">
        <v>2.5</v>
      </c>
      <c r="T1970" s="1" t="str">
        <f t="shared" si="246"/>
        <v>-text 421.300000000047,131 2.5 90 268.344</v>
      </c>
    </row>
    <row r="1971" spans="1:20" s="10" customFormat="1" x14ac:dyDescent="0.35">
      <c r="B1971" s="11"/>
      <c r="C1971" s="9"/>
      <c r="D1971" s="9"/>
      <c r="E1971" s="9"/>
      <c r="F1971" s="9"/>
      <c r="G1971" s="9"/>
      <c r="H1971" s="9"/>
      <c r="I1971" s="9"/>
      <c r="J1971" s="9"/>
      <c r="K1971" s="16"/>
      <c r="L1971" s="9"/>
      <c r="M1971" s="9"/>
      <c r="N1971" s="11"/>
      <c r="Q1971" s="12"/>
    </row>
    <row r="1972" spans="1:20" x14ac:dyDescent="0.35">
      <c r="A1972" s="1">
        <v>290000</v>
      </c>
      <c r="B1972" s="7">
        <v>1179394.1000000001</v>
      </c>
      <c r="C1972" s="2">
        <v>268.78199999999998</v>
      </c>
      <c r="D1972" s="2">
        <v>268.84300000000002</v>
      </c>
      <c r="E1972" s="2">
        <v>6.0999999999999999E-2</v>
      </c>
      <c r="F1972" s="2">
        <v>268.11</v>
      </c>
      <c r="G1972" s="2">
        <v>268.13</v>
      </c>
      <c r="H1972" s="2">
        <v>0.02</v>
      </c>
      <c r="I1972" s="2">
        <v>268.435</v>
      </c>
      <c r="J1972" s="2">
        <v>268.34399999999999</v>
      </c>
      <c r="K1972" s="1">
        <v>-0.214</v>
      </c>
      <c r="L1972" s="2">
        <v>26.954000000000001</v>
      </c>
      <c r="N1972" s="7">
        <v>0</v>
      </c>
      <c r="O1972" s="1">
        <f t="shared" si="245"/>
        <v>131</v>
      </c>
      <c r="P1972" s="1" t="str">
        <f t="shared" si="247"/>
        <v>0,131</v>
      </c>
      <c r="Q1972" s="6" t="s">
        <v>10</v>
      </c>
      <c r="R1972" s="1">
        <v>90</v>
      </c>
      <c r="S1972" s="1">
        <v>2.5</v>
      </c>
      <c r="T1972" s="1" t="str">
        <f t="shared" si="246"/>
        <v>-text 0,131 2.5 90 268.344</v>
      </c>
    </row>
    <row r="1973" spans="1:20" x14ac:dyDescent="0.35">
      <c r="A1973" s="1">
        <v>290020</v>
      </c>
      <c r="B1973" s="7">
        <v>1179414.2</v>
      </c>
      <c r="C1973" s="2">
        <v>268.78899999999999</v>
      </c>
      <c r="D1973" s="2">
        <v>268.84300000000002</v>
      </c>
      <c r="E1973" s="2">
        <v>5.3999999999999999E-2</v>
      </c>
      <c r="F1973" s="2">
        <v>268.11700000000002</v>
      </c>
      <c r="G1973" s="2">
        <v>268.13</v>
      </c>
      <c r="H1973" s="2">
        <v>1.2999999999999999E-2</v>
      </c>
      <c r="I1973" s="2">
        <v>268.39100000000002</v>
      </c>
      <c r="J1973" s="2">
        <v>268.36200000000002</v>
      </c>
      <c r="K1973" s="1">
        <v>-0.23200000000000001</v>
      </c>
      <c r="L1973" s="2">
        <v>26.939</v>
      </c>
      <c r="N1973" s="7">
        <f t="shared" ref="N1973:N1996" si="250">N1972+(B1973-B1972)</f>
        <v>20.099999999860302</v>
      </c>
      <c r="O1973" s="1">
        <f t="shared" si="245"/>
        <v>131</v>
      </c>
      <c r="P1973" s="1" t="str">
        <f t="shared" si="247"/>
        <v>20.0999999998603,131</v>
      </c>
      <c r="Q1973" s="6" t="s">
        <v>10</v>
      </c>
      <c r="R1973" s="1">
        <v>90</v>
      </c>
      <c r="S1973" s="1">
        <v>2.5</v>
      </c>
      <c r="T1973" s="1" t="str">
        <f t="shared" si="246"/>
        <v>-text 20.0999999998603,131 2.5 90 268.362</v>
      </c>
    </row>
    <row r="1974" spans="1:20" x14ac:dyDescent="0.35">
      <c r="A1974" s="1">
        <v>290040</v>
      </c>
      <c r="B1974" s="7">
        <v>1179434.2</v>
      </c>
      <c r="C1974" s="2">
        <v>268.79599999999999</v>
      </c>
      <c r="D1974" s="2">
        <v>268.84300000000002</v>
      </c>
      <c r="E1974" s="2">
        <v>4.7E-2</v>
      </c>
      <c r="F1974" s="2">
        <v>268.12400000000002</v>
      </c>
      <c r="G1974" s="2">
        <v>268.13</v>
      </c>
      <c r="H1974" s="2">
        <v>6.0000000000000001E-3</v>
      </c>
      <c r="I1974" s="2">
        <v>268.404</v>
      </c>
      <c r="J1974" s="2">
        <v>268.38299999999998</v>
      </c>
      <c r="K1974" s="1">
        <v>-0.253</v>
      </c>
      <c r="L1974" s="2">
        <v>26.925000000000001</v>
      </c>
      <c r="N1974" s="7">
        <f t="shared" si="250"/>
        <v>40.099999999860302</v>
      </c>
      <c r="O1974" s="1">
        <f t="shared" si="245"/>
        <v>131</v>
      </c>
      <c r="P1974" s="1" t="str">
        <f t="shared" si="247"/>
        <v>40.0999999998603,131</v>
      </c>
      <c r="Q1974" s="6" t="s">
        <v>10</v>
      </c>
      <c r="R1974" s="1">
        <v>90</v>
      </c>
      <c r="S1974" s="1">
        <v>2.5</v>
      </c>
      <c r="T1974" s="1" t="str">
        <f t="shared" si="246"/>
        <v>-text 40.0999999998603,131 2.5 90 268.383</v>
      </c>
    </row>
    <row r="1975" spans="1:20" x14ac:dyDescent="0.35">
      <c r="A1975" s="1">
        <v>290060</v>
      </c>
      <c r="B1975" s="7">
        <v>1179454.2</v>
      </c>
      <c r="C1975" s="2">
        <v>268.81599999999997</v>
      </c>
      <c r="D1975" s="2">
        <v>268.84300000000002</v>
      </c>
      <c r="E1975" s="2">
        <v>2.7E-2</v>
      </c>
      <c r="F1975" s="2">
        <v>268.14400000000001</v>
      </c>
      <c r="G1975" s="2">
        <v>268.13</v>
      </c>
      <c r="H1975" s="2">
        <v>-1.4E-2</v>
      </c>
      <c r="I1975" s="2">
        <v>268.44</v>
      </c>
      <c r="J1975" s="2">
        <v>268.40699999999998</v>
      </c>
      <c r="K1975" s="1">
        <v>-0.27700000000000002</v>
      </c>
      <c r="L1975" s="2">
        <v>26.885000000000002</v>
      </c>
      <c r="N1975" s="7">
        <f t="shared" si="250"/>
        <v>60.099999999860302</v>
      </c>
      <c r="O1975" s="1">
        <f t="shared" si="245"/>
        <v>131</v>
      </c>
      <c r="P1975" s="1" t="str">
        <f t="shared" si="247"/>
        <v>60.0999999998603,131</v>
      </c>
      <c r="Q1975" s="6" t="s">
        <v>10</v>
      </c>
      <c r="R1975" s="1">
        <v>90</v>
      </c>
      <c r="S1975" s="1">
        <v>2.5</v>
      </c>
      <c r="T1975" s="1" t="str">
        <f t="shared" si="246"/>
        <v>-text 60.0999999998603,131 2.5 90 268.407</v>
      </c>
    </row>
    <row r="1976" spans="1:20" x14ac:dyDescent="0.35">
      <c r="A1976" s="1">
        <v>290080</v>
      </c>
      <c r="B1976" s="7">
        <v>1179474.2</v>
      </c>
      <c r="C1976" s="2">
        <v>268.83699999999999</v>
      </c>
      <c r="D1976" s="2">
        <v>268.84300000000002</v>
      </c>
      <c r="E1976" s="2">
        <v>6.0000000000000001E-3</v>
      </c>
      <c r="F1976" s="2">
        <v>268.16500000000002</v>
      </c>
      <c r="G1976" s="2">
        <v>268.13</v>
      </c>
      <c r="H1976" s="2">
        <v>-3.5000000000000003E-2</v>
      </c>
      <c r="I1976" s="2">
        <v>268.483</v>
      </c>
      <c r="J1976" s="2">
        <v>268.428</v>
      </c>
      <c r="K1976" s="1">
        <v>-0.29799999999999999</v>
      </c>
      <c r="L1976" s="2">
        <v>26.844999999999999</v>
      </c>
      <c r="N1976" s="7">
        <f t="shared" si="250"/>
        <v>80.099999999860302</v>
      </c>
      <c r="O1976" s="1">
        <f t="shared" si="245"/>
        <v>131</v>
      </c>
      <c r="P1976" s="1" t="str">
        <f t="shared" si="247"/>
        <v>80.0999999998603,131</v>
      </c>
      <c r="Q1976" s="6" t="s">
        <v>10</v>
      </c>
      <c r="R1976" s="1">
        <v>90</v>
      </c>
      <c r="S1976" s="1">
        <v>2.5</v>
      </c>
      <c r="T1976" s="1" t="str">
        <f t="shared" si="246"/>
        <v>-text 80.0999999998603,131 2.5 90 268.428</v>
      </c>
    </row>
    <row r="1977" spans="1:20" x14ac:dyDescent="0.35">
      <c r="A1977" s="1">
        <v>290100</v>
      </c>
      <c r="B1977" s="7">
        <v>1179494.2</v>
      </c>
      <c r="C1977" s="2">
        <v>268.851</v>
      </c>
      <c r="D1977" s="2">
        <v>268.84300000000002</v>
      </c>
      <c r="E1977" s="2">
        <v>-8.0000000000000002E-3</v>
      </c>
      <c r="F1977" s="2">
        <v>268.17899999999997</v>
      </c>
      <c r="G1977" s="2">
        <v>268.13</v>
      </c>
      <c r="H1977" s="2">
        <v>-4.9000000000000002E-2</v>
      </c>
      <c r="I1977" s="2">
        <v>268.49900000000002</v>
      </c>
      <c r="J1977" s="2">
        <v>268.75</v>
      </c>
      <c r="K1977" s="1">
        <v>-0.62</v>
      </c>
      <c r="L1977" s="2">
        <v>26.814</v>
      </c>
      <c r="N1977" s="7">
        <f t="shared" si="250"/>
        <v>100.0999999998603</v>
      </c>
      <c r="O1977" s="1">
        <f t="shared" si="245"/>
        <v>131</v>
      </c>
      <c r="P1977" s="1" t="str">
        <f t="shared" si="247"/>
        <v>100.09999999986,131</v>
      </c>
      <c r="Q1977" s="6" t="s">
        <v>10</v>
      </c>
      <c r="R1977" s="1">
        <v>90</v>
      </c>
      <c r="S1977" s="1">
        <v>2.5</v>
      </c>
      <c r="T1977" s="1" t="str">
        <f t="shared" si="246"/>
        <v>-text 100.09999999986,131 2.5 90 268.75</v>
      </c>
    </row>
    <row r="1978" spans="1:20" x14ac:dyDescent="0.35">
      <c r="A1978" s="1">
        <v>290120</v>
      </c>
      <c r="B1978" s="7">
        <v>1179514.2</v>
      </c>
      <c r="C1978" s="2">
        <v>268.86500000000001</v>
      </c>
      <c r="D1978" s="2">
        <v>268.84300000000002</v>
      </c>
      <c r="E1978" s="2">
        <v>-2.1999999999999999E-2</v>
      </c>
      <c r="F1978" s="2">
        <v>268.19299999999998</v>
      </c>
      <c r="G1978" s="2">
        <v>268.13</v>
      </c>
      <c r="H1978" s="2">
        <v>-6.3E-2</v>
      </c>
      <c r="I1978" s="2">
        <v>268.20100000000002</v>
      </c>
      <c r="J1978" s="2">
        <v>268.64699999999999</v>
      </c>
      <c r="K1978" s="1">
        <v>-0.51700000000000002</v>
      </c>
      <c r="L1978" s="2">
        <v>26.783000000000001</v>
      </c>
      <c r="N1978" s="7">
        <f t="shared" si="250"/>
        <v>120.0999999998603</v>
      </c>
      <c r="O1978" s="1">
        <f t="shared" si="245"/>
        <v>131</v>
      </c>
      <c r="P1978" s="1" t="str">
        <f t="shared" si="247"/>
        <v>120.09999999986,131</v>
      </c>
      <c r="Q1978" s="6" t="s">
        <v>10</v>
      </c>
      <c r="R1978" s="1">
        <v>90</v>
      </c>
      <c r="S1978" s="1">
        <v>2.5</v>
      </c>
      <c r="T1978" s="1" t="str">
        <f t="shared" si="246"/>
        <v>-text 120.09999999986,131 2.5 90 268.647</v>
      </c>
    </row>
    <row r="1979" spans="1:20" hidden="1" x14ac:dyDescent="0.35">
      <c r="A1979" s="1">
        <v>290140</v>
      </c>
      <c r="B1979" s="7">
        <v>1179534.2</v>
      </c>
      <c r="C1979" s="2">
        <v>268.86799999999999</v>
      </c>
      <c r="D1979" s="2">
        <v>268.84300000000002</v>
      </c>
      <c r="E1979" s="2">
        <v>-2.5000000000000001E-2</v>
      </c>
      <c r="F1979" s="2">
        <v>268.19600000000003</v>
      </c>
      <c r="G1979" s="2">
        <v>268.13</v>
      </c>
      <c r="H1979" s="2">
        <v>-6.6000000000000003E-2</v>
      </c>
      <c r="I1979" s="2">
        <v>267.84300000000002</v>
      </c>
      <c r="J1979" s="2">
        <v>266.798</v>
      </c>
      <c r="K1979" s="15">
        <v>1.3320000000000001</v>
      </c>
      <c r="L1979" s="2">
        <v>26.754000000000001</v>
      </c>
      <c r="N1979" s="7">
        <f t="shared" si="250"/>
        <v>140.0999999998603</v>
      </c>
      <c r="O1979" s="1">
        <f t="shared" si="245"/>
        <v>131</v>
      </c>
      <c r="P1979" s="1" t="str">
        <f t="shared" si="247"/>
        <v>140.09999999986,131</v>
      </c>
      <c r="Q1979" s="6" t="s">
        <v>10</v>
      </c>
      <c r="R1979" s="1">
        <v>90</v>
      </c>
      <c r="S1979" s="1">
        <v>2.5</v>
      </c>
      <c r="T1979" s="1" t="str">
        <f t="shared" si="246"/>
        <v>-text 140.09999999986,131 2.5 90 266.798</v>
      </c>
    </row>
    <row r="1980" spans="1:20" hidden="1" x14ac:dyDescent="0.35">
      <c r="A1980" s="1">
        <v>290160</v>
      </c>
      <c r="B1980" s="7">
        <v>1179554.2</v>
      </c>
      <c r="C1980" s="2">
        <v>268.87099999999998</v>
      </c>
      <c r="D1980" s="2">
        <v>268.84300000000002</v>
      </c>
      <c r="E1980" s="2">
        <v>-2.8000000000000001E-2</v>
      </c>
      <c r="F1980" s="2">
        <v>268.19900000000001</v>
      </c>
      <c r="G1980" s="2">
        <v>268.13</v>
      </c>
      <c r="H1980" s="2">
        <v>-6.9000000000000006E-2</v>
      </c>
      <c r="I1980" s="2">
        <v>267.76400000000001</v>
      </c>
      <c r="J1980" s="2">
        <v>268.03899999999999</v>
      </c>
      <c r="K1980" s="15">
        <v>9.0999999999999998E-2</v>
      </c>
      <c r="L1980" s="2">
        <v>26.724</v>
      </c>
      <c r="N1980" s="7">
        <f t="shared" si="250"/>
        <v>160.0999999998603</v>
      </c>
      <c r="O1980" s="1">
        <f t="shared" si="245"/>
        <v>131</v>
      </c>
      <c r="P1980" s="1" t="str">
        <f t="shared" si="247"/>
        <v>160.09999999986,131</v>
      </c>
      <c r="Q1980" s="6" t="s">
        <v>10</v>
      </c>
      <c r="R1980" s="1">
        <v>90</v>
      </c>
      <c r="S1980" s="1">
        <v>2.5</v>
      </c>
      <c r="T1980" s="1" t="str">
        <f t="shared" si="246"/>
        <v>-text 160.09999999986,131 2.5 90 268.039</v>
      </c>
    </row>
    <row r="1981" spans="1:20" hidden="1" x14ac:dyDescent="0.35">
      <c r="A1981" s="1">
        <v>290180</v>
      </c>
      <c r="B1981" s="7">
        <v>1179574.2</v>
      </c>
      <c r="C1981" s="2">
        <v>268.87400000000002</v>
      </c>
      <c r="D1981" s="2">
        <v>268.84300000000002</v>
      </c>
      <c r="E1981" s="2">
        <v>-3.1E-2</v>
      </c>
      <c r="F1981" s="2">
        <v>268.202</v>
      </c>
      <c r="G1981" s="2">
        <v>268.13</v>
      </c>
      <c r="H1981" s="2">
        <v>-7.1999999999999995E-2</v>
      </c>
      <c r="I1981" s="2">
        <v>267.97000000000003</v>
      </c>
      <c r="J1981" s="2">
        <v>267.32400000000001</v>
      </c>
      <c r="K1981" s="15">
        <v>0.80600000000000005</v>
      </c>
      <c r="L1981" s="2">
        <v>26.695</v>
      </c>
      <c r="N1981" s="7">
        <f t="shared" si="250"/>
        <v>180.0999999998603</v>
      </c>
      <c r="O1981" s="1">
        <f t="shared" si="245"/>
        <v>131</v>
      </c>
      <c r="P1981" s="1" t="str">
        <f t="shared" si="247"/>
        <v>180.09999999986,131</v>
      </c>
      <c r="Q1981" s="6" t="s">
        <v>10</v>
      </c>
      <c r="R1981" s="1">
        <v>90</v>
      </c>
      <c r="S1981" s="1">
        <v>2.5</v>
      </c>
      <c r="T1981" s="1" t="str">
        <f t="shared" si="246"/>
        <v>-text 180.09999999986,131 2.5 90 267.324</v>
      </c>
    </row>
    <row r="1982" spans="1:20" x14ac:dyDescent="0.35">
      <c r="A1982" s="1">
        <v>290200</v>
      </c>
      <c r="B1982" s="7">
        <v>1179594.2</v>
      </c>
      <c r="C1982" s="2">
        <v>268.87599999999998</v>
      </c>
      <c r="D1982" s="2">
        <v>268.84300000000002</v>
      </c>
      <c r="E1982" s="2">
        <v>-3.3000000000000002E-2</v>
      </c>
      <c r="F1982" s="2">
        <v>268.20400000000001</v>
      </c>
      <c r="G1982" s="2">
        <v>268.13</v>
      </c>
      <c r="H1982" s="2">
        <v>-7.3999999999999996E-2</v>
      </c>
      <c r="I1982" s="2">
        <v>268.21199999999999</v>
      </c>
      <c r="J1982" s="2">
        <v>268.13900000000001</v>
      </c>
      <c r="K1982" s="1">
        <v>-8.9999999999999993E-3</v>
      </c>
      <c r="L1982" s="2">
        <v>26.664999999999999</v>
      </c>
      <c r="N1982" s="7">
        <f t="shared" si="250"/>
        <v>200.0999999998603</v>
      </c>
      <c r="O1982" s="1">
        <f t="shared" si="245"/>
        <v>131</v>
      </c>
      <c r="P1982" s="1" t="str">
        <f t="shared" si="247"/>
        <v>200.09999999986,131</v>
      </c>
      <c r="Q1982" s="6" t="s">
        <v>10</v>
      </c>
      <c r="R1982" s="1">
        <v>90</v>
      </c>
      <c r="S1982" s="1">
        <v>2.5</v>
      </c>
      <c r="T1982" s="1" t="str">
        <f t="shared" si="246"/>
        <v>-text 200.09999999986,131 2.5 90 268.139</v>
      </c>
    </row>
    <row r="1983" spans="1:20" x14ac:dyDescent="0.35">
      <c r="A1983" s="1">
        <v>290220</v>
      </c>
      <c r="B1983" s="7">
        <v>1179614.2</v>
      </c>
      <c r="C1983" s="2">
        <v>268.86200000000002</v>
      </c>
      <c r="D1983" s="2">
        <v>268.84300000000002</v>
      </c>
      <c r="E1983" s="2">
        <v>-1.9E-2</v>
      </c>
      <c r="F1983" s="2">
        <v>268.19</v>
      </c>
      <c r="G1983" s="2">
        <v>268.13</v>
      </c>
      <c r="H1983" s="2">
        <v>-0.06</v>
      </c>
      <c r="I1983" s="2">
        <v>268.21800000000002</v>
      </c>
      <c r="J1983" s="2">
        <v>268.14400000000001</v>
      </c>
      <c r="K1983" s="1">
        <v>-1.4E-2</v>
      </c>
      <c r="L1983" s="2">
        <v>26.637</v>
      </c>
      <c r="N1983" s="7">
        <f t="shared" si="250"/>
        <v>220.0999999998603</v>
      </c>
      <c r="O1983" s="1">
        <f t="shared" si="245"/>
        <v>131</v>
      </c>
      <c r="P1983" s="1" t="str">
        <f t="shared" si="247"/>
        <v>220.09999999986,131</v>
      </c>
      <c r="Q1983" s="6" t="s">
        <v>10</v>
      </c>
      <c r="R1983" s="1">
        <v>90</v>
      </c>
      <c r="S1983" s="1">
        <v>2.5</v>
      </c>
      <c r="T1983" s="1" t="str">
        <f t="shared" si="246"/>
        <v>-text 220.09999999986,131 2.5 90 268.144</v>
      </c>
    </row>
    <row r="1984" spans="1:20" x14ac:dyDescent="0.35">
      <c r="A1984" s="1">
        <v>290240</v>
      </c>
      <c r="B1984" s="7">
        <v>1179634.2</v>
      </c>
      <c r="C1984" s="2">
        <v>268.84800000000001</v>
      </c>
      <c r="D1984" s="2">
        <v>268.84300000000002</v>
      </c>
      <c r="E1984" s="2">
        <v>-5.0000000000000001E-3</v>
      </c>
      <c r="F1984" s="2">
        <v>268.17599999999999</v>
      </c>
      <c r="G1984" s="2">
        <v>268.13</v>
      </c>
      <c r="H1984" s="2">
        <v>-4.5999999999999999E-2</v>
      </c>
      <c r="I1984" s="2">
        <v>268.26499999999999</v>
      </c>
      <c r="J1984" s="2">
        <v>268.24</v>
      </c>
      <c r="K1984" s="1">
        <v>-0.11</v>
      </c>
      <c r="L1984" s="2">
        <v>26.609000000000002</v>
      </c>
      <c r="N1984" s="7">
        <f t="shared" si="250"/>
        <v>240.0999999998603</v>
      </c>
      <c r="O1984" s="1">
        <f t="shared" si="245"/>
        <v>131</v>
      </c>
      <c r="P1984" s="1" t="str">
        <f t="shared" si="247"/>
        <v>240.09999999986,131</v>
      </c>
      <c r="Q1984" s="6" t="s">
        <v>10</v>
      </c>
      <c r="R1984" s="1">
        <v>90</v>
      </c>
      <c r="S1984" s="1">
        <v>2.5</v>
      </c>
      <c r="T1984" s="1" t="str">
        <f t="shared" si="246"/>
        <v>-text 240.09999999986,131 2.5 90 268.24</v>
      </c>
    </row>
    <row r="1985" spans="1:20" x14ac:dyDescent="0.35">
      <c r="A1985" s="1">
        <v>290260</v>
      </c>
      <c r="B1985" s="7">
        <v>1179654.1000000001</v>
      </c>
      <c r="C1985" s="2">
        <v>268.80200000000002</v>
      </c>
      <c r="D1985" s="2">
        <v>268.84300000000002</v>
      </c>
      <c r="E1985" s="2">
        <v>4.1000000000000002E-2</v>
      </c>
      <c r="F1985" s="2">
        <v>268.13</v>
      </c>
      <c r="G1985" s="2">
        <v>268.13</v>
      </c>
      <c r="H1985" s="2">
        <v>0</v>
      </c>
      <c r="I1985" s="2">
        <v>268.28199999999998</v>
      </c>
      <c r="J1985" s="2">
        <v>268.26600000000002</v>
      </c>
      <c r="K1985" s="1">
        <v>-0.13600000000000001</v>
      </c>
      <c r="L1985" s="2">
        <v>26.556000000000001</v>
      </c>
      <c r="N1985" s="7">
        <f t="shared" si="250"/>
        <v>260</v>
      </c>
      <c r="O1985" s="1">
        <f t="shared" si="245"/>
        <v>131</v>
      </c>
      <c r="P1985" s="1" t="str">
        <f t="shared" si="247"/>
        <v>260,131</v>
      </c>
      <c r="Q1985" s="6" t="s">
        <v>10</v>
      </c>
      <c r="R1985" s="1">
        <v>90</v>
      </c>
      <c r="S1985" s="1">
        <v>2.5</v>
      </c>
      <c r="T1985" s="1" t="str">
        <f t="shared" si="246"/>
        <v>-text 260,131 2.5 90 268.266</v>
      </c>
    </row>
    <row r="1986" spans="1:20" x14ac:dyDescent="0.35">
      <c r="A1986" s="1">
        <v>290280</v>
      </c>
      <c r="B1986" s="7">
        <v>1179674.1000000001</v>
      </c>
      <c r="C1986" s="2">
        <v>268.755</v>
      </c>
      <c r="D1986" s="2">
        <v>268.84300000000002</v>
      </c>
      <c r="E1986" s="2">
        <v>8.7999999999999995E-2</v>
      </c>
      <c r="F1986" s="2">
        <v>268.08300000000003</v>
      </c>
      <c r="G1986" s="2">
        <v>268.13</v>
      </c>
      <c r="H1986" s="2">
        <v>4.7E-2</v>
      </c>
      <c r="I1986" s="2">
        <v>268.28699999999998</v>
      </c>
      <c r="J1986" s="2">
        <v>268.31400000000002</v>
      </c>
      <c r="K1986" s="1">
        <v>-0.184</v>
      </c>
      <c r="L1986" s="2">
        <v>26.548999999999999</v>
      </c>
      <c r="N1986" s="7">
        <f t="shared" si="250"/>
        <v>280</v>
      </c>
      <c r="O1986" s="1">
        <f t="shared" si="245"/>
        <v>131</v>
      </c>
      <c r="P1986" s="1" t="str">
        <f t="shared" si="247"/>
        <v>280,131</v>
      </c>
      <c r="Q1986" s="6" t="s">
        <v>10</v>
      </c>
      <c r="R1986" s="1">
        <v>90</v>
      </c>
      <c r="S1986" s="1">
        <v>2.5</v>
      </c>
      <c r="T1986" s="1" t="str">
        <f t="shared" si="246"/>
        <v>-text 280,131 2.5 90 268.314</v>
      </c>
    </row>
    <row r="1987" spans="1:20" x14ac:dyDescent="0.35">
      <c r="A1987" s="1">
        <v>290300</v>
      </c>
      <c r="B1987" s="7">
        <v>1179694.1000000001</v>
      </c>
      <c r="C1987" s="2">
        <v>268.71800000000002</v>
      </c>
      <c r="D1987" s="2">
        <v>268.84300000000002</v>
      </c>
      <c r="E1987" s="2">
        <v>0.125</v>
      </c>
      <c r="F1987" s="2">
        <v>268.04599999999999</v>
      </c>
      <c r="G1987" s="2">
        <v>268.13</v>
      </c>
      <c r="H1987" s="2">
        <v>8.4000000000000005E-2</v>
      </c>
      <c r="I1987" s="2">
        <v>268.25400000000002</v>
      </c>
      <c r="J1987" s="2">
        <v>268.32799999999997</v>
      </c>
      <c r="K1987" s="1">
        <v>-0.19800000000000001</v>
      </c>
      <c r="L1987" s="2">
        <v>26.477</v>
      </c>
      <c r="N1987" s="7">
        <f t="shared" si="250"/>
        <v>300</v>
      </c>
      <c r="O1987" s="1">
        <f t="shared" si="245"/>
        <v>131</v>
      </c>
      <c r="P1987" s="1" t="str">
        <f t="shared" si="247"/>
        <v>300,131</v>
      </c>
      <c r="Q1987" s="6" t="s">
        <v>10</v>
      </c>
      <c r="R1987" s="1">
        <v>90</v>
      </c>
      <c r="S1987" s="1">
        <v>2.5</v>
      </c>
      <c r="T1987" s="1" t="str">
        <f t="shared" si="246"/>
        <v>-text 300,131 2.5 90 268.328</v>
      </c>
    </row>
    <row r="1988" spans="1:20" x14ac:dyDescent="0.35">
      <c r="A1988" s="1">
        <v>290320</v>
      </c>
      <c r="B1988" s="7">
        <v>1179714.2</v>
      </c>
      <c r="C1988" s="2">
        <v>268.70499999999998</v>
      </c>
      <c r="D1988" s="2">
        <v>268.84300000000002</v>
      </c>
      <c r="E1988" s="2">
        <v>0.13800000000000001</v>
      </c>
      <c r="F1988" s="2">
        <v>268.03300000000002</v>
      </c>
      <c r="G1988" s="2">
        <v>268.13</v>
      </c>
      <c r="H1988" s="2">
        <v>9.7000000000000003E-2</v>
      </c>
      <c r="I1988" s="2">
        <v>268.24299999999999</v>
      </c>
      <c r="J1988" s="2">
        <v>268.22199999999998</v>
      </c>
      <c r="K1988" s="1">
        <v>-9.1999999999999998E-2</v>
      </c>
      <c r="L1988" s="2">
        <v>26.446000000000002</v>
      </c>
      <c r="N1988" s="7">
        <f t="shared" si="250"/>
        <v>320.0999999998603</v>
      </c>
      <c r="O1988" s="1">
        <f t="shared" si="245"/>
        <v>131</v>
      </c>
      <c r="P1988" s="1" t="str">
        <f t="shared" si="247"/>
        <v>320.09999999986,131</v>
      </c>
      <c r="Q1988" s="6" t="s">
        <v>10</v>
      </c>
      <c r="R1988" s="1">
        <v>90</v>
      </c>
      <c r="S1988" s="1">
        <v>2.5</v>
      </c>
      <c r="T1988" s="1" t="str">
        <f t="shared" si="246"/>
        <v>-text 320.09999999986,131 2.5 90 268.222</v>
      </c>
    </row>
    <row r="1989" spans="1:20" hidden="1" x14ac:dyDescent="0.35">
      <c r="A1989" s="1">
        <v>290340</v>
      </c>
      <c r="B1989" s="7">
        <v>1179734.2</v>
      </c>
      <c r="C1989" s="2">
        <v>268.71100000000001</v>
      </c>
      <c r="D1989" s="2">
        <v>268.84300000000002</v>
      </c>
      <c r="E1989" s="2">
        <v>0.13200000000000001</v>
      </c>
      <c r="F1989" s="2">
        <v>268.03899999999999</v>
      </c>
      <c r="G1989" s="2">
        <v>268.13</v>
      </c>
      <c r="H1989" s="2">
        <v>9.0999999999999998E-2</v>
      </c>
      <c r="I1989" s="2">
        <v>268.14699999999999</v>
      </c>
      <c r="J1989" s="2">
        <v>268.04500000000002</v>
      </c>
      <c r="K1989" s="15">
        <v>8.5000000000000006E-2</v>
      </c>
      <c r="L1989" s="2">
        <v>26.423999999999999</v>
      </c>
      <c r="N1989" s="7">
        <f t="shared" si="250"/>
        <v>340.0999999998603</v>
      </c>
      <c r="O1989" s="1">
        <f t="shared" si="245"/>
        <v>131</v>
      </c>
      <c r="P1989" s="1" t="str">
        <f t="shared" si="247"/>
        <v>340.09999999986,131</v>
      </c>
      <c r="Q1989" s="6" t="s">
        <v>10</v>
      </c>
      <c r="R1989" s="1">
        <v>90</v>
      </c>
      <c r="S1989" s="1">
        <v>2.5</v>
      </c>
      <c r="T1989" s="1" t="str">
        <f t="shared" si="246"/>
        <v>-text 340.09999999986,131 2.5 90 268.045</v>
      </c>
    </row>
    <row r="1990" spans="1:20" hidden="1" x14ac:dyDescent="0.35">
      <c r="A1990" s="1">
        <v>290360</v>
      </c>
      <c r="B1990" s="7">
        <v>1179754.1000000001</v>
      </c>
      <c r="C1990" s="2">
        <v>268.702</v>
      </c>
      <c r="D1990" s="2">
        <v>268.84300000000002</v>
      </c>
      <c r="E1990" s="2">
        <v>0.14099999999999999</v>
      </c>
      <c r="F1990" s="2">
        <v>268.02999999999997</v>
      </c>
      <c r="G1990" s="2">
        <v>268.13</v>
      </c>
      <c r="H1990" s="2">
        <v>0.1</v>
      </c>
      <c r="I1990" s="2">
        <v>268.04300000000001</v>
      </c>
      <c r="J1990" s="2">
        <v>268.01900000000001</v>
      </c>
      <c r="K1990" s="15">
        <v>0.111</v>
      </c>
      <c r="L1990" s="2">
        <v>26.401</v>
      </c>
      <c r="N1990" s="7">
        <f t="shared" si="250"/>
        <v>360</v>
      </c>
      <c r="O1990" s="1">
        <f t="shared" si="245"/>
        <v>131</v>
      </c>
      <c r="P1990" s="1" t="str">
        <f t="shared" si="247"/>
        <v>360,131</v>
      </c>
      <c r="Q1990" s="6" t="s">
        <v>10</v>
      </c>
      <c r="R1990" s="1">
        <v>90</v>
      </c>
      <c r="S1990" s="1">
        <v>2.5</v>
      </c>
      <c r="T1990" s="1" t="str">
        <f t="shared" si="246"/>
        <v>-text 360,131 2.5 90 268.019</v>
      </c>
    </row>
    <row r="1991" spans="1:20" hidden="1" x14ac:dyDescent="0.35">
      <c r="A1991" s="1">
        <v>290380</v>
      </c>
      <c r="B1991" s="7">
        <v>1179774.2</v>
      </c>
      <c r="C1991" s="2">
        <v>268.69600000000003</v>
      </c>
      <c r="D1991" s="2">
        <v>268.84300000000002</v>
      </c>
      <c r="E1991" s="2">
        <v>0.14699999999999999</v>
      </c>
      <c r="F1991" s="2">
        <v>268.024</v>
      </c>
      <c r="G1991" s="2">
        <v>268.13</v>
      </c>
      <c r="H1991" s="2">
        <v>0.106</v>
      </c>
      <c r="I1991" s="2">
        <v>268.048</v>
      </c>
      <c r="J1991" s="2">
        <v>267.97500000000002</v>
      </c>
      <c r="K1991" s="15">
        <v>0.155</v>
      </c>
      <c r="L1991" s="2">
        <v>26.361000000000001</v>
      </c>
      <c r="N1991" s="7">
        <f t="shared" si="250"/>
        <v>380.0999999998603</v>
      </c>
      <c r="O1991" s="1">
        <f t="shared" si="245"/>
        <v>131</v>
      </c>
      <c r="P1991" s="1" t="str">
        <f t="shared" si="247"/>
        <v>380.09999999986,131</v>
      </c>
      <c r="Q1991" s="6" t="s">
        <v>10</v>
      </c>
      <c r="R1991" s="1">
        <v>90</v>
      </c>
      <c r="S1991" s="1">
        <v>2.5</v>
      </c>
      <c r="T1991" s="1" t="str">
        <f t="shared" si="246"/>
        <v>-text 380.09999999986,131 2.5 90 267.975</v>
      </c>
    </row>
    <row r="1992" spans="1:20" hidden="1" x14ac:dyDescent="0.35">
      <c r="A1992" s="1">
        <v>290400</v>
      </c>
      <c r="B1992" s="7">
        <v>1179794.1000000001</v>
      </c>
      <c r="C1992" s="2">
        <v>268.68099999999998</v>
      </c>
      <c r="D1992" s="2">
        <v>268.84300000000002</v>
      </c>
      <c r="E1992" s="2">
        <v>0.16200000000000001</v>
      </c>
      <c r="F1992" s="2">
        <v>268.00900000000001</v>
      </c>
      <c r="G1992" s="2">
        <v>268.13</v>
      </c>
      <c r="H1992" s="2">
        <v>0.121</v>
      </c>
      <c r="I1992" s="2">
        <v>268.012</v>
      </c>
      <c r="J1992" s="2">
        <v>267.83999999999997</v>
      </c>
      <c r="K1992" s="15">
        <v>0.28999999999999998</v>
      </c>
      <c r="L1992" s="2">
        <v>26.349</v>
      </c>
      <c r="N1992" s="7">
        <f t="shared" si="250"/>
        <v>400</v>
      </c>
      <c r="O1992" s="1">
        <f t="shared" si="245"/>
        <v>131</v>
      </c>
      <c r="P1992" s="1" t="str">
        <f t="shared" si="247"/>
        <v>400,131</v>
      </c>
      <c r="Q1992" s="6" t="s">
        <v>10</v>
      </c>
      <c r="R1992" s="1">
        <v>90</v>
      </c>
      <c r="S1992" s="1">
        <v>2.5</v>
      </c>
      <c r="T1992" s="1" t="str">
        <f t="shared" si="246"/>
        <v>-text 400,131 2.5 90 267.84</v>
      </c>
    </row>
    <row r="1993" spans="1:20" hidden="1" x14ac:dyDescent="0.35">
      <c r="A1993" s="1">
        <v>290420</v>
      </c>
      <c r="B1993" s="7">
        <v>1179814.2</v>
      </c>
      <c r="C1993" s="2">
        <v>268.64699999999999</v>
      </c>
      <c r="D1993" s="2">
        <v>268.84300000000002</v>
      </c>
      <c r="E1993" s="2">
        <v>0.19600000000000001</v>
      </c>
      <c r="F1993" s="2">
        <v>267.97500000000002</v>
      </c>
      <c r="G1993" s="2">
        <v>268.13</v>
      </c>
      <c r="H1993" s="2">
        <v>0.155</v>
      </c>
      <c r="I1993" s="2">
        <v>267.98200000000003</v>
      </c>
      <c r="J1993" s="2">
        <v>267.93799999999999</v>
      </c>
      <c r="K1993" s="15">
        <v>0.192</v>
      </c>
      <c r="L1993" s="2">
        <v>26.238</v>
      </c>
      <c r="N1993" s="7">
        <f t="shared" si="250"/>
        <v>420.0999999998603</v>
      </c>
      <c r="O1993" s="1">
        <f t="shared" si="245"/>
        <v>131</v>
      </c>
      <c r="P1993" s="1" t="str">
        <f t="shared" si="247"/>
        <v>420.09999999986,131</v>
      </c>
      <c r="Q1993" s="6" t="s">
        <v>10</v>
      </c>
      <c r="R1993" s="1">
        <v>90</v>
      </c>
      <c r="S1993" s="1">
        <v>2.5</v>
      </c>
      <c r="T1993" s="1" t="str">
        <f t="shared" si="246"/>
        <v>-text 420.09999999986,131 2.5 90 267.938</v>
      </c>
    </row>
    <row r="1994" spans="1:20" hidden="1" x14ac:dyDescent="0.35">
      <c r="A1994" s="1">
        <v>290440</v>
      </c>
      <c r="B1994" s="7">
        <v>1179834.1000000001</v>
      </c>
      <c r="C1994" s="2">
        <v>268.64800000000002</v>
      </c>
      <c r="D1994" s="2">
        <v>268.84300000000002</v>
      </c>
      <c r="E1994" s="2">
        <v>0.19500000000000001</v>
      </c>
      <c r="F1994" s="2">
        <v>267.976</v>
      </c>
      <c r="G1994" s="2">
        <v>268.13</v>
      </c>
      <c r="H1994" s="2">
        <v>0.154</v>
      </c>
      <c r="I1994" s="2">
        <v>267.99599999999998</v>
      </c>
      <c r="J1994" s="2">
        <v>267.65300000000002</v>
      </c>
      <c r="K1994" s="15">
        <v>0.47699999999999998</v>
      </c>
      <c r="L1994" s="2">
        <v>26.065000000000001</v>
      </c>
      <c r="N1994" s="7">
        <f t="shared" si="250"/>
        <v>440</v>
      </c>
      <c r="O1994" s="1">
        <f t="shared" si="245"/>
        <v>131</v>
      </c>
      <c r="P1994" s="1" t="str">
        <f t="shared" si="247"/>
        <v>440,131</v>
      </c>
      <c r="Q1994" s="6" t="s">
        <v>10</v>
      </c>
      <c r="R1994" s="1">
        <v>90</v>
      </c>
      <c r="S1994" s="1">
        <v>2.5</v>
      </c>
      <c r="T1994" s="1" t="str">
        <f t="shared" si="246"/>
        <v>-text 440,131 2.5 90 267.653</v>
      </c>
    </row>
    <row r="1995" spans="1:20" hidden="1" x14ac:dyDescent="0.35">
      <c r="A1995" s="1">
        <v>290460</v>
      </c>
      <c r="B1995" s="7">
        <v>1179854.1000000001</v>
      </c>
      <c r="C1995" s="2">
        <v>268.65499999999997</v>
      </c>
      <c r="D1995" s="2">
        <v>268.84300000000002</v>
      </c>
      <c r="E1995" s="2">
        <v>0.188</v>
      </c>
      <c r="F1995" s="2">
        <v>267.983</v>
      </c>
      <c r="G1995" s="2">
        <v>268.13</v>
      </c>
      <c r="H1995" s="2">
        <v>0.14699999999999999</v>
      </c>
      <c r="I1995" s="2">
        <v>267.95999999999998</v>
      </c>
      <c r="J1995" s="2">
        <v>267.87700000000001</v>
      </c>
      <c r="K1995" s="15">
        <v>0.253</v>
      </c>
      <c r="L1995" s="2">
        <v>25.738</v>
      </c>
      <c r="N1995" s="7">
        <f t="shared" si="250"/>
        <v>460</v>
      </c>
      <c r="O1995" s="1">
        <f t="shared" si="245"/>
        <v>131</v>
      </c>
      <c r="P1995" s="1" t="str">
        <f t="shared" si="247"/>
        <v>460,131</v>
      </c>
      <c r="Q1995" s="6" t="s">
        <v>10</v>
      </c>
      <c r="R1995" s="1">
        <v>90</v>
      </c>
      <c r="S1995" s="1">
        <v>2.5</v>
      </c>
      <c r="T1995" s="1" t="str">
        <f t="shared" si="246"/>
        <v>-text 460,131 2.5 90 267.877</v>
      </c>
    </row>
    <row r="1996" spans="1:20" hidden="1" x14ac:dyDescent="0.35">
      <c r="A1996" s="1">
        <v>290480</v>
      </c>
      <c r="B1996" s="7">
        <v>1179874.1000000001</v>
      </c>
      <c r="C1996" s="2">
        <v>268.67</v>
      </c>
      <c r="D1996" s="2">
        <v>268.84300000000002</v>
      </c>
      <c r="E1996" s="2">
        <v>0.17299999999999999</v>
      </c>
      <c r="F1996" s="2">
        <v>267.99799999999999</v>
      </c>
      <c r="G1996" s="2">
        <v>268.13</v>
      </c>
      <c r="H1996" s="2">
        <v>0.13200000000000001</v>
      </c>
      <c r="I1996" s="2">
        <v>267.90199999999999</v>
      </c>
      <c r="J1996" s="2">
        <v>267.86</v>
      </c>
      <c r="K1996" s="15">
        <v>0.27</v>
      </c>
      <c r="L1996" s="2">
        <v>25.251999999999999</v>
      </c>
      <c r="N1996" s="7">
        <f t="shared" si="250"/>
        <v>480</v>
      </c>
      <c r="O1996" s="1">
        <f t="shared" si="245"/>
        <v>131</v>
      </c>
      <c r="P1996" s="1" t="str">
        <f t="shared" si="247"/>
        <v>480,131</v>
      </c>
      <c r="Q1996" s="6" t="s">
        <v>10</v>
      </c>
      <c r="R1996" s="1">
        <v>90</v>
      </c>
      <c r="S1996" s="1">
        <v>2.5</v>
      </c>
      <c r="T1996" s="1" t="str">
        <f t="shared" si="246"/>
        <v>-text 480,131 2.5 90 267.86</v>
      </c>
    </row>
    <row r="1997" spans="1:20" hidden="1" x14ac:dyDescent="0.35">
      <c r="A1997" s="1">
        <v>290500</v>
      </c>
      <c r="B1997" s="7">
        <v>1179894.2</v>
      </c>
      <c r="C1997" s="2">
        <v>268.685</v>
      </c>
      <c r="D1997" s="2">
        <v>268.84300000000002</v>
      </c>
      <c r="E1997" s="2">
        <v>0.158</v>
      </c>
      <c r="F1997" s="2">
        <v>268.01299999999998</v>
      </c>
      <c r="G1997" s="2">
        <v>268.13</v>
      </c>
      <c r="H1997" s="2">
        <v>0.11700000000000001</v>
      </c>
      <c r="I1997" s="2">
        <v>267.90300000000002</v>
      </c>
      <c r="J1997" s="2">
        <v>267.82299999999998</v>
      </c>
      <c r="K1997" s="15">
        <v>0.307</v>
      </c>
      <c r="L1997" s="2">
        <v>24.614999999999998</v>
      </c>
      <c r="N1997" s="7">
        <f>N1994+(B1997-B1994)</f>
        <v>500.0999999998603</v>
      </c>
      <c r="O1997" s="1">
        <f t="shared" ref="O1997:O2064" si="251">19+16+16+16+16+16+16+16</f>
        <v>131</v>
      </c>
      <c r="P1997" s="1" t="str">
        <f t="shared" ref="P1997" si="252">CONCATENATE(N1997,",",O1997)</f>
        <v>500.09999999986,131</v>
      </c>
      <c r="Q1997" s="6" t="s">
        <v>10</v>
      </c>
      <c r="R1997" s="1">
        <v>90</v>
      </c>
      <c r="S1997" s="1">
        <v>2.5</v>
      </c>
      <c r="T1997" s="1" t="str">
        <f t="shared" ref="T1997:T2064" si="253">$Q1997&amp;" "&amp;$P1997&amp;" "&amp;$S1997&amp;" "&amp;$R1997&amp;" "&amp;$J1997</f>
        <v>-text 500.09999999986,131 2.5 90 267.823</v>
      </c>
    </row>
    <row r="1998" spans="1:20" s="10" customFormat="1" x14ac:dyDescent="0.35">
      <c r="B1998" s="11"/>
      <c r="C1998" s="9"/>
      <c r="D1998" s="9"/>
      <c r="E1998" s="9"/>
      <c r="F1998" s="9"/>
      <c r="G1998" s="9"/>
      <c r="H1998" s="9"/>
      <c r="I1998" s="9"/>
      <c r="J1998" s="9"/>
      <c r="K1998" s="16"/>
      <c r="L1998" s="9"/>
      <c r="M1998" s="9"/>
      <c r="N1998" s="11"/>
      <c r="Q1998" s="12"/>
    </row>
    <row r="1999" spans="1:20" x14ac:dyDescent="0.35">
      <c r="A1999" s="1">
        <v>290500</v>
      </c>
      <c r="B1999" s="7">
        <v>1179894.2</v>
      </c>
      <c r="C1999" s="2">
        <v>268.685</v>
      </c>
      <c r="D1999" s="2">
        <v>268.84300000000002</v>
      </c>
      <c r="E1999" s="2">
        <v>0.158</v>
      </c>
      <c r="F1999" s="2">
        <v>268.01299999999998</v>
      </c>
      <c r="G1999" s="2">
        <v>268.13</v>
      </c>
      <c r="H1999" s="2">
        <v>0.11700000000000001</v>
      </c>
      <c r="I1999" s="2">
        <v>267.90300000000002</v>
      </c>
      <c r="J1999" s="2">
        <v>267.82299999999998</v>
      </c>
      <c r="K1999" s="15">
        <v>0.307</v>
      </c>
      <c r="L1999" s="2">
        <v>24.614999999999998</v>
      </c>
      <c r="N1999" s="7">
        <v>0</v>
      </c>
      <c r="O1999" s="1">
        <f t="shared" si="251"/>
        <v>131</v>
      </c>
      <c r="P1999" s="1" t="str">
        <f t="shared" si="247"/>
        <v>0,131</v>
      </c>
      <c r="Q1999" s="6" t="s">
        <v>10</v>
      </c>
      <c r="R1999" s="1">
        <v>90</v>
      </c>
      <c r="S1999" s="1">
        <v>2.5</v>
      </c>
      <c r="T1999" s="1" t="str">
        <f t="shared" si="253"/>
        <v>-text 0,131 2.5 90 267.823</v>
      </c>
    </row>
    <row r="2000" spans="1:20" x14ac:dyDescent="0.35">
      <c r="A2000" s="1">
        <v>290520</v>
      </c>
      <c r="B2000" s="7">
        <v>1179914.2</v>
      </c>
      <c r="C2000" s="2">
        <v>268.68099999999998</v>
      </c>
      <c r="D2000" s="2">
        <v>268.84300000000002</v>
      </c>
      <c r="E2000" s="2">
        <v>0.16200000000000001</v>
      </c>
      <c r="F2000" s="2">
        <v>268.00900000000001</v>
      </c>
      <c r="G2000" s="2">
        <v>268.13</v>
      </c>
      <c r="H2000" s="2">
        <v>0.121</v>
      </c>
      <c r="I2000" s="2">
        <v>267.91899999999998</v>
      </c>
      <c r="J2000" s="2">
        <v>267.642</v>
      </c>
      <c r="K2000" s="15">
        <v>0.48799999999999999</v>
      </c>
      <c r="L2000" s="2">
        <v>23.882000000000001</v>
      </c>
      <c r="N2000" s="7">
        <f t="shared" ref="N2000:N2029" si="254">N1999+(B2000-B1999)</f>
        <v>20</v>
      </c>
      <c r="O2000" s="1">
        <f t="shared" si="251"/>
        <v>131</v>
      </c>
      <c r="P2000" s="1" t="str">
        <f t="shared" si="247"/>
        <v>20,131</v>
      </c>
      <c r="Q2000" s="6" t="s">
        <v>10</v>
      </c>
      <c r="R2000" s="1">
        <v>90</v>
      </c>
      <c r="S2000" s="1">
        <v>2.5</v>
      </c>
      <c r="T2000" s="1" t="str">
        <f t="shared" si="253"/>
        <v>-text 20,131 2.5 90 267.642</v>
      </c>
    </row>
    <row r="2001" spans="1:20" x14ac:dyDescent="0.35">
      <c r="A2001" s="1">
        <v>290540</v>
      </c>
      <c r="B2001" s="7">
        <v>1179934.2</v>
      </c>
      <c r="C2001" s="2">
        <v>268.65699999999998</v>
      </c>
      <c r="D2001" s="2">
        <v>268.84300000000002</v>
      </c>
      <c r="E2001" s="2">
        <v>0.186</v>
      </c>
      <c r="F2001" s="2">
        <v>267.98500000000001</v>
      </c>
      <c r="G2001" s="2">
        <v>268.13</v>
      </c>
      <c r="H2001" s="2">
        <v>0.14499999999999999</v>
      </c>
      <c r="I2001" s="2">
        <v>267.86799999999999</v>
      </c>
      <c r="J2001" s="2">
        <v>267.58800000000002</v>
      </c>
      <c r="K2001" s="15">
        <v>0.54200000000000004</v>
      </c>
      <c r="L2001" s="2">
        <v>23.113</v>
      </c>
      <c r="N2001" s="7">
        <f t="shared" si="254"/>
        <v>40</v>
      </c>
      <c r="O2001" s="1">
        <f t="shared" si="251"/>
        <v>131</v>
      </c>
      <c r="P2001" s="1" t="str">
        <f t="shared" ref="P2001:P2066" si="255">CONCATENATE(N2001,",",O2001)</f>
        <v>40,131</v>
      </c>
      <c r="Q2001" s="6" t="s">
        <v>10</v>
      </c>
      <c r="R2001" s="1">
        <v>90</v>
      </c>
      <c r="S2001" s="1">
        <v>2.5</v>
      </c>
      <c r="T2001" s="1" t="str">
        <f t="shared" si="253"/>
        <v>-text 40,131 2.5 90 267.588</v>
      </c>
    </row>
    <row r="2002" spans="1:20" x14ac:dyDescent="0.35">
      <c r="A2002" s="1">
        <v>290560</v>
      </c>
      <c r="B2002" s="7">
        <v>1179954.2</v>
      </c>
      <c r="C2002" s="2">
        <v>268.61599999999999</v>
      </c>
      <c r="D2002" s="2">
        <v>268.84300000000002</v>
      </c>
      <c r="E2002" s="2">
        <v>0.22700000000000001</v>
      </c>
      <c r="F2002" s="2">
        <v>267.94400000000002</v>
      </c>
      <c r="G2002" s="2">
        <v>268.13</v>
      </c>
      <c r="H2002" s="2">
        <v>0.186</v>
      </c>
      <c r="I2002" s="2">
        <v>267.36500000000001</v>
      </c>
      <c r="J2002" s="2">
        <v>267.58499999999998</v>
      </c>
      <c r="K2002" s="15">
        <v>0.54500000000000004</v>
      </c>
      <c r="L2002" s="2">
        <v>22.334</v>
      </c>
      <c r="N2002" s="7">
        <f t="shared" si="254"/>
        <v>60</v>
      </c>
      <c r="O2002" s="1">
        <f t="shared" si="251"/>
        <v>131</v>
      </c>
      <c r="P2002" s="1" t="str">
        <f t="shared" si="255"/>
        <v>60,131</v>
      </c>
      <c r="Q2002" s="6" t="s">
        <v>10</v>
      </c>
      <c r="R2002" s="1">
        <v>90</v>
      </c>
      <c r="S2002" s="1">
        <v>2.5</v>
      </c>
      <c r="T2002" s="1" t="str">
        <f t="shared" si="253"/>
        <v>-text 60,131 2.5 90 267.585</v>
      </c>
    </row>
    <row r="2003" spans="1:20" x14ac:dyDescent="0.35">
      <c r="A2003" s="1">
        <v>290580</v>
      </c>
      <c r="B2003" s="7">
        <v>1179974.2</v>
      </c>
      <c r="C2003" s="2">
        <v>268.57</v>
      </c>
      <c r="D2003" s="2">
        <v>268.84300000000002</v>
      </c>
      <c r="E2003" s="2">
        <v>0.27300000000000002</v>
      </c>
      <c r="F2003" s="2">
        <v>267.89800000000002</v>
      </c>
      <c r="G2003" s="2">
        <v>268.13</v>
      </c>
      <c r="H2003" s="2">
        <v>0.23200000000000001</v>
      </c>
      <c r="I2003" s="2">
        <v>267.10500000000002</v>
      </c>
      <c r="J2003" s="2">
        <v>266.99400000000003</v>
      </c>
      <c r="K2003" s="15">
        <v>1.1359999999999999</v>
      </c>
      <c r="L2003" s="2">
        <v>21.553000000000001</v>
      </c>
      <c r="N2003" s="7">
        <f t="shared" si="254"/>
        <v>80</v>
      </c>
      <c r="O2003" s="1">
        <f t="shared" si="251"/>
        <v>131</v>
      </c>
      <c r="P2003" s="1" t="str">
        <f t="shared" si="255"/>
        <v>80,131</v>
      </c>
      <c r="Q2003" s="6" t="s">
        <v>10</v>
      </c>
      <c r="R2003" s="1">
        <v>90</v>
      </c>
      <c r="S2003" s="1">
        <v>2.5</v>
      </c>
      <c r="T2003" s="1" t="str">
        <f t="shared" si="253"/>
        <v>-text 80,131 2.5 90 266.994</v>
      </c>
    </row>
    <row r="2004" spans="1:20" x14ac:dyDescent="0.35">
      <c r="A2004" s="1">
        <v>290600</v>
      </c>
      <c r="B2004" s="7">
        <v>1179994.2</v>
      </c>
      <c r="C2004" s="2">
        <v>268.51400000000001</v>
      </c>
      <c r="D2004" s="2">
        <v>268.84300000000002</v>
      </c>
      <c r="E2004" s="2">
        <v>0.32900000000000001</v>
      </c>
      <c r="F2004" s="2">
        <v>267.84199999999998</v>
      </c>
      <c r="G2004" s="2">
        <v>268.13</v>
      </c>
      <c r="H2004" s="2">
        <v>0.28799999999999998</v>
      </c>
      <c r="I2004" s="2">
        <v>267.565</v>
      </c>
      <c r="J2004" s="2">
        <v>267.10399999999998</v>
      </c>
      <c r="K2004" s="15">
        <v>1.026</v>
      </c>
      <c r="L2004" s="2">
        <v>20.776</v>
      </c>
      <c r="N2004" s="7">
        <f t="shared" si="254"/>
        <v>100</v>
      </c>
      <c r="O2004" s="1">
        <f t="shared" si="251"/>
        <v>131</v>
      </c>
      <c r="P2004" s="1" t="str">
        <f t="shared" si="255"/>
        <v>100,131</v>
      </c>
      <c r="Q2004" s="6" t="s">
        <v>10</v>
      </c>
      <c r="R2004" s="1">
        <v>90</v>
      </c>
      <c r="S2004" s="1">
        <v>2.5</v>
      </c>
      <c r="T2004" s="1" t="str">
        <f t="shared" si="253"/>
        <v>-text 100,131 2.5 90 267.104</v>
      </c>
    </row>
    <row r="2005" spans="1:20" x14ac:dyDescent="0.35">
      <c r="A2005" s="1">
        <v>290620</v>
      </c>
      <c r="B2005" s="7">
        <v>1180014.2</v>
      </c>
      <c r="C2005" s="2">
        <v>268.44499999999999</v>
      </c>
      <c r="D2005" s="2">
        <v>268.84300000000002</v>
      </c>
      <c r="E2005" s="2">
        <v>0.39800000000000002</v>
      </c>
      <c r="F2005" s="2">
        <v>267.77300000000002</v>
      </c>
      <c r="G2005" s="2">
        <v>268.13</v>
      </c>
      <c r="H2005" s="2">
        <v>0.35699999999999998</v>
      </c>
      <c r="I2005" s="2">
        <v>267.60599999999999</v>
      </c>
      <c r="J2005" s="2">
        <v>267.697</v>
      </c>
      <c r="K2005" s="15">
        <v>0.433</v>
      </c>
      <c r="L2005" s="2">
        <v>20</v>
      </c>
      <c r="N2005" s="7">
        <f t="shared" si="254"/>
        <v>120</v>
      </c>
      <c r="O2005" s="1">
        <f t="shared" si="251"/>
        <v>131</v>
      </c>
      <c r="P2005" s="1" t="str">
        <f t="shared" si="255"/>
        <v>120,131</v>
      </c>
      <c r="Q2005" s="6" t="s">
        <v>10</v>
      </c>
      <c r="R2005" s="1">
        <v>90</v>
      </c>
      <c r="S2005" s="1">
        <v>2.5</v>
      </c>
      <c r="T2005" s="1" t="str">
        <f t="shared" si="253"/>
        <v>-text 120,131 2.5 90 267.697</v>
      </c>
    </row>
    <row r="2006" spans="1:20" x14ac:dyDescent="0.35">
      <c r="A2006" s="1">
        <v>290640</v>
      </c>
      <c r="B2006" s="7">
        <v>1180034.2</v>
      </c>
      <c r="C2006" s="2">
        <v>268.37099999999998</v>
      </c>
      <c r="D2006" s="2">
        <v>268.84300000000002</v>
      </c>
      <c r="E2006" s="2">
        <v>0.47199999999999998</v>
      </c>
      <c r="F2006" s="2">
        <v>267.69900000000001</v>
      </c>
      <c r="G2006" s="2">
        <v>268.13</v>
      </c>
      <c r="H2006" s="2">
        <v>0.43099999999999999</v>
      </c>
      <c r="I2006" s="2">
        <v>267.41000000000003</v>
      </c>
      <c r="J2006" s="2">
        <v>267.31299999999999</v>
      </c>
      <c r="K2006" s="15">
        <v>0.81699999999999995</v>
      </c>
      <c r="L2006" s="2">
        <v>19.222999999999999</v>
      </c>
      <c r="N2006" s="7">
        <f t="shared" si="254"/>
        <v>140</v>
      </c>
      <c r="O2006" s="1">
        <f t="shared" si="251"/>
        <v>131</v>
      </c>
      <c r="P2006" s="1" t="str">
        <f t="shared" si="255"/>
        <v>140,131</v>
      </c>
      <c r="Q2006" s="6" t="s">
        <v>10</v>
      </c>
      <c r="R2006" s="1">
        <v>90</v>
      </c>
      <c r="S2006" s="1">
        <v>2.5</v>
      </c>
      <c r="T2006" s="1" t="str">
        <f t="shared" si="253"/>
        <v>-text 140,131 2.5 90 267.313</v>
      </c>
    </row>
    <row r="2007" spans="1:20" x14ac:dyDescent="0.35">
      <c r="A2007" s="1">
        <v>290660</v>
      </c>
      <c r="B2007" s="7">
        <v>1180054.3</v>
      </c>
      <c r="C2007" s="2">
        <v>268.29300000000001</v>
      </c>
      <c r="D2007" s="2">
        <v>268.84300000000002</v>
      </c>
      <c r="E2007" s="2">
        <v>0.55000000000000004</v>
      </c>
      <c r="F2007" s="2">
        <v>267.62099999999998</v>
      </c>
      <c r="G2007" s="2">
        <v>268.13</v>
      </c>
      <c r="H2007" s="2">
        <v>0.50900000000000001</v>
      </c>
      <c r="I2007" s="2">
        <v>267.26499999999999</v>
      </c>
      <c r="J2007" s="2">
        <v>267.10700000000003</v>
      </c>
      <c r="K2007" s="15">
        <v>1.0229999999999999</v>
      </c>
      <c r="L2007" s="2">
        <v>18.446000000000002</v>
      </c>
      <c r="N2007" s="7">
        <f t="shared" si="254"/>
        <v>160.10000000009313</v>
      </c>
      <c r="O2007" s="1">
        <f t="shared" si="251"/>
        <v>131</v>
      </c>
      <c r="P2007" s="1" t="str">
        <f t="shared" si="255"/>
        <v>160.100000000093,131</v>
      </c>
      <c r="Q2007" s="6" t="s">
        <v>10</v>
      </c>
      <c r="R2007" s="1">
        <v>90</v>
      </c>
      <c r="S2007" s="1">
        <v>2.5</v>
      </c>
      <c r="T2007" s="1" t="str">
        <f t="shared" si="253"/>
        <v>-text 160.100000000093,131 2.5 90 267.107</v>
      </c>
    </row>
    <row r="2008" spans="1:20" x14ac:dyDescent="0.35">
      <c r="A2008" s="1">
        <v>290680</v>
      </c>
      <c r="B2008" s="7">
        <v>1180074.3</v>
      </c>
      <c r="C2008" s="2">
        <v>268.26</v>
      </c>
      <c r="D2008" s="2">
        <v>268.84300000000002</v>
      </c>
      <c r="E2008" s="2">
        <v>0.58299999999999996</v>
      </c>
      <c r="F2008" s="2">
        <v>267.58800000000002</v>
      </c>
      <c r="G2008" s="2">
        <v>268.13</v>
      </c>
      <c r="H2008" s="2">
        <v>0.54200000000000004</v>
      </c>
      <c r="I2008" s="2">
        <v>267.15199999999999</v>
      </c>
      <c r="J2008" s="2">
        <v>266.95100000000002</v>
      </c>
      <c r="K2008" s="15">
        <v>1.179</v>
      </c>
      <c r="L2008" s="2">
        <v>17.702000000000002</v>
      </c>
      <c r="N2008" s="7">
        <f t="shared" si="254"/>
        <v>180.10000000009313</v>
      </c>
      <c r="O2008" s="1">
        <f t="shared" si="251"/>
        <v>131</v>
      </c>
      <c r="P2008" s="1" t="str">
        <f t="shared" si="255"/>
        <v>180.100000000093,131</v>
      </c>
      <c r="Q2008" s="6" t="s">
        <v>10</v>
      </c>
      <c r="R2008" s="1">
        <v>90</v>
      </c>
      <c r="S2008" s="1">
        <v>2.5</v>
      </c>
      <c r="T2008" s="1" t="str">
        <f t="shared" si="253"/>
        <v>-text 180.100000000093,131 2.5 90 266.951</v>
      </c>
    </row>
    <row r="2009" spans="1:20" x14ac:dyDescent="0.35">
      <c r="A2009" s="1">
        <v>290700</v>
      </c>
      <c r="B2009" s="7">
        <v>1180094.3</v>
      </c>
      <c r="C2009" s="2">
        <v>268.26100000000002</v>
      </c>
      <c r="D2009" s="2">
        <v>268.84300000000002</v>
      </c>
      <c r="E2009" s="2">
        <v>0.58199999999999996</v>
      </c>
      <c r="F2009" s="2">
        <v>267.589</v>
      </c>
      <c r="G2009" s="2">
        <v>268.13</v>
      </c>
      <c r="H2009" s="2">
        <v>0.54100000000000004</v>
      </c>
      <c r="I2009" s="2">
        <v>267.32100000000003</v>
      </c>
      <c r="J2009" s="2">
        <v>267.06700000000001</v>
      </c>
      <c r="K2009" s="15">
        <v>1.0629999999999999</v>
      </c>
      <c r="L2009" s="2">
        <v>16.940000000000001</v>
      </c>
      <c r="N2009" s="7">
        <f t="shared" si="254"/>
        <v>200.10000000009313</v>
      </c>
      <c r="O2009" s="1">
        <f t="shared" si="251"/>
        <v>131</v>
      </c>
      <c r="P2009" s="1" t="str">
        <f t="shared" si="255"/>
        <v>200.100000000093,131</v>
      </c>
      <c r="Q2009" s="6" t="s">
        <v>10</v>
      </c>
      <c r="R2009" s="1">
        <v>90</v>
      </c>
      <c r="S2009" s="1">
        <v>2.5</v>
      </c>
      <c r="T2009" s="1" t="str">
        <f t="shared" si="253"/>
        <v>-text 200.100000000093,131 2.5 90 267.067</v>
      </c>
    </row>
    <row r="2010" spans="1:20" x14ac:dyDescent="0.35">
      <c r="A2010" s="1">
        <v>290720</v>
      </c>
      <c r="B2010" s="7">
        <v>1180114.3999999999</v>
      </c>
      <c r="C2010" s="2">
        <v>268.286</v>
      </c>
      <c r="D2010" s="2">
        <v>268.84300000000002</v>
      </c>
      <c r="E2010" s="2">
        <v>0.55700000000000005</v>
      </c>
      <c r="F2010" s="2">
        <v>267.61399999999998</v>
      </c>
      <c r="G2010" s="2">
        <v>268.13</v>
      </c>
      <c r="H2010" s="2">
        <v>0.51600000000000001</v>
      </c>
      <c r="I2010" s="2">
        <v>267.60000000000002</v>
      </c>
      <c r="J2010" s="2">
        <v>267.50900000000001</v>
      </c>
      <c r="K2010" s="15">
        <v>0.621</v>
      </c>
      <c r="L2010" s="2">
        <v>16.265999999999998</v>
      </c>
      <c r="N2010" s="7">
        <f t="shared" si="254"/>
        <v>220.19999999995343</v>
      </c>
      <c r="O2010" s="1">
        <f t="shared" si="251"/>
        <v>131</v>
      </c>
      <c r="P2010" s="1" t="str">
        <f t="shared" si="255"/>
        <v>220.199999999953,131</v>
      </c>
      <c r="Q2010" s="6" t="s">
        <v>10</v>
      </c>
      <c r="R2010" s="1">
        <v>90</v>
      </c>
      <c r="S2010" s="1">
        <v>2.5</v>
      </c>
      <c r="T2010" s="1" t="str">
        <f t="shared" si="253"/>
        <v>-text 220.199999999953,131 2.5 90 267.509</v>
      </c>
    </row>
    <row r="2011" spans="1:20" x14ac:dyDescent="0.35">
      <c r="A2011" s="1">
        <v>290740</v>
      </c>
      <c r="B2011" s="7">
        <v>1180134.5</v>
      </c>
      <c r="C2011" s="2">
        <v>268.34800000000001</v>
      </c>
      <c r="D2011" s="2">
        <v>268.84300000000002</v>
      </c>
      <c r="E2011" s="2">
        <v>0.495</v>
      </c>
      <c r="F2011" s="2">
        <v>267.67599999999999</v>
      </c>
      <c r="G2011" s="2">
        <v>268.13</v>
      </c>
      <c r="H2011" s="2">
        <v>0.45400000000000001</v>
      </c>
      <c r="I2011" s="2">
        <v>267.71899999999999</v>
      </c>
      <c r="J2011" s="2">
        <v>267.73599999999999</v>
      </c>
      <c r="K2011" s="15">
        <v>0.39400000000000002</v>
      </c>
      <c r="L2011" s="2">
        <v>15.664999999999999</v>
      </c>
      <c r="N2011" s="7">
        <f t="shared" si="254"/>
        <v>240.30000000004657</v>
      </c>
      <c r="O2011" s="1">
        <f t="shared" si="251"/>
        <v>131</v>
      </c>
      <c r="P2011" s="1" t="str">
        <f t="shared" si="255"/>
        <v>240.300000000047,131</v>
      </c>
      <c r="Q2011" s="6" t="s">
        <v>10</v>
      </c>
      <c r="R2011" s="1">
        <v>90</v>
      </c>
      <c r="S2011" s="1">
        <v>2.5</v>
      </c>
      <c r="T2011" s="1" t="str">
        <f t="shared" si="253"/>
        <v>-text 240.300000000047,131 2.5 90 267.736</v>
      </c>
    </row>
    <row r="2012" spans="1:20" x14ac:dyDescent="0.35">
      <c r="A2012" s="1">
        <v>290760</v>
      </c>
      <c r="B2012" s="7">
        <v>1180154.7</v>
      </c>
      <c r="C2012" s="2">
        <v>268.40699999999998</v>
      </c>
      <c r="D2012" s="2">
        <v>268.82799999999997</v>
      </c>
      <c r="E2012" s="2">
        <v>0.42099999999999999</v>
      </c>
      <c r="F2012" s="2">
        <v>267.73500000000001</v>
      </c>
      <c r="G2012" s="2">
        <v>268.11500000000001</v>
      </c>
      <c r="H2012" s="2">
        <v>0.38</v>
      </c>
      <c r="I2012" s="2">
        <v>267.72899999999998</v>
      </c>
      <c r="J2012" s="2">
        <v>267.649</v>
      </c>
      <c r="K2012" s="15">
        <v>0.46600000000000003</v>
      </c>
      <c r="L2012" s="2">
        <v>15.259</v>
      </c>
      <c r="N2012" s="7">
        <f t="shared" si="254"/>
        <v>260.5</v>
      </c>
      <c r="O2012" s="1">
        <f t="shared" si="251"/>
        <v>131</v>
      </c>
      <c r="P2012" s="1" t="str">
        <f t="shared" si="255"/>
        <v>260.5,131</v>
      </c>
      <c r="Q2012" s="6" t="s">
        <v>10</v>
      </c>
      <c r="R2012" s="1">
        <v>90</v>
      </c>
      <c r="S2012" s="1">
        <v>2.5</v>
      </c>
      <c r="T2012" s="1" t="str">
        <f t="shared" si="253"/>
        <v>-text 260.5,131 2.5 90 267.649</v>
      </c>
    </row>
    <row r="2013" spans="1:20" x14ac:dyDescent="0.35">
      <c r="A2013" s="1">
        <v>290780</v>
      </c>
      <c r="B2013" s="7">
        <v>1180174.7</v>
      </c>
      <c r="C2013" s="2">
        <v>268.45400000000001</v>
      </c>
      <c r="D2013" s="2">
        <v>268.798</v>
      </c>
      <c r="E2013" s="2">
        <v>0.34399999999999997</v>
      </c>
      <c r="F2013" s="2">
        <v>267.78199999999998</v>
      </c>
      <c r="G2013" s="2">
        <v>268.08499999999998</v>
      </c>
      <c r="H2013" s="2">
        <v>0.30299999999999999</v>
      </c>
      <c r="I2013" s="2">
        <v>267.74700000000001</v>
      </c>
      <c r="J2013" s="2">
        <v>267.64699999999999</v>
      </c>
      <c r="K2013" s="15">
        <v>0.438</v>
      </c>
      <c r="L2013" s="2">
        <v>15.039</v>
      </c>
      <c r="N2013" s="7">
        <f t="shared" si="254"/>
        <v>280.5</v>
      </c>
      <c r="O2013" s="1">
        <f t="shared" si="251"/>
        <v>131</v>
      </c>
      <c r="P2013" s="1" t="str">
        <f t="shared" si="255"/>
        <v>280.5,131</v>
      </c>
      <c r="Q2013" s="6" t="s">
        <v>10</v>
      </c>
      <c r="R2013" s="1">
        <v>90</v>
      </c>
      <c r="S2013" s="1">
        <v>2.5</v>
      </c>
      <c r="T2013" s="1" t="str">
        <f t="shared" si="253"/>
        <v>-text 280.5,131 2.5 90 267.647</v>
      </c>
    </row>
    <row r="2014" spans="1:20" x14ac:dyDescent="0.35">
      <c r="A2014" s="1">
        <v>290800</v>
      </c>
      <c r="B2014" s="7">
        <v>1180195.1000000001</v>
      </c>
      <c r="C2014" s="2">
        <v>268.49</v>
      </c>
      <c r="D2014" s="2">
        <v>268.76799999999997</v>
      </c>
      <c r="E2014" s="2">
        <v>0.27800000000000002</v>
      </c>
      <c r="F2014" s="2">
        <v>267.81799999999998</v>
      </c>
      <c r="G2014" s="2">
        <v>268.05500000000001</v>
      </c>
      <c r="H2014" s="2">
        <v>0.23699999999999999</v>
      </c>
      <c r="I2014" s="2">
        <v>267.68599999999998</v>
      </c>
      <c r="J2014" s="2">
        <v>267.62900000000002</v>
      </c>
      <c r="K2014" s="15">
        <v>0.42599999999999999</v>
      </c>
      <c r="L2014" s="2">
        <v>15.124000000000001</v>
      </c>
      <c r="N2014" s="7">
        <f t="shared" si="254"/>
        <v>300.9000000001397</v>
      </c>
      <c r="O2014" s="1">
        <f t="shared" si="251"/>
        <v>131</v>
      </c>
      <c r="P2014" s="1" t="str">
        <f t="shared" si="255"/>
        <v>300.90000000014,131</v>
      </c>
      <c r="Q2014" s="6" t="s">
        <v>10</v>
      </c>
      <c r="R2014" s="1">
        <v>90</v>
      </c>
      <c r="S2014" s="1">
        <v>2.5</v>
      </c>
      <c r="T2014" s="1" t="str">
        <f t="shared" si="253"/>
        <v>-text 300.90000000014,131 2.5 90 267.629</v>
      </c>
    </row>
    <row r="2015" spans="1:20" x14ac:dyDescent="0.35">
      <c r="A2015" s="1">
        <v>290820</v>
      </c>
      <c r="B2015" s="7">
        <v>1180215.1000000001</v>
      </c>
      <c r="C2015" s="2">
        <v>268.51799999999997</v>
      </c>
      <c r="D2015" s="2">
        <v>268.738</v>
      </c>
      <c r="E2015" s="2">
        <v>0.221</v>
      </c>
      <c r="F2015" s="2">
        <v>267.846</v>
      </c>
      <c r="G2015" s="2">
        <v>268.02499999999998</v>
      </c>
      <c r="H2015" s="2">
        <v>0.18</v>
      </c>
      <c r="I2015" s="2">
        <v>267.56700000000001</v>
      </c>
      <c r="J2015" s="2">
        <v>267.447</v>
      </c>
      <c r="K2015" s="15">
        <v>0.57899999999999996</v>
      </c>
      <c r="L2015" s="2">
        <v>15.428000000000001</v>
      </c>
      <c r="N2015" s="7">
        <f t="shared" si="254"/>
        <v>320.9000000001397</v>
      </c>
      <c r="O2015" s="1">
        <f t="shared" si="251"/>
        <v>131</v>
      </c>
      <c r="P2015" s="1" t="str">
        <f t="shared" si="255"/>
        <v>320.90000000014,131</v>
      </c>
      <c r="Q2015" s="6" t="s">
        <v>10</v>
      </c>
      <c r="R2015" s="1">
        <v>90</v>
      </c>
      <c r="S2015" s="1">
        <v>2.5</v>
      </c>
      <c r="T2015" s="1" t="str">
        <f t="shared" si="253"/>
        <v>-text 320.90000000014,131 2.5 90 267.447</v>
      </c>
    </row>
    <row r="2016" spans="1:20" x14ac:dyDescent="0.35">
      <c r="A2016" s="1">
        <v>290840</v>
      </c>
      <c r="B2016" s="7">
        <v>1180235.2</v>
      </c>
      <c r="C2016" s="2">
        <v>268.55</v>
      </c>
      <c r="D2016" s="2">
        <v>268.709</v>
      </c>
      <c r="E2016" s="2">
        <v>0.159</v>
      </c>
      <c r="F2016" s="2">
        <v>267.87799999999999</v>
      </c>
      <c r="G2016" s="2">
        <v>267.99599999999998</v>
      </c>
      <c r="H2016" s="2">
        <v>0.11799999999999999</v>
      </c>
      <c r="I2016" s="2">
        <v>267.51600000000002</v>
      </c>
      <c r="J2016" s="2">
        <v>267.53300000000002</v>
      </c>
      <c r="K2016" s="15">
        <v>0.46300000000000002</v>
      </c>
      <c r="L2016" s="2">
        <v>15.859</v>
      </c>
      <c r="N2016" s="7">
        <f t="shared" si="254"/>
        <v>341</v>
      </c>
      <c r="O2016" s="1">
        <f t="shared" si="251"/>
        <v>131</v>
      </c>
      <c r="P2016" s="1" t="str">
        <f t="shared" si="255"/>
        <v>341,131</v>
      </c>
      <c r="Q2016" s="6" t="s">
        <v>10</v>
      </c>
      <c r="R2016" s="1">
        <v>90</v>
      </c>
      <c r="S2016" s="1">
        <v>2.5</v>
      </c>
      <c r="T2016" s="1" t="str">
        <f t="shared" si="253"/>
        <v>-text 341,131 2.5 90 267.533</v>
      </c>
    </row>
    <row r="2017" spans="1:20" x14ac:dyDescent="0.35">
      <c r="A2017" s="1">
        <v>290860</v>
      </c>
      <c r="B2017" s="7">
        <v>1180255.2</v>
      </c>
      <c r="C2017" s="2">
        <v>268.58300000000003</v>
      </c>
      <c r="D2017" s="2">
        <v>268.67899999999997</v>
      </c>
      <c r="E2017" s="2">
        <v>9.6000000000000002E-2</v>
      </c>
      <c r="F2017" s="2">
        <v>267.911</v>
      </c>
      <c r="G2017" s="2">
        <v>267.96600000000001</v>
      </c>
      <c r="H2017" s="2">
        <v>5.5E-2</v>
      </c>
      <c r="I2017" s="2">
        <v>267.50900000000001</v>
      </c>
      <c r="J2017" s="2">
        <v>267.22500000000002</v>
      </c>
      <c r="K2017" s="15">
        <v>0.74099999999999999</v>
      </c>
      <c r="L2017" s="2">
        <v>16.388000000000002</v>
      </c>
      <c r="N2017" s="7">
        <f t="shared" si="254"/>
        <v>361</v>
      </c>
      <c r="O2017" s="1">
        <f t="shared" si="251"/>
        <v>131</v>
      </c>
      <c r="P2017" s="1" t="str">
        <f t="shared" si="255"/>
        <v>361,131</v>
      </c>
      <c r="Q2017" s="6" t="s">
        <v>10</v>
      </c>
      <c r="R2017" s="1">
        <v>90</v>
      </c>
      <c r="S2017" s="1">
        <v>2.5</v>
      </c>
      <c r="T2017" s="1" t="str">
        <f t="shared" si="253"/>
        <v>-text 361,131 2.5 90 267.225</v>
      </c>
    </row>
    <row r="2018" spans="1:20" x14ac:dyDescent="0.35">
      <c r="A2018" s="1">
        <v>290880</v>
      </c>
      <c r="B2018" s="7">
        <v>1180275.2</v>
      </c>
      <c r="C2018" s="2">
        <v>268.59199999999998</v>
      </c>
      <c r="D2018" s="2">
        <v>268.649</v>
      </c>
      <c r="E2018" s="2">
        <v>5.7000000000000002E-2</v>
      </c>
      <c r="F2018" s="2">
        <v>267.92</v>
      </c>
      <c r="G2018" s="2">
        <v>267.93599999999998</v>
      </c>
      <c r="H2018" s="2">
        <v>1.6E-2</v>
      </c>
      <c r="I2018" s="2">
        <v>267.25900000000001</v>
      </c>
      <c r="J2018" s="2">
        <v>267.15499999999997</v>
      </c>
      <c r="K2018" s="15">
        <v>0.78200000000000003</v>
      </c>
      <c r="L2018" s="2">
        <v>16.951000000000001</v>
      </c>
      <c r="N2018" s="7">
        <f t="shared" si="254"/>
        <v>381</v>
      </c>
      <c r="O2018" s="1">
        <f t="shared" si="251"/>
        <v>131</v>
      </c>
      <c r="P2018" s="1" t="str">
        <f t="shared" si="255"/>
        <v>381,131</v>
      </c>
      <c r="Q2018" s="6" t="s">
        <v>10</v>
      </c>
      <c r="R2018" s="1">
        <v>90</v>
      </c>
      <c r="S2018" s="1">
        <v>2.5</v>
      </c>
      <c r="T2018" s="1" t="str">
        <f t="shared" si="253"/>
        <v>-text 381,131 2.5 90 267.155</v>
      </c>
    </row>
    <row r="2019" spans="1:20" x14ac:dyDescent="0.35">
      <c r="A2019" s="1">
        <v>290900</v>
      </c>
      <c r="B2019" s="7">
        <v>1180295.1000000001</v>
      </c>
      <c r="C2019" s="2">
        <v>268.58</v>
      </c>
      <c r="D2019" s="2">
        <v>268.62</v>
      </c>
      <c r="E2019" s="2">
        <v>0.04</v>
      </c>
      <c r="F2019" s="2">
        <v>267.90800000000002</v>
      </c>
      <c r="G2019" s="2">
        <v>267.90699999999998</v>
      </c>
      <c r="H2019" s="2">
        <v>-1E-3</v>
      </c>
      <c r="I2019" s="2">
        <v>267.11700000000002</v>
      </c>
      <c r="J2019" s="2">
        <v>266.95299999999997</v>
      </c>
      <c r="K2019" s="15">
        <v>0.95399999999999996</v>
      </c>
      <c r="L2019" s="2">
        <v>17.515000000000001</v>
      </c>
      <c r="N2019" s="7">
        <f t="shared" si="254"/>
        <v>400.9000000001397</v>
      </c>
      <c r="O2019" s="1">
        <f t="shared" si="251"/>
        <v>131</v>
      </c>
      <c r="P2019" s="1" t="str">
        <f t="shared" si="255"/>
        <v>400.90000000014,131</v>
      </c>
      <c r="Q2019" s="6" t="s">
        <v>10</v>
      </c>
      <c r="R2019" s="1">
        <v>90</v>
      </c>
      <c r="S2019" s="1">
        <v>2.5</v>
      </c>
      <c r="T2019" s="1" t="str">
        <f t="shared" si="253"/>
        <v>-text 400.90000000014,131 2.5 90 266.953</v>
      </c>
    </row>
    <row r="2020" spans="1:20" x14ac:dyDescent="0.35">
      <c r="A2020" s="1">
        <v>290920</v>
      </c>
      <c r="B2020" s="7">
        <v>1180314.8999999999</v>
      </c>
      <c r="C2020" s="2">
        <v>268.577</v>
      </c>
      <c r="D2020" s="2">
        <v>268.58999999999997</v>
      </c>
      <c r="E2020" s="2">
        <v>1.2999999999999999E-2</v>
      </c>
      <c r="F2020" s="2">
        <v>267.90499999999997</v>
      </c>
      <c r="G2020" s="2">
        <v>267.87700000000001</v>
      </c>
      <c r="H2020" s="2">
        <v>-2.8000000000000001E-2</v>
      </c>
      <c r="I2020" s="2">
        <v>267.14299999999997</v>
      </c>
      <c r="J2020" s="2">
        <v>266.80700000000002</v>
      </c>
      <c r="K2020" s="15">
        <v>1.07</v>
      </c>
      <c r="L2020" s="2">
        <v>17.956</v>
      </c>
      <c r="N2020" s="7">
        <f t="shared" si="254"/>
        <v>420.69999999995343</v>
      </c>
      <c r="O2020" s="1">
        <f t="shared" si="251"/>
        <v>131</v>
      </c>
      <c r="P2020" s="1" t="str">
        <f t="shared" si="255"/>
        <v>420.699999999953,131</v>
      </c>
      <c r="Q2020" s="6" t="s">
        <v>10</v>
      </c>
      <c r="R2020" s="1">
        <v>90</v>
      </c>
      <c r="S2020" s="1">
        <v>2.5</v>
      </c>
      <c r="T2020" s="1" t="str">
        <f t="shared" si="253"/>
        <v>-text 420.699999999953,131 2.5 90 266.807</v>
      </c>
    </row>
    <row r="2021" spans="1:20" x14ac:dyDescent="0.35">
      <c r="A2021" s="1">
        <v>290940</v>
      </c>
      <c r="B2021" s="7">
        <v>1180334.8</v>
      </c>
      <c r="C2021" s="2">
        <v>268.584</v>
      </c>
      <c r="D2021" s="2">
        <v>268.56099999999998</v>
      </c>
      <c r="E2021" s="2">
        <v>-2.4E-2</v>
      </c>
      <c r="F2021" s="2">
        <v>267.91199999999998</v>
      </c>
      <c r="G2021" s="2">
        <v>267.84800000000001</v>
      </c>
      <c r="H2021" s="2">
        <v>-6.5000000000000002E-2</v>
      </c>
      <c r="I2021" s="2">
        <v>267.02800000000002</v>
      </c>
      <c r="J2021" s="2">
        <v>266.95400000000001</v>
      </c>
      <c r="K2021" s="15">
        <v>0.89400000000000002</v>
      </c>
      <c r="L2021" s="2">
        <v>18.382999999999999</v>
      </c>
      <c r="N2021" s="7">
        <f t="shared" si="254"/>
        <v>440.60000000009313</v>
      </c>
      <c r="O2021" s="1">
        <f t="shared" si="251"/>
        <v>131</v>
      </c>
      <c r="P2021" s="1" t="str">
        <f t="shared" si="255"/>
        <v>440.600000000093,131</v>
      </c>
      <c r="Q2021" s="6" t="s">
        <v>10</v>
      </c>
      <c r="R2021" s="1">
        <v>90</v>
      </c>
      <c r="S2021" s="1">
        <v>2.5</v>
      </c>
      <c r="T2021" s="1" t="str">
        <f t="shared" si="253"/>
        <v>-text 440.600000000093,131 2.5 90 266.954</v>
      </c>
    </row>
    <row r="2022" spans="1:20" x14ac:dyDescent="0.35">
      <c r="A2022" s="1">
        <v>290960</v>
      </c>
      <c r="B2022" s="7">
        <v>1180354.6000000001</v>
      </c>
      <c r="C2022" s="2">
        <v>268.57499999999999</v>
      </c>
      <c r="D2022" s="2">
        <v>268.53199999999998</v>
      </c>
      <c r="E2022" s="2">
        <v>-4.3999999999999997E-2</v>
      </c>
      <c r="F2022" s="2">
        <v>267.90300000000002</v>
      </c>
      <c r="G2022" s="2">
        <v>267.81900000000002</v>
      </c>
      <c r="H2022" s="2">
        <v>-8.5000000000000006E-2</v>
      </c>
      <c r="I2022" s="2">
        <v>266.74400000000003</v>
      </c>
      <c r="J2022" s="2">
        <v>266.666</v>
      </c>
      <c r="K2022" s="15">
        <v>1.153</v>
      </c>
      <c r="L2022" s="2">
        <v>18.739999999999998</v>
      </c>
      <c r="N2022" s="7">
        <f t="shared" si="254"/>
        <v>460.4000000001397</v>
      </c>
      <c r="O2022" s="1">
        <f t="shared" si="251"/>
        <v>131</v>
      </c>
      <c r="P2022" s="1" t="str">
        <f t="shared" si="255"/>
        <v>460.40000000014,131</v>
      </c>
      <c r="Q2022" s="6" t="s">
        <v>10</v>
      </c>
      <c r="R2022" s="1">
        <v>90</v>
      </c>
      <c r="S2022" s="1">
        <v>2.5</v>
      </c>
      <c r="T2022" s="1" t="str">
        <f t="shared" si="253"/>
        <v>-text 460.40000000014,131 2.5 90 266.666</v>
      </c>
    </row>
    <row r="2023" spans="1:20" x14ac:dyDescent="0.35">
      <c r="A2023" s="1">
        <v>290980</v>
      </c>
      <c r="B2023" s="7">
        <v>1180374.3999999999</v>
      </c>
      <c r="C2023" s="2">
        <v>268.52600000000001</v>
      </c>
      <c r="D2023" s="2">
        <v>268.50200000000001</v>
      </c>
      <c r="E2023" s="2">
        <v>-2.4E-2</v>
      </c>
      <c r="F2023" s="2">
        <v>267.85399999999998</v>
      </c>
      <c r="G2023" s="2">
        <v>267.78899999999999</v>
      </c>
      <c r="H2023" s="2">
        <v>-6.5000000000000002E-2</v>
      </c>
      <c r="I2023" s="2">
        <v>266.78100000000001</v>
      </c>
      <c r="J2023" s="2">
        <v>266.74099999999999</v>
      </c>
      <c r="K2023" s="15">
        <v>1.048</v>
      </c>
      <c r="L2023" s="2">
        <v>18.905999999999999</v>
      </c>
      <c r="N2023" s="7">
        <f t="shared" si="254"/>
        <v>480.19999999995343</v>
      </c>
      <c r="O2023" s="1">
        <f t="shared" si="251"/>
        <v>131</v>
      </c>
      <c r="P2023" s="1" t="str">
        <f t="shared" si="255"/>
        <v>480.199999999953,131</v>
      </c>
      <c r="Q2023" s="6" t="s">
        <v>10</v>
      </c>
      <c r="R2023" s="1">
        <v>90</v>
      </c>
      <c r="S2023" s="1">
        <v>2.5</v>
      </c>
      <c r="T2023" s="1" t="str">
        <f t="shared" si="253"/>
        <v>-text 480.199999999953,131 2.5 90 266.741</v>
      </c>
    </row>
    <row r="2024" spans="1:20" x14ac:dyDescent="0.35">
      <c r="A2024" s="1">
        <v>291000</v>
      </c>
      <c r="B2024" s="7">
        <v>1180394.3</v>
      </c>
      <c r="C2024" s="2">
        <v>268.48</v>
      </c>
      <c r="D2024" s="2">
        <v>268.47300000000001</v>
      </c>
      <c r="E2024" s="2">
        <v>-8.0000000000000002E-3</v>
      </c>
      <c r="F2024" s="2">
        <v>267.80799999999999</v>
      </c>
      <c r="G2024" s="2">
        <v>267.76</v>
      </c>
      <c r="H2024" s="2">
        <v>-4.9000000000000002E-2</v>
      </c>
      <c r="I2024" s="2">
        <v>266.78899999999999</v>
      </c>
      <c r="J2024" s="2">
        <v>266.69600000000003</v>
      </c>
      <c r="K2024" s="15">
        <v>1.0629999999999999</v>
      </c>
      <c r="L2024" s="2">
        <v>18.940000000000001</v>
      </c>
      <c r="N2024" s="7">
        <f t="shared" si="254"/>
        <v>500.10000000009313</v>
      </c>
      <c r="O2024" s="1">
        <f t="shared" si="251"/>
        <v>131</v>
      </c>
      <c r="P2024" s="1" t="str">
        <f t="shared" si="255"/>
        <v>500.100000000093,131</v>
      </c>
      <c r="Q2024" s="6" t="s">
        <v>10</v>
      </c>
      <c r="R2024" s="1">
        <v>90</v>
      </c>
      <c r="S2024" s="1">
        <v>2.5</v>
      </c>
      <c r="T2024" s="1" t="str">
        <f t="shared" si="253"/>
        <v>-text 500.100000000093,131 2.5 90 266.696</v>
      </c>
    </row>
    <row r="2025" spans="1:20" x14ac:dyDescent="0.35">
      <c r="A2025" s="1">
        <v>291020</v>
      </c>
      <c r="B2025" s="7">
        <v>1180414.2</v>
      </c>
      <c r="C2025" s="2">
        <v>268.43400000000003</v>
      </c>
      <c r="D2025" s="2">
        <v>268.44299999999998</v>
      </c>
      <c r="E2025" s="2">
        <v>8.9999999999999993E-3</v>
      </c>
      <c r="F2025" s="2">
        <v>267.762</v>
      </c>
      <c r="G2025" s="2">
        <v>267.73</v>
      </c>
      <c r="H2025" s="2">
        <v>-3.2000000000000001E-2</v>
      </c>
      <c r="I2025" s="2">
        <v>266.65499999999997</v>
      </c>
      <c r="J2025" s="2">
        <v>266.61099999999999</v>
      </c>
      <c r="K2025" s="15">
        <v>1.119</v>
      </c>
      <c r="L2025" s="2">
        <v>18.895</v>
      </c>
      <c r="N2025" s="7">
        <f t="shared" si="254"/>
        <v>520</v>
      </c>
      <c r="O2025" s="1">
        <f t="shared" si="251"/>
        <v>131</v>
      </c>
      <c r="P2025" s="1" t="str">
        <f t="shared" si="255"/>
        <v>520,131</v>
      </c>
      <c r="Q2025" s="6" t="s">
        <v>10</v>
      </c>
      <c r="R2025" s="1">
        <v>90</v>
      </c>
      <c r="S2025" s="1">
        <v>2.5</v>
      </c>
      <c r="T2025" s="1" t="str">
        <f t="shared" si="253"/>
        <v>-text 520,131 2.5 90 266.611</v>
      </c>
    </row>
    <row r="2026" spans="1:20" x14ac:dyDescent="0.35">
      <c r="A2026" s="1">
        <v>291040</v>
      </c>
      <c r="B2026" s="7">
        <v>1180434.2</v>
      </c>
      <c r="C2026" s="2">
        <v>268.40800000000002</v>
      </c>
      <c r="D2026" s="2">
        <v>268.41300000000001</v>
      </c>
      <c r="E2026" s="2">
        <v>5.0000000000000001E-3</v>
      </c>
      <c r="F2026" s="2">
        <v>267.73599999999999</v>
      </c>
      <c r="G2026" s="2">
        <v>267.7</v>
      </c>
      <c r="H2026" s="2">
        <v>-3.5999999999999997E-2</v>
      </c>
      <c r="I2026" s="2">
        <v>266.46899999999999</v>
      </c>
      <c r="J2026" s="2">
        <v>266.58600000000001</v>
      </c>
      <c r="K2026" s="15">
        <v>1.115</v>
      </c>
      <c r="L2026" s="2">
        <v>18.745999999999999</v>
      </c>
      <c r="N2026" s="7">
        <f t="shared" si="254"/>
        <v>540</v>
      </c>
      <c r="O2026" s="1">
        <f t="shared" si="251"/>
        <v>131</v>
      </c>
      <c r="P2026" s="1" t="str">
        <f t="shared" si="255"/>
        <v>540,131</v>
      </c>
      <c r="Q2026" s="6" t="s">
        <v>10</v>
      </c>
      <c r="R2026" s="1">
        <v>90</v>
      </c>
      <c r="S2026" s="1">
        <v>2.5</v>
      </c>
      <c r="T2026" s="1" t="str">
        <f t="shared" si="253"/>
        <v>-text 540,131 2.5 90 266.586</v>
      </c>
    </row>
    <row r="2027" spans="1:20" x14ac:dyDescent="0.35">
      <c r="A2027" s="1">
        <v>291060</v>
      </c>
      <c r="B2027" s="7">
        <v>1180454.2</v>
      </c>
      <c r="C2027" s="2">
        <v>268.38200000000001</v>
      </c>
      <c r="D2027" s="2">
        <v>268.38400000000001</v>
      </c>
      <c r="E2027" s="2">
        <v>1E-3</v>
      </c>
      <c r="F2027" s="2">
        <v>267.70999999999998</v>
      </c>
      <c r="G2027" s="2">
        <v>267.67099999999999</v>
      </c>
      <c r="H2027" s="2">
        <v>-0.04</v>
      </c>
      <c r="I2027" s="2">
        <v>266.35000000000002</v>
      </c>
      <c r="J2027" s="2">
        <v>266.23099999999999</v>
      </c>
      <c r="K2027" s="15">
        <v>1.44</v>
      </c>
      <c r="L2027" s="2">
        <v>18.597000000000001</v>
      </c>
      <c r="N2027" s="7">
        <f t="shared" si="254"/>
        <v>560</v>
      </c>
      <c r="O2027" s="1">
        <f t="shared" si="251"/>
        <v>131</v>
      </c>
      <c r="P2027" s="1" t="str">
        <f t="shared" si="255"/>
        <v>560,131</v>
      </c>
      <c r="Q2027" s="6" t="s">
        <v>10</v>
      </c>
      <c r="R2027" s="1">
        <v>90</v>
      </c>
      <c r="S2027" s="1">
        <v>2.5</v>
      </c>
      <c r="T2027" s="1" t="str">
        <f t="shared" si="253"/>
        <v>-text 560,131 2.5 90 266.231</v>
      </c>
    </row>
    <row r="2028" spans="1:20" x14ac:dyDescent="0.35">
      <c r="A2028" s="1">
        <v>291080</v>
      </c>
      <c r="B2028" s="7">
        <v>1180474.2</v>
      </c>
      <c r="C2028" s="2">
        <v>268.36</v>
      </c>
      <c r="D2028" s="2">
        <v>268.35399999999998</v>
      </c>
      <c r="E2028" s="2">
        <v>-6.0000000000000001E-3</v>
      </c>
      <c r="F2028" s="2">
        <v>267.68799999999999</v>
      </c>
      <c r="G2028" s="2">
        <v>267.64100000000002</v>
      </c>
      <c r="H2028" s="2">
        <v>-4.7E-2</v>
      </c>
      <c r="I2028" s="2">
        <v>266.322</v>
      </c>
      <c r="J2028" s="2">
        <v>266.02699999999999</v>
      </c>
      <c r="K2028" s="15">
        <v>1.6140000000000001</v>
      </c>
      <c r="L2028" s="2">
        <v>18.420000000000002</v>
      </c>
      <c r="N2028" s="7">
        <f t="shared" si="254"/>
        <v>580</v>
      </c>
      <c r="O2028" s="1">
        <f t="shared" si="251"/>
        <v>131</v>
      </c>
      <c r="P2028" s="1" t="str">
        <f t="shared" si="255"/>
        <v>580,131</v>
      </c>
      <c r="Q2028" s="6" t="s">
        <v>10</v>
      </c>
      <c r="R2028" s="1">
        <v>90</v>
      </c>
      <c r="S2028" s="1">
        <v>2.5</v>
      </c>
      <c r="T2028" s="1" t="str">
        <f t="shared" si="253"/>
        <v>-text 580,131 2.5 90 266.027</v>
      </c>
    </row>
    <row r="2029" spans="1:20" x14ac:dyDescent="0.35">
      <c r="A2029" s="1">
        <v>291087.5745094</v>
      </c>
      <c r="B2029" s="7">
        <v>1180481.7</v>
      </c>
      <c r="C2029" s="2">
        <v>268.35300000000001</v>
      </c>
      <c r="D2029" s="2">
        <v>268.34300000000002</v>
      </c>
      <c r="E2029" s="2">
        <v>-0.01</v>
      </c>
      <c r="F2029" s="2">
        <v>267.68099999999998</v>
      </c>
      <c r="G2029" s="2">
        <v>267.63</v>
      </c>
      <c r="H2029" s="2">
        <v>-5.0999999999999997E-2</v>
      </c>
      <c r="I2029" s="2">
        <v>266.30200000000002</v>
      </c>
      <c r="J2029" s="2">
        <v>266.02100000000002</v>
      </c>
      <c r="K2029" s="15">
        <v>1.609</v>
      </c>
      <c r="L2029" s="2">
        <v>18.347999999999999</v>
      </c>
      <c r="N2029" s="7">
        <f t="shared" si="254"/>
        <v>587.5</v>
      </c>
      <c r="O2029" s="1">
        <f t="shared" si="251"/>
        <v>131</v>
      </c>
      <c r="P2029" s="1" t="str">
        <f t="shared" si="255"/>
        <v>587.5,131</v>
      </c>
      <c r="Q2029" s="6" t="s">
        <v>10</v>
      </c>
      <c r="R2029" s="1">
        <v>90</v>
      </c>
      <c r="S2029" s="1">
        <v>2.5</v>
      </c>
      <c r="T2029" s="1" t="str">
        <f t="shared" si="253"/>
        <v>-text 587.5,131 2.5 90 266.021</v>
      </c>
    </row>
    <row r="2030" spans="1:20" s="10" customFormat="1" x14ac:dyDescent="0.35">
      <c r="B2030" s="11"/>
      <c r="C2030" s="9"/>
      <c r="D2030" s="9"/>
      <c r="E2030" s="9"/>
      <c r="F2030" s="9"/>
      <c r="G2030" s="9"/>
      <c r="H2030" s="9"/>
      <c r="I2030" s="9"/>
      <c r="J2030" s="9"/>
      <c r="K2030" s="16"/>
      <c r="L2030" s="9"/>
      <c r="M2030" s="9"/>
      <c r="N2030" s="11"/>
      <c r="Q2030" s="12"/>
    </row>
    <row r="2031" spans="1:20" x14ac:dyDescent="0.35">
      <c r="A2031" s="1" t="s">
        <v>15</v>
      </c>
      <c r="B2031" s="7">
        <v>1180481.7</v>
      </c>
      <c r="C2031" s="2">
        <v>268.35300000000001</v>
      </c>
      <c r="D2031" s="2">
        <v>268.34300000000002</v>
      </c>
      <c r="E2031" s="2">
        <v>-0.01</v>
      </c>
      <c r="F2031" s="2">
        <v>267.68099999999998</v>
      </c>
      <c r="G2031" s="2">
        <v>267.63</v>
      </c>
      <c r="H2031" s="2">
        <v>-5.0999999999999997E-2</v>
      </c>
      <c r="I2031" s="2">
        <v>266.30200000000002</v>
      </c>
      <c r="J2031" s="2">
        <v>266.02100000000002</v>
      </c>
      <c r="K2031" s="15">
        <v>1.609</v>
      </c>
      <c r="L2031" s="2">
        <v>18.347999999999999</v>
      </c>
      <c r="N2031" s="7">
        <v>0</v>
      </c>
      <c r="O2031" s="1">
        <f t="shared" si="251"/>
        <v>131</v>
      </c>
      <c r="P2031" s="1" t="str">
        <f t="shared" si="255"/>
        <v>0,131</v>
      </c>
      <c r="Q2031" s="6" t="s">
        <v>10</v>
      </c>
      <c r="R2031" s="1">
        <v>90</v>
      </c>
      <c r="S2031" s="1">
        <v>2.5</v>
      </c>
      <c r="T2031" s="1" t="str">
        <f t="shared" si="253"/>
        <v>-text 0,131 2.5 90 266.021</v>
      </c>
    </row>
    <row r="2032" spans="1:20" x14ac:dyDescent="0.35">
      <c r="A2032" s="1" t="s">
        <v>16</v>
      </c>
      <c r="B2032" s="7">
        <v>1180501.7</v>
      </c>
      <c r="C2032" s="2">
        <v>268.33</v>
      </c>
      <c r="D2032" s="2">
        <v>268.31299999999999</v>
      </c>
      <c r="E2032" s="2">
        <v>-1.7000000000000001E-2</v>
      </c>
      <c r="F2032" s="2">
        <v>267.65800000000002</v>
      </c>
      <c r="G2032" s="2">
        <v>267.60000000000002</v>
      </c>
      <c r="H2032" s="2">
        <v>-5.8000000000000003E-2</v>
      </c>
      <c r="I2032" s="2">
        <v>266.33</v>
      </c>
      <c r="J2032" s="2">
        <v>266.05</v>
      </c>
      <c r="K2032" s="15">
        <v>1.55</v>
      </c>
      <c r="L2032" s="2">
        <v>18.158999999999999</v>
      </c>
      <c r="N2032" s="7">
        <f t="shared" ref="N2032:N2056" si="256">N2031+(B2032-B2031)</f>
        <v>20</v>
      </c>
      <c r="O2032" s="1">
        <f t="shared" si="251"/>
        <v>131</v>
      </c>
      <c r="P2032" s="1" t="str">
        <f t="shared" si="255"/>
        <v>20,131</v>
      </c>
      <c r="Q2032" s="6" t="s">
        <v>10</v>
      </c>
      <c r="R2032" s="1">
        <v>90</v>
      </c>
      <c r="S2032" s="1">
        <v>2.5</v>
      </c>
      <c r="T2032" s="1" t="str">
        <f t="shared" si="253"/>
        <v>-text 20,131 2.5 90 266.05</v>
      </c>
    </row>
    <row r="2033" spans="1:20" x14ac:dyDescent="0.35">
      <c r="A2033" s="1" t="s">
        <v>17</v>
      </c>
      <c r="B2033" s="7">
        <v>1180521.7</v>
      </c>
      <c r="C2033" s="2">
        <v>268.29000000000002</v>
      </c>
      <c r="D2033" s="2">
        <v>268.28399999999999</v>
      </c>
      <c r="E2033" s="2">
        <v>-6.0000000000000001E-3</v>
      </c>
      <c r="F2033" s="2">
        <v>267.61799999999999</v>
      </c>
      <c r="G2033" s="2">
        <v>267.57100000000003</v>
      </c>
      <c r="H2033" s="2">
        <v>-4.7E-2</v>
      </c>
      <c r="I2033" s="2">
        <v>266.55</v>
      </c>
      <c r="J2033" s="2">
        <v>266.32100000000003</v>
      </c>
      <c r="K2033" s="15">
        <v>1.25</v>
      </c>
      <c r="L2033" s="2">
        <v>17.97</v>
      </c>
      <c r="N2033" s="7">
        <f t="shared" si="256"/>
        <v>40</v>
      </c>
      <c r="O2033" s="1">
        <f t="shared" si="251"/>
        <v>131</v>
      </c>
      <c r="P2033" s="1" t="str">
        <f t="shared" si="255"/>
        <v>40,131</v>
      </c>
      <c r="Q2033" s="6" t="s">
        <v>10</v>
      </c>
      <c r="R2033" s="1">
        <v>90</v>
      </c>
      <c r="S2033" s="1">
        <v>2.5</v>
      </c>
      <c r="T2033" s="1" t="str">
        <f t="shared" si="253"/>
        <v>-text 40,131 2.5 90 266.321</v>
      </c>
    </row>
    <row r="2034" spans="1:20" x14ac:dyDescent="0.35">
      <c r="A2034" s="1" t="s">
        <v>18</v>
      </c>
      <c r="B2034" s="7">
        <v>1180541.7</v>
      </c>
      <c r="C2034" s="2">
        <v>268.24799999999999</v>
      </c>
      <c r="D2034" s="2">
        <v>268.25400000000002</v>
      </c>
      <c r="E2034" s="2">
        <v>5.0000000000000001E-3</v>
      </c>
      <c r="F2034" s="2">
        <v>267.57600000000002</v>
      </c>
      <c r="G2034" s="2">
        <v>267.541</v>
      </c>
      <c r="H2034" s="2">
        <v>-3.5999999999999997E-2</v>
      </c>
      <c r="I2034" s="2">
        <v>267.04500000000002</v>
      </c>
      <c r="J2034" s="2">
        <v>267.18099999999998</v>
      </c>
      <c r="K2034" s="15">
        <v>0.36</v>
      </c>
      <c r="L2034" s="2">
        <v>17.785</v>
      </c>
      <c r="N2034" s="7">
        <f t="shared" si="256"/>
        <v>60</v>
      </c>
      <c r="O2034" s="1">
        <f t="shared" si="251"/>
        <v>131</v>
      </c>
      <c r="P2034" s="1" t="str">
        <f t="shared" si="255"/>
        <v>60,131</v>
      </c>
      <c r="Q2034" s="6" t="s">
        <v>10</v>
      </c>
      <c r="R2034" s="1">
        <v>90</v>
      </c>
      <c r="S2034" s="1">
        <v>2.5</v>
      </c>
      <c r="T2034" s="1" t="str">
        <f t="shared" si="253"/>
        <v>-text 60,131 2.5 90 267.181</v>
      </c>
    </row>
    <row r="2035" spans="1:20" x14ac:dyDescent="0.35">
      <c r="A2035" s="1" t="s">
        <v>19</v>
      </c>
      <c r="B2035" s="7">
        <v>1180561.7</v>
      </c>
      <c r="C2035" s="2">
        <v>268.20499999999998</v>
      </c>
      <c r="D2035" s="2">
        <v>268.22399999999999</v>
      </c>
      <c r="E2035" s="2">
        <v>1.9E-2</v>
      </c>
      <c r="F2035" s="2">
        <v>267.53300000000002</v>
      </c>
      <c r="G2035" s="2">
        <v>267.51100000000002</v>
      </c>
      <c r="H2035" s="2">
        <v>-2.1999999999999999E-2</v>
      </c>
      <c r="I2035" s="2">
        <v>267.42599999999999</v>
      </c>
      <c r="J2035" s="2">
        <v>267.49299999999999</v>
      </c>
      <c r="K2035" s="15">
        <v>1.7999999999999999E-2</v>
      </c>
      <c r="L2035" s="2">
        <v>17.603999999999999</v>
      </c>
      <c r="N2035" s="7">
        <f t="shared" si="256"/>
        <v>80</v>
      </c>
      <c r="O2035" s="1">
        <f t="shared" si="251"/>
        <v>131</v>
      </c>
      <c r="P2035" s="1" t="str">
        <f t="shared" si="255"/>
        <v>80,131</v>
      </c>
      <c r="Q2035" s="6" t="s">
        <v>10</v>
      </c>
      <c r="R2035" s="1">
        <v>90</v>
      </c>
      <c r="S2035" s="1">
        <v>2.5</v>
      </c>
      <c r="T2035" s="1" t="str">
        <f t="shared" si="253"/>
        <v>-text 80,131 2.5 90 267.493</v>
      </c>
    </row>
    <row r="2036" spans="1:20" x14ac:dyDescent="0.35">
      <c r="A2036" s="1">
        <v>291100</v>
      </c>
      <c r="B2036" s="7">
        <v>1180581.8</v>
      </c>
      <c r="C2036" s="2">
        <v>268.16399999999999</v>
      </c>
      <c r="D2036" s="2">
        <v>268.19499999999999</v>
      </c>
      <c r="E2036" s="2">
        <v>0.03</v>
      </c>
      <c r="F2036" s="2">
        <v>267.49200000000002</v>
      </c>
      <c r="G2036" s="2">
        <v>267.48200000000003</v>
      </c>
      <c r="H2036" s="2">
        <v>-1.0999999999999999E-2</v>
      </c>
      <c r="I2036" s="2">
        <v>267.35300000000001</v>
      </c>
      <c r="J2036" s="2">
        <v>267.3</v>
      </c>
      <c r="K2036" s="15">
        <v>0.18099999999999999</v>
      </c>
      <c r="L2036" s="2">
        <v>17.428999999999998</v>
      </c>
      <c r="N2036" s="7">
        <f t="shared" si="256"/>
        <v>100.10000000009313</v>
      </c>
      <c r="O2036" s="1">
        <f t="shared" si="251"/>
        <v>131</v>
      </c>
      <c r="P2036" s="1" t="str">
        <f t="shared" si="255"/>
        <v>100.100000000093,131</v>
      </c>
      <c r="Q2036" s="6" t="s">
        <v>10</v>
      </c>
      <c r="R2036" s="1">
        <v>90</v>
      </c>
      <c r="S2036" s="1">
        <v>2.5</v>
      </c>
      <c r="T2036" s="1" t="str">
        <f t="shared" si="253"/>
        <v>-text 100.100000000093,131 2.5 90 267.3</v>
      </c>
    </row>
    <row r="2037" spans="1:20" x14ac:dyDescent="0.35">
      <c r="A2037" s="1">
        <v>291120</v>
      </c>
      <c r="B2037" s="7">
        <v>1180601.8</v>
      </c>
      <c r="C2037" s="2">
        <v>268.125</v>
      </c>
      <c r="D2037" s="2">
        <v>268.16500000000002</v>
      </c>
      <c r="E2037" s="2">
        <v>0.04</v>
      </c>
      <c r="F2037" s="2">
        <v>267.45299999999997</v>
      </c>
      <c r="G2037" s="2">
        <v>267.452</v>
      </c>
      <c r="H2037" s="2">
        <v>-1E-3</v>
      </c>
      <c r="I2037" s="2">
        <v>267.33600000000001</v>
      </c>
      <c r="J2037" s="2">
        <v>267.161</v>
      </c>
      <c r="K2037" s="15">
        <v>0.29099999999999998</v>
      </c>
      <c r="L2037" s="2">
        <v>17.257999999999999</v>
      </c>
      <c r="N2037" s="7">
        <f t="shared" si="256"/>
        <v>120.10000000009313</v>
      </c>
      <c r="O2037" s="1">
        <f t="shared" si="251"/>
        <v>131</v>
      </c>
      <c r="P2037" s="1" t="str">
        <f t="shared" si="255"/>
        <v>120.100000000093,131</v>
      </c>
      <c r="Q2037" s="6" t="s">
        <v>10</v>
      </c>
      <c r="R2037" s="1">
        <v>90</v>
      </c>
      <c r="S2037" s="1">
        <v>2.5</v>
      </c>
      <c r="T2037" s="1" t="str">
        <f t="shared" si="253"/>
        <v>-text 120.100000000093,131 2.5 90 267.161</v>
      </c>
    </row>
    <row r="2038" spans="1:20" x14ac:dyDescent="0.35">
      <c r="A2038" s="1">
        <v>291140</v>
      </c>
      <c r="B2038" s="7">
        <v>1180621.7</v>
      </c>
      <c r="C2038" s="2">
        <v>268.14400000000001</v>
      </c>
      <c r="D2038" s="2">
        <v>268.13499999999999</v>
      </c>
      <c r="E2038" s="2">
        <v>-8.9999999999999993E-3</v>
      </c>
      <c r="F2038" s="2">
        <v>267.47199999999998</v>
      </c>
      <c r="G2038" s="2">
        <v>267.42200000000003</v>
      </c>
      <c r="H2038" s="2">
        <v>-0.05</v>
      </c>
      <c r="I2038" s="2">
        <v>267.41199999999998</v>
      </c>
      <c r="J2038" s="2">
        <v>267.25700000000001</v>
      </c>
      <c r="K2038" s="15">
        <v>0.16500000000000001</v>
      </c>
      <c r="L2038" s="2">
        <v>17.07</v>
      </c>
      <c r="N2038" s="7">
        <f t="shared" si="256"/>
        <v>140</v>
      </c>
      <c r="O2038" s="1">
        <f t="shared" si="251"/>
        <v>131</v>
      </c>
      <c r="P2038" s="1" t="str">
        <f t="shared" si="255"/>
        <v>140,131</v>
      </c>
      <c r="Q2038" s="6" t="s">
        <v>10</v>
      </c>
      <c r="R2038" s="1">
        <v>90</v>
      </c>
      <c r="S2038" s="1">
        <v>2.5</v>
      </c>
      <c r="T2038" s="1" t="str">
        <f t="shared" si="253"/>
        <v>-text 140,131 2.5 90 267.257</v>
      </c>
    </row>
    <row r="2039" spans="1:20" x14ac:dyDescent="0.35">
      <c r="A2039" s="1">
        <v>291160</v>
      </c>
      <c r="B2039" s="7">
        <v>1180641.7</v>
      </c>
      <c r="C2039" s="2">
        <v>268.16899999999998</v>
      </c>
      <c r="D2039" s="2">
        <v>268.10599999999999</v>
      </c>
      <c r="E2039" s="2">
        <v>-6.3E-2</v>
      </c>
      <c r="F2039" s="2">
        <v>267.49700000000001</v>
      </c>
      <c r="G2039" s="2">
        <v>267.39299999999997</v>
      </c>
      <c r="H2039" s="2">
        <v>-0.104</v>
      </c>
      <c r="I2039" s="2">
        <v>267.32799999999997</v>
      </c>
      <c r="J2039" s="2">
        <v>267.15699999999998</v>
      </c>
      <c r="K2039" s="15">
        <v>0.23599999999999999</v>
      </c>
      <c r="L2039" s="2">
        <v>16.882000000000001</v>
      </c>
      <c r="N2039" s="7">
        <f t="shared" si="256"/>
        <v>160</v>
      </c>
      <c r="O2039" s="1">
        <f t="shared" si="251"/>
        <v>131</v>
      </c>
      <c r="P2039" s="1" t="str">
        <f t="shared" si="255"/>
        <v>160,131</v>
      </c>
      <c r="Q2039" s="6" t="s">
        <v>10</v>
      </c>
      <c r="R2039" s="1">
        <v>90</v>
      </c>
      <c r="S2039" s="1">
        <v>2.5</v>
      </c>
      <c r="T2039" s="1" t="str">
        <f t="shared" si="253"/>
        <v>-text 160,131 2.5 90 267.157</v>
      </c>
    </row>
    <row r="2040" spans="1:20" x14ac:dyDescent="0.35">
      <c r="A2040" s="1">
        <v>291180</v>
      </c>
      <c r="B2040" s="7">
        <v>1180661.7</v>
      </c>
      <c r="C2040" s="2">
        <v>268.18200000000002</v>
      </c>
      <c r="D2040" s="2">
        <v>268.08699999999999</v>
      </c>
      <c r="E2040" s="2">
        <v>-9.5000000000000001E-2</v>
      </c>
      <c r="F2040" s="2">
        <v>267.51</v>
      </c>
      <c r="G2040" s="2">
        <v>267.37400000000002</v>
      </c>
      <c r="H2040" s="2">
        <v>-0.13600000000000001</v>
      </c>
      <c r="I2040" s="2">
        <v>267.09800000000001</v>
      </c>
      <c r="J2040" s="2">
        <v>266.83699999999999</v>
      </c>
      <c r="K2040" s="15">
        <v>0.53800000000000003</v>
      </c>
      <c r="L2040" s="2">
        <v>16.695</v>
      </c>
      <c r="N2040" s="7">
        <f t="shared" si="256"/>
        <v>180</v>
      </c>
      <c r="O2040" s="1">
        <f t="shared" si="251"/>
        <v>131</v>
      </c>
      <c r="P2040" s="1" t="str">
        <f t="shared" si="255"/>
        <v>180,131</v>
      </c>
      <c r="Q2040" s="6" t="s">
        <v>10</v>
      </c>
      <c r="R2040" s="1">
        <v>90</v>
      </c>
      <c r="S2040" s="1">
        <v>2.5</v>
      </c>
      <c r="T2040" s="1" t="str">
        <f t="shared" si="253"/>
        <v>-text 180,131 2.5 90 266.837</v>
      </c>
    </row>
    <row r="2041" spans="1:20" x14ac:dyDescent="0.35">
      <c r="A2041" s="1">
        <v>291200</v>
      </c>
      <c r="B2041" s="7">
        <v>1180681.7</v>
      </c>
      <c r="C2041" s="2">
        <v>268.202</v>
      </c>
      <c r="D2041" s="2">
        <v>268.12400000000002</v>
      </c>
      <c r="E2041" s="2">
        <v>-7.8E-2</v>
      </c>
      <c r="F2041" s="2">
        <v>267.52999999999997</v>
      </c>
      <c r="G2041" s="2">
        <v>267.411</v>
      </c>
      <c r="H2041" s="2">
        <v>-0.11899999999999999</v>
      </c>
      <c r="I2041" s="2">
        <v>267.05200000000002</v>
      </c>
      <c r="J2041" s="2">
        <v>266.53800000000001</v>
      </c>
      <c r="K2041" s="15">
        <v>0.874</v>
      </c>
      <c r="L2041" s="2">
        <v>16.507999999999999</v>
      </c>
      <c r="N2041" s="7">
        <f t="shared" si="256"/>
        <v>200</v>
      </c>
      <c r="O2041" s="1">
        <f t="shared" si="251"/>
        <v>131</v>
      </c>
      <c r="P2041" s="1" t="str">
        <f t="shared" si="255"/>
        <v>200,131</v>
      </c>
      <c r="Q2041" s="6" t="s">
        <v>10</v>
      </c>
      <c r="R2041" s="1">
        <v>90</v>
      </c>
      <c r="S2041" s="1">
        <v>2.5</v>
      </c>
      <c r="T2041" s="1" t="str">
        <f t="shared" si="253"/>
        <v>-text 200,131 2.5 90 266.538</v>
      </c>
    </row>
    <row r="2042" spans="1:20" x14ac:dyDescent="0.35">
      <c r="A2042" s="1">
        <v>291220</v>
      </c>
      <c r="B2042" s="7">
        <v>1180701.7</v>
      </c>
      <c r="C2042" s="2">
        <v>268.17700000000002</v>
      </c>
      <c r="D2042" s="2">
        <v>268.161</v>
      </c>
      <c r="E2042" s="2">
        <v>-1.6E-2</v>
      </c>
      <c r="F2042" s="2">
        <v>267.505</v>
      </c>
      <c r="G2042" s="2">
        <v>267.44799999999998</v>
      </c>
      <c r="H2042" s="2">
        <v>-5.7000000000000002E-2</v>
      </c>
      <c r="I2042" s="2">
        <v>266.66199999999998</v>
      </c>
      <c r="J2042" s="2">
        <v>266.44600000000003</v>
      </c>
      <c r="K2042" s="15">
        <v>1.002</v>
      </c>
      <c r="L2042" s="2">
        <v>16.318000000000001</v>
      </c>
      <c r="N2042" s="7">
        <f t="shared" si="256"/>
        <v>220</v>
      </c>
      <c r="O2042" s="1">
        <f t="shared" si="251"/>
        <v>131</v>
      </c>
      <c r="P2042" s="1" t="str">
        <f t="shared" si="255"/>
        <v>220,131</v>
      </c>
      <c r="Q2042" s="6" t="s">
        <v>10</v>
      </c>
      <c r="R2042" s="1">
        <v>90</v>
      </c>
      <c r="S2042" s="1">
        <v>2.5</v>
      </c>
      <c r="T2042" s="1" t="str">
        <f t="shared" si="253"/>
        <v>-text 220,131 2.5 90 266.446</v>
      </c>
    </row>
    <row r="2043" spans="1:20" x14ac:dyDescent="0.35">
      <c r="A2043" s="1">
        <v>291240</v>
      </c>
      <c r="B2043" s="7">
        <v>1180721.7</v>
      </c>
      <c r="C2043" s="2">
        <v>268.17700000000002</v>
      </c>
      <c r="D2043" s="2">
        <v>268.197</v>
      </c>
      <c r="E2043" s="2">
        <v>0.02</v>
      </c>
      <c r="F2043" s="2">
        <v>267.505</v>
      </c>
      <c r="G2043" s="2">
        <v>267.48399999999998</v>
      </c>
      <c r="H2043" s="2">
        <v>-2.1000000000000001E-2</v>
      </c>
      <c r="I2043" s="2">
        <v>266.49900000000002</v>
      </c>
      <c r="J2043" s="2">
        <v>266.012</v>
      </c>
      <c r="K2043" s="15">
        <v>1.4730000000000001</v>
      </c>
      <c r="L2043" s="2">
        <v>16.123999999999999</v>
      </c>
      <c r="N2043" s="7">
        <f t="shared" si="256"/>
        <v>240</v>
      </c>
      <c r="O2043" s="1">
        <f t="shared" si="251"/>
        <v>131</v>
      </c>
      <c r="P2043" s="1" t="str">
        <f t="shared" si="255"/>
        <v>240,131</v>
      </c>
      <c r="Q2043" s="6" t="s">
        <v>10</v>
      </c>
      <c r="R2043" s="1">
        <v>90</v>
      </c>
      <c r="S2043" s="1">
        <v>2.5</v>
      </c>
      <c r="T2043" s="1" t="str">
        <f t="shared" si="253"/>
        <v>-text 240,131 2.5 90 266.012</v>
      </c>
    </row>
    <row r="2044" spans="1:20" x14ac:dyDescent="0.35">
      <c r="A2044" s="1">
        <v>291260</v>
      </c>
      <c r="B2044" s="7">
        <v>1180741.7</v>
      </c>
      <c r="C2044" s="2">
        <v>268.214</v>
      </c>
      <c r="D2044" s="2">
        <v>268.23399999999998</v>
      </c>
      <c r="E2044" s="2">
        <v>0.02</v>
      </c>
      <c r="F2044" s="2">
        <v>267.54199999999997</v>
      </c>
      <c r="G2044" s="2">
        <v>267.52100000000002</v>
      </c>
      <c r="H2044" s="2">
        <v>-2.1000000000000001E-2</v>
      </c>
      <c r="I2044" s="2">
        <v>266.791</v>
      </c>
      <c r="J2044" s="2">
        <v>266.25299999999999</v>
      </c>
      <c r="K2044" s="15">
        <v>1.268</v>
      </c>
      <c r="L2044" s="2">
        <v>15.920999999999999</v>
      </c>
      <c r="N2044" s="7">
        <f t="shared" si="256"/>
        <v>260</v>
      </c>
      <c r="O2044" s="1">
        <f t="shared" si="251"/>
        <v>131</v>
      </c>
      <c r="P2044" s="1" t="str">
        <f t="shared" si="255"/>
        <v>260,131</v>
      </c>
      <c r="Q2044" s="6" t="s">
        <v>10</v>
      </c>
      <c r="R2044" s="1">
        <v>90</v>
      </c>
      <c r="S2044" s="1">
        <v>2.5</v>
      </c>
      <c r="T2044" s="1" t="str">
        <f t="shared" si="253"/>
        <v>-text 260,131 2.5 90 266.253</v>
      </c>
    </row>
    <row r="2045" spans="1:20" x14ac:dyDescent="0.35">
      <c r="A2045" s="1">
        <v>291280</v>
      </c>
      <c r="B2045" s="7">
        <v>1180761.8</v>
      </c>
      <c r="C2045" s="2">
        <v>268.202</v>
      </c>
      <c r="D2045" s="2">
        <v>268.27100000000002</v>
      </c>
      <c r="E2045" s="2">
        <v>6.9000000000000006E-2</v>
      </c>
      <c r="F2045" s="2">
        <v>267.52999999999997</v>
      </c>
      <c r="G2045" s="2">
        <v>267.55799999999999</v>
      </c>
      <c r="H2045" s="2">
        <v>2.8000000000000001E-2</v>
      </c>
      <c r="I2045" s="2">
        <v>266.84300000000002</v>
      </c>
      <c r="J2045" s="2">
        <v>266.298</v>
      </c>
      <c r="K2045" s="15">
        <v>1.26</v>
      </c>
      <c r="L2045" s="2">
        <v>15.728</v>
      </c>
      <c r="N2045" s="7">
        <f t="shared" si="256"/>
        <v>280.10000000009313</v>
      </c>
      <c r="O2045" s="1">
        <f t="shared" si="251"/>
        <v>131</v>
      </c>
      <c r="P2045" s="1" t="str">
        <f t="shared" si="255"/>
        <v>280.100000000093,131</v>
      </c>
      <c r="Q2045" s="6" t="s">
        <v>10</v>
      </c>
      <c r="R2045" s="1">
        <v>90</v>
      </c>
      <c r="S2045" s="1">
        <v>2.5</v>
      </c>
      <c r="T2045" s="1" t="str">
        <f t="shared" si="253"/>
        <v>-text 280.100000000093,131 2.5 90 266.298</v>
      </c>
    </row>
    <row r="2046" spans="1:20" x14ac:dyDescent="0.35">
      <c r="A2046" s="1">
        <v>291300</v>
      </c>
      <c r="B2046" s="7">
        <v>1180781.8</v>
      </c>
      <c r="C2046" s="2">
        <v>268.20999999999998</v>
      </c>
      <c r="D2046" s="2">
        <v>268.30700000000002</v>
      </c>
      <c r="E2046" s="2">
        <v>9.8000000000000004E-2</v>
      </c>
      <c r="F2046" s="2">
        <v>267.53800000000001</v>
      </c>
      <c r="G2046" s="2">
        <v>267.59399999999999</v>
      </c>
      <c r="H2046" s="2">
        <v>5.7000000000000002E-2</v>
      </c>
      <c r="I2046" s="2">
        <v>266.92500000000001</v>
      </c>
      <c r="J2046" s="2">
        <v>266.49200000000002</v>
      </c>
      <c r="K2046" s="15">
        <v>1.1020000000000001</v>
      </c>
      <c r="L2046" s="2">
        <v>15.541</v>
      </c>
      <c r="N2046" s="7">
        <f t="shared" si="256"/>
        <v>300.10000000009313</v>
      </c>
      <c r="O2046" s="1">
        <f t="shared" si="251"/>
        <v>131</v>
      </c>
      <c r="P2046" s="1" t="str">
        <f t="shared" si="255"/>
        <v>300.100000000093,131</v>
      </c>
      <c r="Q2046" s="6" t="s">
        <v>10</v>
      </c>
      <c r="R2046" s="1">
        <v>90</v>
      </c>
      <c r="S2046" s="1">
        <v>2.5</v>
      </c>
      <c r="T2046" s="1" t="str">
        <f t="shared" si="253"/>
        <v>-text 300.100000000093,131 2.5 90 266.492</v>
      </c>
    </row>
    <row r="2047" spans="1:20" x14ac:dyDescent="0.35">
      <c r="A2047" s="1">
        <v>291320</v>
      </c>
      <c r="B2047" s="7">
        <v>1180801.7</v>
      </c>
      <c r="C2047" s="2">
        <v>268.22199999999998</v>
      </c>
      <c r="D2047" s="2">
        <v>268.37299999999999</v>
      </c>
      <c r="E2047" s="2">
        <v>0.151</v>
      </c>
      <c r="F2047" s="2">
        <v>267.55</v>
      </c>
      <c r="G2047" s="2">
        <v>267.66000000000003</v>
      </c>
      <c r="H2047" s="2">
        <v>0.11</v>
      </c>
      <c r="I2047" s="2">
        <v>266.90600000000001</v>
      </c>
      <c r="J2047" s="2">
        <v>266.28100000000001</v>
      </c>
      <c r="K2047" s="15">
        <v>1.379</v>
      </c>
      <c r="L2047" s="2">
        <v>15.348000000000001</v>
      </c>
      <c r="N2047" s="7">
        <f t="shared" si="256"/>
        <v>320</v>
      </c>
      <c r="O2047" s="1">
        <f t="shared" si="251"/>
        <v>131</v>
      </c>
      <c r="P2047" s="1" t="str">
        <f t="shared" si="255"/>
        <v>320,131</v>
      </c>
      <c r="Q2047" s="6" t="s">
        <v>10</v>
      </c>
      <c r="R2047" s="1">
        <v>90</v>
      </c>
      <c r="S2047" s="1">
        <v>2.5</v>
      </c>
      <c r="T2047" s="1" t="str">
        <f t="shared" si="253"/>
        <v>-text 320,131 2.5 90 266.281</v>
      </c>
    </row>
    <row r="2048" spans="1:20" x14ac:dyDescent="0.35">
      <c r="A2048" s="1">
        <v>291340</v>
      </c>
      <c r="B2048" s="7">
        <v>1180821.8</v>
      </c>
      <c r="C2048" s="2">
        <v>268.245</v>
      </c>
      <c r="D2048" s="2">
        <v>268.464</v>
      </c>
      <c r="E2048" s="2">
        <v>0.219</v>
      </c>
      <c r="F2048" s="2">
        <v>267.57299999999998</v>
      </c>
      <c r="G2048" s="2">
        <v>267.75099999999998</v>
      </c>
      <c r="H2048" s="2">
        <v>0.17799999999999999</v>
      </c>
      <c r="I2048" s="2">
        <v>266.84300000000002</v>
      </c>
      <c r="J2048" s="2">
        <v>266.20499999999998</v>
      </c>
      <c r="K2048" s="15">
        <v>1.546</v>
      </c>
      <c r="L2048" s="2">
        <v>15.135999999999999</v>
      </c>
      <c r="N2048" s="7">
        <f t="shared" si="256"/>
        <v>340.10000000009313</v>
      </c>
      <c r="O2048" s="1">
        <f t="shared" si="251"/>
        <v>131</v>
      </c>
      <c r="P2048" s="1" t="str">
        <f t="shared" si="255"/>
        <v>340.100000000093,131</v>
      </c>
      <c r="Q2048" s="6" t="s">
        <v>10</v>
      </c>
      <c r="R2048" s="1">
        <v>90</v>
      </c>
      <c r="S2048" s="1">
        <v>2.5</v>
      </c>
      <c r="T2048" s="1" t="str">
        <f t="shared" si="253"/>
        <v>-text 340.100000000093,131 2.5 90 266.205</v>
      </c>
    </row>
    <row r="2049" spans="1:20" x14ac:dyDescent="0.35">
      <c r="A2049" s="1">
        <v>291360</v>
      </c>
      <c r="B2049" s="7">
        <v>1180841.8</v>
      </c>
      <c r="C2049" s="2">
        <v>268.267</v>
      </c>
      <c r="D2049" s="2">
        <v>268.55500000000001</v>
      </c>
      <c r="E2049" s="2">
        <v>0.28899999999999998</v>
      </c>
      <c r="F2049" s="2">
        <v>267.59500000000003</v>
      </c>
      <c r="G2049" s="2">
        <v>267.84199999999998</v>
      </c>
      <c r="H2049" s="2">
        <v>0.248</v>
      </c>
      <c r="I2049" s="2">
        <v>266.78199999999998</v>
      </c>
      <c r="J2049" s="2">
        <v>265.96699999999998</v>
      </c>
      <c r="K2049" s="15">
        <v>1.8759999999999999</v>
      </c>
      <c r="L2049" s="2">
        <v>14.936</v>
      </c>
      <c r="N2049" s="7">
        <f t="shared" si="256"/>
        <v>360.10000000009313</v>
      </c>
      <c r="O2049" s="1">
        <f t="shared" si="251"/>
        <v>131</v>
      </c>
      <c r="P2049" s="1" t="str">
        <f t="shared" si="255"/>
        <v>360.100000000093,131</v>
      </c>
      <c r="Q2049" s="6" t="s">
        <v>10</v>
      </c>
      <c r="R2049" s="1">
        <v>90</v>
      </c>
      <c r="S2049" s="1">
        <v>2.5</v>
      </c>
      <c r="T2049" s="1" t="str">
        <f t="shared" si="253"/>
        <v>-text 360.100000000093,131 2.5 90 265.967</v>
      </c>
    </row>
    <row r="2050" spans="1:20" x14ac:dyDescent="0.35">
      <c r="A2050" s="1">
        <v>291380</v>
      </c>
      <c r="B2050" s="7">
        <v>1180861.8</v>
      </c>
      <c r="C2050" s="2">
        <v>268.28800000000001</v>
      </c>
      <c r="D2050" s="2">
        <v>268.64699999999999</v>
      </c>
      <c r="E2050" s="2">
        <v>0.35799999999999998</v>
      </c>
      <c r="F2050" s="2">
        <v>267.61599999999999</v>
      </c>
      <c r="G2050" s="2">
        <v>267.93400000000003</v>
      </c>
      <c r="H2050" s="2">
        <v>0.317</v>
      </c>
      <c r="I2050" s="2">
        <v>266.80700000000002</v>
      </c>
      <c r="J2050" s="2">
        <v>265.87099999999998</v>
      </c>
      <c r="K2050" s="15">
        <v>2.0630000000000002</v>
      </c>
      <c r="L2050" s="2">
        <v>14.763</v>
      </c>
      <c r="N2050" s="7">
        <f t="shared" si="256"/>
        <v>380.10000000009313</v>
      </c>
      <c r="O2050" s="1">
        <f t="shared" si="251"/>
        <v>131</v>
      </c>
      <c r="P2050" s="1" t="str">
        <f t="shared" si="255"/>
        <v>380.100000000093,131</v>
      </c>
      <c r="Q2050" s="6" t="s">
        <v>10</v>
      </c>
      <c r="R2050" s="1">
        <v>90</v>
      </c>
      <c r="S2050" s="1">
        <v>2.5</v>
      </c>
      <c r="T2050" s="1" t="str">
        <f t="shared" si="253"/>
        <v>-text 380.100000000093,131 2.5 90 265.871</v>
      </c>
    </row>
    <row r="2051" spans="1:20" x14ac:dyDescent="0.35">
      <c r="A2051" s="1">
        <v>291400</v>
      </c>
      <c r="B2051" s="7">
        <v>1180881.8</v>
      </c>
      <c r="C2051" s="2">
        <v>268.30399999999997</v>
      </c>
      <c r="D2051" s="2">
        <v>268.738</v>
      </c>
      <c r="E2051" s="2">
        <v>0.434</v>
      </c>
      <c r="F2051" s="2">
        <v>267.63200000000001</v>
      </c>
      <c r="G2051" s="2">
        <v>268.02499999999998</v>
      </c>
      <c r="H2051" s="2">
        <v>0.39300000000000002</v>
      </c>
      <c r="I2051" s="2">
        <v>266.77499999999998</v>
      </c>
      <c r="J2051" s="2">
        <v>265.91199999999998</v>
      </c>
      <c r="K2051" s="15">
        <v>2.113</v>
      </c>
      <c r="L2051" s="2">
        <v>14.590999999999999</v>
      </c>
      <c r="N2051" s="7">
        <f t="shared" si="256"/>
        <v>400.10000000009313</v>
      </c>
      <c r="O2051" s="1">
        <f t="shared" si="251"/>
        <v>131</v>
      </c>
      <c r="P2051" s="1" t="str">
        <f t="shared" si="255"/>
        <v>400.100000000093,131</v>
      </c>
      <c r="Q2051" s="6" t="s">
        <v>10</v>
      </c>
      <c r="R2051" s="1">
        <v>90</v>
      </c>
      <c r="S2051" s="1">
        <v>2.5</v>
      </c>
      <c r="T2051" s="1" t="str">
        <f t="shared" si="253"/>
        <v>-text 400.100000000093,131 2.5 90 265.912</v>
      </c>
    </row>
    <row r="2052" spans="1:20" x14ac:dyDescent="0.35">
      <c r="A2052" s="1">
        <v>291420</v>
      </c>
      <c r="B2052" s="7">
        <v>1180901.8</v>
      </c>
      <c r="C2052" s="2">
        <v>268.30900000000003</v>
      </c>
      <c r="D2052" s="2">
        <v>268.82900000000001</v>
      </c>
      <c r="E2052" s="2">
        <v>0.52</v>
      </c>
      <c r="F2052" s="2">
        <v>267.637</v>
      </c>
      <c r="G2052" s="2">
        <v>268.11599999999999</v>
      </c>
      <c r="H2052" s="2">
        <v>0.47899999999999998</v>
      </c>
      <c r="I2052" s="2">
        <v>266.85300000000001</v>
      </c>
      <c r="J2052" s="2">
        <v>264.91800000000001</v>
      </c>
      <c r="K2052" s="15">
        <v>3.1970000000000001</v>
      </c>
      <c r="L2052" s="2">
        <v>14.417999999999999</v>
      </c>
      <c r="N2052" s="7">
        <f t="shared" si="256"/>
        <v>420.10000000009313</v>
      </c>
      <c r="O2052" s="1">
        <f t="shared" si="251"/>
        <v>131</v>
      </c>
      <c r="P2052" s="1" t="str">
        <f t="shared" si="255"/>
        <v>420.100000000093,131</v>
      </c>
      <c r="Q2052" s="6" t="s">
        <v>10</v>
      </c>
      <c r="R2052" s="1">
        <v>90</v>
      </c>
      <c r="S2052" s="1">
        <v>2.5</v>
      </c>
      <c r="T2052" s="1" t="str">
        <f t="shared" si="253"/>
        <v>-text 420.100000000093,131 2.5 90 264.918</v>
      </c>
    </row>
    <row r="2053" spans="1:20" x14ac:dyDescent="0.35">
      <c r="A2053" s="1">
        <v>291440</v>
      </c>
      <c r="B2053" s="7">
        <v>1180921.8</v>
      </c>
      <c r="C2053" s="2">
        <v>268.31099999999998</v>
      </c>
      <c r="D2053" s="2">
        <v>268.92</v>
      </c>
      <c r="E2053" s="2">
        <v>0.60899999999999999</v>
      </c>
      <c r="F2053" s="2">
        <v>267.63900000000001</v>
      </c>
      <c r="G2053" s="2">
        <v>268.20699999999999</v>
      </c>
      <c r="H2053" s="2">
        <v>0.56799999999999995</v>
      </c>
      <c r="I2053" s="2">
        <v>266.495</v>
      </c>
      <c r="J2053" s="2">
        <v>265.798</v>
      </c>
      <c r="K2053" s="15">
        <v>2.4089999999999998</v>
      </c>
      <c r="L2053" s="2">
        <v>14.243</v>
      </c>
      <c r="N2053" s="7">
        <f t="shared" si="256"/>
        <v>440.10000000009313</v>
      </c>
      <c r="O2053" s="1">
        <f t="shared" si="251"/>
        <v>131</v>
      </c>
      <c r="P2053" s="1" t="str">
        <f t="shared" si="255"/>
        <v>440.100000000093,131</v>
      </c>
      <c r="Q2053" s="6" t="s">
        <v>10</v>
      </c>
      <c r="R2053" s="1">
        <v>90</v>
      </c>
      <c r="S2053" s="1">
        <v>2.5</v>
      </c>
      <c r="T2053" s="1" t="str">
        <f t="shared" si="253"/>
        <v>-text 440.100000000093,131 2.5 90 265.798</v>
      </c>
    </row>
    <row r="2054" spans="1:20" x14ac:dyDescent="0.35">
      <c r="A2054" s="1">
        <v>291460</v>
      </c>
      <c r="B2054" s="7">
        <v>1180941.8</v>
      </c>
      <c r="C2054" s="2">
        <v>268.31</v>
      </c>
      <c r="D2054" s="2">
        <v>269.01100000000002</v>
      </c>
      <c r="E2054" s="2">
        <v>0.70099999999999996</v>
      </c>
      <c r="F2054" s="2">
        <v>267.63799999999998</v>
      </c>
      <c r="G2054" s="2">
        <v>268.298</v>
      </c>
      <c r="H2054" s="2">
        <v>0.66</v>
      </c>
      <c r="I2054" s="2">
        <v>266.85899999999998</v>
      </c>
      <c r="J2054" s="2">
        <v>266.863</v>
      </c>
      <c r="K2054" s="15">
        <v>1.4350000000000001</v>
      </c>
      <c r="L2054" s="2">
        <v>14.064</v>
      </c>
      <c r="N2054" s="7">
        <f t="shared" si="256"/>
        <v>460.10000000009313</v>
      </c>
      <c r="O2054" s="1">
        <f t="shared" si="251"/>
        <v>131</v>
      </c>
      <c r="P2054" s="1" t="str">
        <f t="shared" si="255"/>
        <v>460.100000000093,131</v>
      </c>
      <c r="Q2054" s="6" t="s">
        <v>10</v>
      </c>
      <c r="R2054" s="1">
        <v>90</v>
      </c>
      <c r="S2054" s="1">
        <v>2.5</v>
      </c>
      <c r="T2054" s="1" t="str">
        <f t="shared" si="253"/>
        <v>-text 460.100000000093,131 2.5 90 266.863</v>
      </c>
    </row>
    <row r="2055" spans="1:20" x14ac:dyDescent="0.35">
      <c r="A2055" s="1">
        <v>291480</v>
      </c>
      <c r="B2055" s="7">
        <v>1180961.8</v>
      </c>
      <c r="C2055" s="2">
        <v>268.31</v>
      </c>
      <c r="D2055" s="2">
        <v>269.10199999999998</v>
      </c>
      <c r="E2055" s="2">
        <v>0.79200000000000004</v>
      </c>
      <c r="F2055" s="2">
        <v>267.63799999999998</v>
      </c>
      <c r="G2055" s="2">
        <v>268.38900000000001</v>
      </c>
      <c r="H2055" s="2">
        <v>0.751</v>
      </c>
      <c r="I2055" s="2">
        <v>266.62900000000002</v>
      </c>
      <c r="J2055" s="2">
        <v>265.66699999999997</v>
      </c>
      <c r="K2055" s="15">
        <v>2.722</v>
      </c>
      <c r="L2055" s="2">
        <v>13.885</v>
      </c>
      <c r="N2055" s="7">
        <f t="shared" si="256"/>
        <v>480.10000000009313</v>
      </c>
      <c r="O2055" s="1">
        <f t="shared" si="251"/>
        <v>131</v>
      </c>
      <c r="P2055" s="1" t="str">
        <f t="shared" si="255"/>
        <v>480.100000000093,131</v>
      </c>
      <c r="Q2055" s="6" t="s">
        <v>10</v>
      </c>
      <c r="R2055" s="1">
        <v>90</v>
      </c>
      <c r="S2055" s="1">
        <v>2.5</v>
      </c>
      <c r="T2055" s="1" t="str">
        <f t="shared" si="253"/>
        <v>-text 480.100000000093,131 2.5 90 265.667</v>
      </c>
    </row>
    <row r="2056" spans="1:20" x14ac:dyDescent="0.35">
      <c r="A2056" s="1">
        <v>291500</v>
      </c>
      <c r="B2056" s="7">
        <v>1180981.8</v>
      </c>
      <c r="C2056" s="2">
        <v>268.32</v>
      </c>
      <c r="D2056" s="2">
        <v>269.19299999999998</v>
      </c>
      <c r="E2056" s="2">
        <v>0.873</v>
      </c>
      <c r="F2056" s="2">
        <v>267.64800000000002</v>
      </c>
      <c r="G2056" s="2">
        <v>268.48</v>
      </c>
      <c r="H2056" s="2">
        <v>0.83199999999999996</v>
      </c>
      <c r="I2056" s="2">
        <v>267.00400000000002</v>
      </c>
      <c r="J2056" s="2">
        <v>265.40800000000002</v>
      </c>
      <c r="K2056" s="15">
        <v>3.073</v>
      </c>
      <c r="L2056" s="2">
        <v>13.707000000000001</v>
      </c>
      <c r="N2056" s="7">
        <f t="shared" si="256"/>
        <v>500.10000000009313</v>
      </c>
      <c r="O2056" s="1">
        <f t="shared" si="251"/>
        <v>131</v>
      </c>
      <c r="P2056" s="1" t="str">
        <f t="shared" si="255"/>
        <v>500.100000000093,131</v>
      </c>
      <c r="Q2056" s="6" t="s">
        <v>10</v>
      </c>
      <c r="R2056" s="1">
        <v>90</v>
      </c>
      <c r="S2056" s="1">
        <v>2.5</v>
      </c>
      <c r="T2056" s="1" t="str">
        <f t="shared" si="253"/>
        <v>-text 500.100000000093,131 2.5 90 265.408</v>
      </c>
    </row>
    <row r="2057" spans="1:20" s="10" customFormat="1" x14ac:dyDescent="0.35">
      <c r="B2057" s="11"/>
      <c r="C2057" s="9"/>
      <c r="D2057" s="9"/>
      <c r="E2057" s="9"/>
      <c r="F2057" s="9"/>
      <c r="G2057" s="9"/>
      <c r="H2057" s="9"/>
      <c r="I2057" s="9"/>
      <c r="J2057" s="9"/>
      <c r="K2057" s="16"/>
      <c r="L2057" s="9"/>
      <c r="M2057" s="9"/>
      <c r="N2057" s="11"/>
      <c r="Q2057" s="12"/>
    </row>
    <row r="2058" spans="1:20" x14ac:dyDescent="0.35">
      <c r="A2058" s="1">
        <v>291500</v>
      </c>
      <c r="B2058" s="7">
        <v>1180981.8</v>
      </c>
      <c r="C2058" s="2">
        <v>268.32</v>
      </c>
      <c r="D2058" s="2">
        <v>269.19299999999998</v>
      </c>
      <c r="E2058" s="2">
        <v>0.873</v>
      </c>
      <c r="F2058" s="2">
        <v>267.64800000000002</v>
      </c>
      <c r="G2058" s="2">
        <v>268.48</v>
      </c>
      <c r="H2058" s="2">
        <v>0.83199999999999996</v>
      </c>
      <c r="I2058" s="2">
        <v>267.00400000000002</v>
      </c>
      <c r="J2058" s="2">
        <v>265.40800000000002</v>
      </c>
      <c r="K2058" s="15">
        <v>3.073</v>
      </c>
      <c r="L2058" s="2">
        <v>13.707000000000001</v>
      </c>
      <c r="N2058" s="7">
        <v>0</v>
      </c>
      <c r="O2058" s="1">
        <f t="shared" si="251"/>
        <v>131</v>
      </c>
      <c r="P2058" s="1" t="str">
        <f t="shared" si="255"/>
        <v>0,131</v>
      </c>
      <c r="Q2058" s="6" t="s">
        <v>10</v>
      </c>
      <c r="R2058" s="1">
        <v>90</v>
      </c>
      <c r="S2058" s="1">
        <v>2.5</v>
      </c>
      <c r="T2058" s="1" t="str">
        <f t="shared" si="253"/>
        <v>-text 0,131 2.5 90 265.408</v>
      </c>
    </row>
    <row r="2059" spans="1:20" x14ac:dyDescent="0.35">
      <c r="A2059" s="1">
        <v>291520</v>
      </c>
      <c r="B2059" s="7">
        <v>1181001.8</v>
      </c>
      <c r="C2059" s="2">
        <v>268.32100000000003</v>
      </c>
      <c r="D2059" s="2">
        <v>269.28399999999999</v>
      </c>
      <c r="E2059" s="2">
        <v>0.96299999999999997</v>
      </c>
      <c r="F2059" s="2">
        <v>267.649</v>
      </c>
      <c r="G2059" s="2">
        <v>268.57100000000003</v>
      </c>
      <c r="H2059" s="2">
        <v>0.92200000000000004</v>
      </c>
      <c r="I2059" s="2">
        <v>267.142</v>
      </c>
      <c r="J2059" s="2">
        <v>265.565</v>
      </c>
      <c r="K2059" s="15">
        <v>3.0059999999999998</v>
      </c>
      <c r="L2059" s="2">
        <v>13.525</v>
      </c>
      <c r="N2059" s="7">
        <f t="shared" ref="N2059:N2084" si="257">N2058+(B2059-B2058)</f>
        <v>20</v>
      </c>
      <c r="O2059" s="1">
        <f t="shared" si="251"/>
        <v>131</v>
      </c>
      <c r="P2059" s="1" t="str">
        <f t="shared" si="255"/>
        <v>20,131</v>
      </c>
      <c r="Q2059" s="6" t="s">
        <v>10</v>
      </c>
      <c r="R2059" s="1">
        <v>90</v>
      </c>
      <c r="S2059" s="1">
        <v>2.5</v>
      </c>
      <c r="T2059" s="1" t="str">
        <f t="shared" si="253"/>
        <v>-text 20,131 2.5 90 265.565</v>
      </c>
    </row>
    <row r="2060" spans="1:20" x14ac:dyDescent="0.35">
      <c r="A2060" s="1">
        <v>291540</v>
      </c>
      <c r="B2060" s="7">
        <v>1181021.8</v>
      </c>
      <c r="C2060" s="2">
        <v>268.291</v>
      </c>
      <c r="D2060" s="2">
        <v>269.375</v>
      </c>
      <c r="E2060" s="2">
        <v>1.0840000000000001</v>
      </c>
      <c r="F2060" s="2">
        <v>267.61900000000003</v>
      </c>
      <c r="G2060" s="2">
        <v>268.66199999999998</v>
      </c>
      <c r="H2060" s="2">
        <v>1.0429999999999999</v>
      </c>
      <c r="I2060" s="2">
        <v>267.197</v>
      </c>
      <c r="J2060" s="2">
        <v>265.43200000000002</v>
      </c>
      <c r="K2060" s="15">
        <v>3.2309999999999999</v>
      </c>
      <c r="L2060" s="2">
        <v>13.329000000000001</v>
      </c>
      <c r="N2060" s="7">
        <f t="shared" si="257"/>
        <v>40</v>
      </c>
      <c r="O2060" s="1">
        <f t="shared" si="251"/>
        <v>131</v>
      </c>
      <c r="P2060" s="1" t="str">
        <f t="shared" si="255"/>
        <v>40,131</v>
      </c>
      <c r="Q2060" s="6" t="s">
        <v>10</v>
      </c>
      <c r="R2060" s="1">
        <v>90</v>
      </c>
      <c r="S2060" s="1">
        <v>2.5</v>
      </c>
      <c r="T2060" s="1" t="str">
        <f t="shared" si="253"/>
        <v>-text 40,131 2.5 90 265.432</v>
      </c>
    </row>
    <row r="2061" spans="1:20" x14ac:dyDescent="0.35">
      <c r="A2061" s="1">
        <v>291560</v>
      </c>
      <c r="B2061" s="7">
        <v>1181041.8</v>
      </c>
      <c r="C2061" s="2">
        <v>268.267</v>
      </c>
      <c r="D2061" s="2">
        <v>269.46699999999998</v>
      </c>
      <c r="E2061" s="2">
        <v>1.2</v>
      </c>
      <c r="F2061" s="2">
        <v>267.59500000000003</v>
      </c>
      <c r="G2061" s="2">
        <v>268.75400000000002</v>
      </c>
      <c r="H2061" s="2">
        <v>1.159</v>
      </c>
      <c r="I2061" s="2">
        <v>267.21499999999997</v>
      </c>
      <c r="J2061" s="2">
        <v>265.50400000000002</v>
      </c>
      <c r="K2061" s="15">
        <v>3.2490000000000001</v>
      </c>
      <c r="L2061" s="2">
        <v>13.14</v>
      </c>
      <c r="N2061" s="7">
        <f t="shared" si="257"/>
        <v>60</v>
      </c>
      <c r="O2061" s="1">
        <f t="shared" si="251"/>
        <v>131</v>
      </c>
      <c r="P2061" s="1" t="str">
        <f t="shared" si="255"/>
        <v>60,131</v>
      </c>
      <c r="Q2061" s="6" t="s">
        <v>10</v>
      </c>
      <c r="R2061" s="1">
        <v>90</v>
      </c>
      <c r="S2061" s="1">
        <v>2.5</v>
      </c>
      <c r="T2061" s="1" t="str">
        <f t="shared" si="253"/>
        <v>-text 60,131 2.5 90 265.504</v>
      </c>
    </row>
    <row r="2062" spans="1:20" x14ac:dyDescent="0.35">
      <c r="A2062" s="1">
        <v>291580</v>
      </c>
      <c r="B2062" s="7">
        <v>1181061.8</v>
      </c>
      <c r="C2062" s="2">
        <v>268.26</v>
      </c>
      <c r="D2062" s="2">
        <v>269.55799999999999</v>
      </c>
      <c r="E2062" s="2">
        <v>1.298</v>
      </c>
      <c r="F2062" s="2">
        <v>267.58800000000002</v>
      </c>
      <c r="G2062" s="2">
        <v>268.84500000000003</v>
      </c>
      <c r="H2062" s="2">
        <v>1.2569999999999999</v>
      </c>
      <c r="I2062" s="2">
        <v>267.26799999999997</v>
      </c>
      <c r="J2062" s="2">
        <v>265.548</v>
      </c>
      <c r="K2062" s="15">
        <v>3.2970000000000002</v>
      </c>
      <c r="L2062" s="2">
        <v>12.965</v>
      </c>
      <c r="N2062" s="7">
        <f t="shared" si="257"/>
        <v>80</v>
      </c>
      <c r="O2062" s="1">
        <f t="shared" si="251"/>
        <v>131</v>
      </c>
      <c r="P2062" s="1" t="str">
        <f t="shared" si="255"/>
        <v>80,131</v>
      </c>
      <c r="Q2062" s="6" t="s">
        <v>10</v>
      </c>
      <c r="R2062" s="1">
        <v>90</v>
      </c>
      <c r="S2062" s="1">
        <v>2.5</v>
      </c>
      <c r="T2062" s="1" t="str">
        <f t="shared" si="253"/>
        <v>-text 80,131 2.5 90 265.548</v>
      </c>
    </row>
    <row r="2063" spans="1:20" x14ac:dyDescent="0.35">
      <c r="A2063" s="1">
        <v>291600</v>
      </c>
      <c r="B2063" s="7">
        <v>1181081.8</v>
      </c>
      <c r="C2063" s="2">
        <v>268.24200000000002</v>
      </c>
      <c r="D2063" s="2">
        <v>269.649</v>
      </c>
      <c r="E2063" s="2">
        <v>1.407</v>
      </c>
      <c r="F2063" s="2">
        <v>267.57</v>
      </c>
      <c r="G2063" s="2">
        <v>268.93599999999998</v>
      </c>
      <c r="H2063" s="2">
        <v>1.3660000000000001</v>
      </c>
      <c r="I2063" s="2">
        <v>267.36</v>
      </c>
      <c r="J2063" s="2">
        <v>265.56200000000001</v>
      </c>
      <c r="K2063" s="15">
        <v>3.3740000000000001</v>
      </c>
      <c r="L2063" s="2">
        <v>12.787000000000001</v>
      </c>
      <c r="N2063" s="7">
        <f t="shared" si="257"/>
        <v>100</v>
      </c>
      <c r="O2063" s="1">
        <f t="shared" si="251"/>
        <v>131</v>
      </c>
      <c r="P2063" s="1" t="str">
        <f t="shared" si="255"/>
        <v>100,131</v>
      </c>
      <c r="Q2063" s="6" t="s">
        <v>10</v>
      </c>
      <c r="R2063" s="1">
        <v>90</v>
      </c>
      <c r="S2063" s="1">
        <v>2.5</v>
      </c>
      <c r="T2063" s="1" t="str">
        <f t="shared" si="253"/>
        <v>-text 100,131 2.5 90 265.562</v>
      </c>
    </row>
    <row r="2064" spans="1:20" x14ac:dyDescent="0.35">
      <c r="A2064" s="1">
        <v>291620</v>
      </c>
      <c r="B2064" s="7">
        <v>1181101.8</v>
      </c>
      <c r="C2064" s="2">
        <v>268.19799999999998</v>
      </c>
      <c r="D2064" s="2">
        <v>269.74</v>
      </c>
      <c r="E2064" s="2">
        <v>1.542</v>
      </c>
      <c r="F2064" s="2">
        <v>267.52600000000001</v>
      </c>
      <c r="G2064" s="2">
        <v>269.02699999999999</v>
      </c>
      <c r="H2064" s="2">
        <v>1.5009999999999999</v>
      </c>
      <c r="I2064" s="2">
        <v>267.36399999999998</v>
      </c>
      <c r="J2064" s="2">
        <v>265.7</v>
      </c>
      <c r="K2064" s="15">
        <v>3.327</v>
      </c>
      <c r="L2064" s="2">
        <v>12.601000000000001</v>
      </c>
      <c r="N2064" s="7">
        <f t="shared" si="257"/>
        <v>120</v>
      </c>
      <c r="O2064" s="1">
        <f t="shared" si="251"/>
        <v>131</v>
      </c>
      <c r="P2064" s="1" t="str">
        <f t="shared" si="255"/>
        <v>120,131</v>
      </c>
      <c r="Q2064" s="6" t="s">
        <v>10</v>
      </c>
      <c r="R2064" s="1">
        <v>90</v>
      </c>
      <c r="S2064" s="1">
        <v>2.5</v>
      </c>
      <c r="T2064" s="1" t="str">
        <f t="shared" si="253"/>
        <v>-text 120,131 2.5 90 265.7</v>
      </c>
    </row>
    <row r="2065" spans="1:20" x14ac:dyDescent="0.35">
      <c r="A2065" s="1">
        <v>291640</v>
      </c>
      <c r="B2065" s="7">
        <v>1181121.8</v>
      </c>
      <c r="C2065" s="2">
        <v>268.16500000000002</v>
      </c>
      <c r="D2065" s="2">
        <v>269.83100000000002</v>
      </c>
      <c r="E2065" s="2">
        <v>1.6659999999999999</v>
      </c>
      <c r="F2065" s="2">
        <v>267.49299999999999</v>
      </c>
      <c r="G2065" s="2">
        <v>269.11799999999999</v>
      </c>
      <c r="H2065" s="2">
        <v>1.625</v>
      </c>
      <c r="I2065" s="2">
        <v>267.31900000000002</v>
      </c>
      <c r="J2065" s="2">
        <v>265.77199999999999</v>
      </c>
      <c r="K2065" s="15">
        <v>3.3460000000000001</v>
      </c>
      <c r="L2065" s="2">
        <v>12.412000000000001</v>
      </c>
      <c r="N2065" s="7">
        <f t="shared" si="257"/>
        <v>140</v>
      </c>
      <c r="O2065" s="1">
        <f t="shared" ref="O2065:O2131" si="258">19+16+16+16+16+16+16+16</f>
        <v>131</v>
      </c>
      <c r="P2065" s="1" t="str">
        <f t="shared" si="255"/>
        <v>140,131</v>
      </c>
      <c r="Q2065" s="6" t="s">
        <v>10</v>
      </c>
      <c r="R2065" s="1">
        <v>90</v>
      </c>
      <c r="S2065" s="1">
        <v>2.5</v>
      </c>
      <c r="T2065" s="1" t="str">
        <f t="shared" ref="T2065:T2131" si="259">$Q2065&amp;" "&amp;$P2065&amp;" "&amp;$S2065&amp;" "&amp;$R2065&amp;" "&amp;$J2065</f>
        <v>-text 140,131 2.5 90 265.772</v>
      </c>
    </row>
    <row r="2066" spans="1:20" x14ac:dyDescent="0.35">
      <c r="A2066" s="1">
        <v>291660</v>
      </c>
      <c r="B2066" s="7">
        <v>1181141.8</v>
      </c>
      <c r="C2066" s="2">
        <v>268.15600000000001</v>
      </c>
      <c r="D2066" s="2">
        <v>269.92200000000003</v>
      </c>
      <c r="E2066" s="2">
        <v>1.766</v>
      </c>
      <c r="F2066" s="2">
        <v>267.48399999999998</v>
      </c>
      <c r="G2066" s="2">
        <v>269.209</v>
      </c>
      <c r="H2066" s="2">
        <v>1.7250000000000001</v>
      </c>
      <c r="I2066" s="2">
        <v>267.31900000000002</v>
      </c>
      <c r="J2066" s="2">
        <v>265.87799999999999</v>
      </c>
      <c r="K2066" s="15">
        <v>3.3319999999999999</v>
      </c>
      <c r="L2066" s="2">
        <v>12.22</v>
      </c>
      <c r="N2066" s="7">
        <f t="shared" si="257"/>
        <v>160</v>
      </c>
      <c r="O2066" s="1">
        <f t="shared" si="258"/>
        <v>131</v>
      </c>
      <c r="P2066" s="1" t="str">
        <f t="shared" si="255"/>
        <v>160,131</v>
      </c>
      <c r="Q2066" s="6" t="s">
        <v>10</v>
      </c>
      <c r="R2066" s="1">
        <v>90</v>
      </c>
      <c r="S2066" s="1">
        <v>2.5</v>
      </c>
      <c r="T2066" s="1" t="str">
        <f t="shared" si="259"/>
        <v>-text 160,131 2.5 90 265.878</v>
      </c>
    </row>
    <row r="2067" spans="1:20" x14ac:dyDescent="0.35">
      <c r="A2067" s="1">
        <v>291680</v>
      </c>
      <c r="B2067" s="7">
        <v>1181161.8</v>
      </c>
      <c r="C2067" s="2">
        <v>268.15300000000002</v>
      </c>
      <c r="D2067" s="2">
        <v>270.01299999999998</v>
      </c>
      <c r="E2067" s="2">
        <v>1.86</v>
      </c>
      <c r="F2067" s="2">
        <v>267.48099999999999</v>
      </c>
      <c r="G2067" s="2">
        <v>269.3</v>
      </c>
      <c r="H2067" s="2">
        <v>1.819</v>
      </c>
      <c r="I2067" s="2">
        <v>267.33699999999999</v>
      </c>
      <c r="J2067" s="2">
        <v>265.94900000000001</v>
      </c>
      <c r="K2067" s="15">
        <v>3.3519999999999999</v>
      </c>
      <c r="L2067" s="2">
        <v>12.036</v>
      </c>
      <c r="N2067" s="7">
        <f t="shared" si="257"/>
        <v>180</v>
      </c>
      <c r="O2067" s="1">
        <f t="shared" si="258"/>
        <v>131</v>
      </c>
      <c r="P2067" s="1" t="str">
        <f t="shared" ref="P2067:P2133" si="260">CONCATENATE(N2067,",",O2067)</f>
        <v>180,131</v>
      </c>
      <c r="Q2067" s="6" t="s">
        <v>10</v>
      </c>
      <c r="R2067" s="1">
        <v>90</v>
      </c>
      <c r="S2067" s="1">
        <v>2.5</v>
      </c>
      <c r="T2067" s="1" t="str">
        <f t="shared" si="259"/>
        <v>-text 180,131 2.5 90 265.949</v>
      </c>
    </row>
    <row r="2068" spans="1:20" x14ac:dyDescent="0.35">
      <c r="A2068" s="1">
        <v>291700</v>
      </c>
      <c r="B2068" s="7">
        <v>1181181.8</v>
      </c>
      <c r="C2068" s="2">
        <v>268.16500000000002</v>
      </c>
      <c r="D2068" s="2">
        <v>270.10500000000002</v>
      </c>
      <c r="E2068" s="2">
        <v>1.94</v>
      </c>
      <c r="F2068" s="2">
        <v>267.49299999999999</v>
      </c>
      <c r="G2068" s="2">
        <v>269.392</v>
      </c>
      <c r="H2068" s="2">
        <v>1.899</v>
      </c>
      <c r="I2068" s="2">
        <v>267.37200000000001</v>
      </c>
      <c r="J2068" s="2">
        <v>265.93</v>
      </c>
      <c r="K2068" s="15">
        <v>3.4609999999999999</v>
      </c>
      <c r="L2068" s="2">
        <v>11.871</v>
      </c>
      <c r="N2068" s="7">
        <f t="shared" si="257"/>
        <v>200</v>
      </c>
      <c r="O2068" s="1">
        <f t="shared" si="258"/>
        <v>131</v>
      </c>
      <c r="P2068" s="1" t="str">
        <f t="shared" si="260"/>
        <v>200,131</v>
      </c>
      <c r="Q2068" s="6" t="s">
        <v>10</v>
      </c>
      <c r="R2068" s="1">
        <v>90</v>
      </c>
      <c r="S2068" s="1">
        <v>2.5</v>
      </c>
      <c r="T2068" s="1" t="str">
        <f t="shared" si="259"/>
        <v>-text 200,131 2.5 90 265.93</v>
      </c>
    </row>
    <row r="2069" spans="1:20" x14ac:dyDescent="0.35">
      <c r="A2069" s="1">
        <v>291720</v>
      </c>
      <c r="B2069" s="7">
        <v>1181201.8</v>
      </c>
      <c r="C2069" s="2">
        <v>268.17399999999998</v>
      </c>
      <c r="D2069" s="2">
        <v>270.19600000000003</v>
      </c>
      <c r="E2069" s="2">
        <v>2.0219999999999998</v>
      </c>
      <c r="F2069" s="2">
        <v>267.50200000000001</v>
      </c>
      <c r="G2069" s="2">
        <v>269.483</v>
      </c>
      <c r="H2069" s="2">
        <v>1.9810000000000001</v>
      </c>
      <c r="I2069" s="2">
        <v>267.40199999999999</v>
      </c>
      <c r="J2069" s="2">
        <v>265.892</v>
      </c>
      <c r="K2069" s="15">
        <v>3.5910000000000002</v>
      </c>
      <c r="L2069" s="2">
        <v>11.708</v>
      </c>
      <c r="N2069" s="7">
        <f t="shared" si="257"/>
        <v>220</v>
      </c>
      <c r="O2069" s="1">
        <f t="shared" si="258"/>
        <v>131</v>
      </c>
      <c r="P2069" s="1" t="str">
        <f t="shared" si="260"/>
        <v>220,131</v>
      </c>
      <c r="Q2069" s="6" t="s">
        <v>10</v>
      </c>
      <c r="R2069" s="1">
        <v>90</v>
      </c>
      <c r="S2069" s="1">
        <v>2.5</v>
      </c>
      <c r="T2069" s="1" t="str">
        <f t="shared" si="259"/>
        <v>-text 220,131 2.5 90 265.892</v>
      </c>
    </row>
    <row r="2070" spans="1:20" x14ac:dyDescent="0.35">
      <c r="A2070" s="1">
        <v>291740</v>
      </c>
      <c r="B2070" s="7">
        <v>1181221.8</v>
      </c>
      <c r="C2070" s="2">
        <v>268.17599999999999</v>
      </c>
      <c r="D2070" s="2">
        <v>270.28699999999998</v>
      </c>
      <c r="E2070" s="2">
        <v>2.1110000000000002</v>
      </c>
      <c r="F2070" s="2">
        <v>267.50400000000002</v>
      </c>
      <c r="G2070" s="2">
        <v>269.57400000000001</v>
      </c>
      <c r="H2070" s="2">
        <v>2.0699999999999998</v>
      </c>
      <c r="I2070" s="2">
        <v>266.76400000000001</v>
      </c>
      <c r="J2070" s="2">
        <v>265.298</v>
      </c>
      <c r="K2070" s="15">
        <v>4.2759999999999998</v>
      </c>
      <c r="L2070" s="2">
        <v>11.571999999999999</v>
      </c>
      <c r="N2070" s="7">
        <f t="shared" si="257"/>
        <v>240</v>
      </c>
      <c r="O2070" s="1">
        <f t="shared" si="258"/>
        <v>131</v>
      </c>
      <c r="P2070" s="1" t="str">
        <f t="shared" si="260"/>
        <v>240,131</v>
      </c>
      <c r="Q2070" s="6" t="s">
        <v>10</v>
      </c>
      <c r="R2070" s="1">
        <v>90</v>
      </c>
      <c r="S2070" s="1">
        <v>2.5</v>
      </c>
      <c r="T2070" s="1" t="str">
        <f t="shared" si="259"/>
        <v>-text 240,131 2.5 90 265.298</v>
      </c>
    </row>
    <row r="2071" spans="1:20" x14ac:dyDescent="0.35">
      <c r="A2071" s="1">
        <v>291760</v>
      </c>
      <c r="B2071" s="7">
        <v>1181241.8</v>
      </c>
      <c r="C2071" s="2">
        <v>268.21300000000002</v>
      </c>
      <c r="D2071" s="2">
        <v>270.37799999999999</v>
      </c>
      <c r="E2071" s="2">
        <v>2.165</v>
      </c>
      <c r="F2071" s="2">
        <v>267.541</v>
      </c>
      <c r="G2071" s="2">
        <v>269.66500000000002</v>
      </c>
      <c r="H2071" s="2">
        <v>2.1240000000000001</v>
      </c>
      <c r="I2071" s="2">
        <v>266.62700000000001</v>
      </c>
      <c r="J2071" s="2">
        <v>265.495</v>
      </c>
      <c r="K2071" s="15">
        <v>4.17</v>
      </c>
      <c r="L2071" s="2">
        <v>11.492000000000001</v>
      </c>
      <c r="N2071" s="7">
        <f t="shared" si="257"/>
        <v>260</v>
      </c>
      <c r="O2071" s="1">
        <f t="shared" si="258"/>
        <v>131</v>
      </c>
      <c r="P2071" s="1" t="str">
        <f t="shared" si="260"/>
        <v>260,131</v>
      </c>
      <c r="Q2071" s="6" t="s">
        <v>10</v>
      </c>
      <c r="R2071" s="1">
        <v>90</v>
      </c>
      <c r="S2071" s="1">
        <v>2.5</v>
      </c>
      <c r="T2071" s="1" t="str">
        <f t="shared" si="259"/>
        <v>-text 260,131 2.5 90 265.495</v>
      </c>
    </row>
    <row r="2072" spans="1:20" x14ac:dyDescent="0.35">
      <c r="A2072" s="1">
        <v>291780</v>
      </c>
      <c r="B2072" s="7">
        <v>1181261.8</v>
      </c>
      <c r="C2072" s="2">
        <v>268.30599999999998</v>
      </c>
      <c r="D2072" s="2">
        <v>270.46899999999999</v>
      </c>
      <c r="E2072" s="2">
        <v>2.1629999999999998</v>
      </c>
      <c r="F2072" s="2">
        <v>267.63400000000001</v>
      </c>
      <c r="G2072" s="2">
        <v>269.75599999999997</v>
      </c>
      <c r="H2072" s="2">
        <v>2.1219999999999999</v>
      </c>
      <c r="I2072" s="2">
        <v>267.58100000000002</v>
      </c>
      <c r="J2072" s="2">
        <v>265.72899999999998</v>
      </c>
      <c r="K2072" s="15">
        <v>4.0270000000000001</v>
      </c>
      <c r="L2072" s="2">
        <v>11.468</v>
      </c>
      <c r="N2072" s="7">
        <f t="shared" si="257"/>
        <v>280</v>
      </c>
      <c r="O2072" s="1">
        <f t="shared" si="258"/>
        <v>131</v>
      </c>
      <c r="P2072" s="1" t="str">
        <f t="shared" si="260"/>
        <v>280,131</v>
      </c>
      <c r="Q2072" s="6" t="s">
        <v>10</v>
      </c>
      <c r="R2072" s="1">
        <v>90</v>
      </c>
      <c r="S2072" s="1">
        <v>2.5</v>
      </c>
      <c r="T2072" s="1" t="str">
        <f t="shared" si="259"/>
        <v>-text 280,131 2.5 90 265.729</v>
      </c>
    </row>
    <row r="2073" spans="1:20" x14ac:dyDescent="0.35">
      <c r="A2073" s="1">
        <v>291800</v>
      </c>
      <c r="B2073" s="7">
        <v>1181281.8</v>
      </c>
      <c r="C2073" s="2">
        <v>268.39299999999997</v>
      </c>
      <c r="D2073" s="2">
        <v>270.56</v>
      </c>
      <c r="E2073" s="2">
        <v>2.1669999999999998</v>
      </c>
      <c r="F2073" s="2">
        <v>267.721</v>
      </c>
      <c r="G2073" s="2">
        <v>269.84699999999998</v>
      </c>
      <c r="H2073" s="2">
        <v>2.1259999999999999</v>
      </c>
      <c r="I2073" s="2">
        <v>267.65800000000002</v>
      </c>
      <c r="J2073" s="2">
        <v>265.95100000000002</v>
      </c>
      <c r="K2073" s="15">
        <v>3.8959999999999999</v>
      </c>
      <c r="L2073" s="2">
        <v>11.481999999999999</v>
      </c>
      <c r="N2073" s="7">
        <f t="shared" si="257"/>
        <v>300</v>
      </c>
      <c r="O2073" s="1">
        <f t="shared" si="258"/>
        <v>131</v>
      </c>
      <c r="P2073" s="1" t="str">
        <f t="shared" si="260"/>
        <v>300,131</v>
      </c>
      <c r="Q2073" s="6" t="s">
        <v>10</v>
      </c>
      <c r="R2073" s="1">
        <v>90</v>
      </c>
      <c r="S2073" s="1">
        <v>2.5</v>
      </c>
      <c r="T2073" s="1" t="str">
        <f t="shared" si="259"/>
        <v>-text 300,131 2.5 90 265.951</v>
      </c>
    </row>
    <row r="2074" spans="1:20" x14ac:dyDescent="0.35">
      <c r="A2074" s="1">
        <v>291820</v>
      </c>
      <c r="B2074" s="7">
        <v>1181301.8</v>
      </c>
      <c r="C2074" s="2">
        <v>268.44299999999998</v>
      </c>
      <c r="D2074" s="2">
        <v>270.62700000000001</v>
      </c>
      <c r="E2074" s="2">
        <v>2.1840000000000002</v>
      </c>
      <c r="F2074" s="2">
        <v>267.77100000000002</v>
      </c>
      <c r="G2074" s="2">
        <v>269.91399999999999</v>
      </c>
      <c r="H2074" s="2">
        <v>2.1429999999999998</v>
      </c>
      <c r="I2074" s="2">
        <v>267.67099999999999</v>
      </c>
      <c r="J2074" s="2">
        <v>266.32100000000003</v>
      </c>
      <c r="K2074" s="15">
        <v>3.593</v>
      </c>
      <c r="L2074" s="2">
        <v>11.500999999999999</v>
      </c>
      <c r="N2074" s="7">
        <f t="shared" si="257"/>
        <v>320</v>
      </c>
      <c r="O2074" s="1">
        <f t="shared" si="258"/>
        <v>131</v>
      </c>
      <c r="P2074" s="1" t="str">
        <f t="shared" si="260"/>
        <v>320,131</v>
      </c>
      <c r="Q2074" s="6" t="s">
        <v>10</v>
      </c>
      <c r="R2074" s="1">
        <v>90</v>
      </c>
      <c r="S2074" s="1">
        <v>2.5</v>
      </c>
      <c r="T2074" s="1" t="str">
        <f t="shared" si="259"/>
        <v>-text 320,131 2.5 90 266.321</v>
      </c>
    </row>
    <row r="2075" spans="1:20" x14ac:dyDescent="0.35">
      <c r="A2075" s="1">
        <v>291840</v>
      </c>
      <c r="B2075" s="7">
        <v>1181321.8</v>
      </c>
      <c r="C2075" s="2">
        <v>268.435</v>
      </c>
      <c r="D2075" s="2">
        <v>270.62700000000001</v>
      </c>
      <c r="E2075" s="2">
        <v>2.1920000000000002</v>
      </c>
      <c r="F2075" s="2">
        <v>267.76299999999998</v>
      </c>
      <c r="G2075" s="2">
        <v>269.91399999999999</v>
      </c>
      <c r="H2075" s="2">
        <v>2.1509999999999998</v>
      </c>
      <c r="I2075" s="2">
        <v>267.68900000000002</v>
      </c>
      <c r="J2075" s="2">
        <v>266.39</v>
      </c>
      <c r="K2075" s="15">
        <v>3.524</v>
      </c>
      <c r="L2075" s="2">
        <v>11.523</v>
      </c>
      <c r="N2075" s="7">
        <f t="shared" si="257"/>
        <v>340</v>
      </c>
      <c r="O2075" s="1">
        <f t="shared" si="258"/>
        <v>131</v>
      </c>
      <c r="P2075" s="1" t="str">
        <f t="shared" si="260"/>
        <v>340,131</v>
      </c>
      <c r="Q2075" s="6" t="s">
        <v>10</v>
      </c>
      <c r="R2075" s="1">
        <v>90</v>
      </c>
      <c r="S2075" s="1">
        <v>2.5</v>
      </c>
      <c r="T2075" s="1" t="str">
        <f t="shared" si="259"/>
        <v>-text 340,131 2.5 90 266.39</v>
      </c>
    </row>
    <row r="2076" spans="1:20" x14ac:dyDescent="0.35">
      <c r="A2076" s="1">
        <v>291860</v>
      </c>
      <c r="B2076" s="7">
        <v>1181341.8</v>
      </c>
      <c r="C2076" s="2">
        <v>268.43799999999999</v>
      </c>
      <c r="D2076" s="2">
        <v>270.62700000000001</v>
      </c>
      <c r="E2076" s="2">
        <v>2.1890000000000001</v>
      </c>
      <c r="F2076" s="2">
        <v>267.76600000000002</v>
      </c>
      <c r="G2076" s="2">
        <v>269.91399999999999</v>
      </c>
      <c r="H2076" s="2">
        <v>2.1480000000000001</v>
      </c>
      <c r="I2076" s="2">
        <v>267.80399999999997</v>
      </c>
      <c r="J2076" s="2">
        <v>266.572</v>
      </c>
      <c r="K2076" s="15">
        <v>3.3420000000000001</v>
      </c>
      <c r="L2076" s="2">
        <v>11.55</v>
      </c>
      <c r="N2076" s="7">
        <f t="shared" si="257"/>
        <v>360</v>
      </c>
      <c r="O2076" s="1">
        <f t="shared" si="258"/>
        <v>131</v>
      </c>
      <c r="P2076" s="1" t="str">
        <f t="shared" si="260"/>
        <v>360,131</v>
      </c>
      <c r="Q2076" s="6" t="s">
        <v>10</v>
      </c>
      <c r="R2076" s="1">
        <v>90</v>
      </c>
      <c r="S2076" s="1">
        <v>2.5</v>
      </c>
      <c r="T2076" s="1" t="str">
        <f t="shared" si="259"/>
        <v>-text 360,131 2.5 90 266.572</v>
      </c>
    </row>
    <row r="2077" spans="1:20" x14ac:dyDescent="0.35">
      <c r="A2077" s="1">
        <v>291880</v>
      </c>
      <c r="B2077" s="7">
        <v>1181361.8</v>
      </c>
      <c r="C2077" s="2">
        <v>268.43799999999999</v>
      </c>
      <c r="D2077" s="2">
        <v>270.62700000000001</v>
      </c>
      <c r="E2077" s="2">
        <v>2.1890000000000001</v>
      </c>
      <c r="F2077" s="2">
        <v>267.76600000000002</v>
      </c>
      <c r="G2077" s="2">
        <v>269.91399999999999</v>
      </c>
      <c r="H2077" s="2">
        <v>2.1480000000000001</v>
      </c>
      <c r="I2077" s="2">
        <v>267.89699999999999</v>
      </c>
      <c r="J2077" s="2">
        <v>266.80700000000002</v>
      </c>
      <c r="K2077" s="15">
        <v>3.1070000000000002</v>
      </c>
      <c r="L2077" s="2">
        <v>11.573</v>
      </c>
      <c r="N2077" s="7">
        <f t="shared" si="257"/>
        <v>380</v>
      </c>
      <c r="O2077" s="1">
        <f t="shared" si="258"/>
        <v>131</v>
      </c>
      <c r="P2077" s="1" t="str">
        <f t="shared" si="260"/>
        <v>380,131</v>
      </c>
      <c r="Q2077" s="6" t="s">
        <v>10</v>
      </c>
      <c r="R2077" s="1">
        <v>90</v>
      </c>
      <c r="S2077" s="1">
        <v>2.5</v>
      </c>
      <c r="T2077" s="1" t="str">
        <f t="shared" si="259"/>
        <v>-text 380,131 2.5 90 266.807</v>
      </c>
    </row>
    <row r="2078" spans="1:20" x14ac:dyDescent="0.35">
      <c r="A2078" s="1">
        <v>291900</v>
      </c>
      <c r="B2078" s="7">
        <v>1181381.8</v>
      </c>
      <c r="C2078" s="2">
        <v>268.42500000000001</v>
      </c>
      <c r="D2078" s="2">
        <v>270.62700000000001</v>
      </c>
      <c r="E2078" s="2">
        <v>2.202</v>
      </c>
      <c r="F2078" s="2">
        <v>267.75299999999999</v>
      </c>
      <c r="G2078" s="2">
        <v>269.91399999999999</v>
      </c>
      <c r="H2078" s="2">
        <v>2.161</v>
      </c>
      <c r="I2078" s="2">
        <v>267.911</v>
      </c>
      <c r="J2078" s="2">
        <v>267.26100000000002</v>
      </c>
      <c r="K2078" s="15">
        <v>2.653</v>
      </c>
      <c r="L2078" s="2">
        <v>11.587999999999999</v>
      </c>
      <c r="N2078" s="7">
        <f t="shared" si="257"/>
        <v>400</v>
      </c>
      <c r="O2078" s="1">
        <f t="shared" si="258"/>
        <v>131</v>
      </c>
      <c r="P2078" s="1" t="str">
        <f t="shared" si="260"/>
        <v>400,131</v>
      </c>
      <c r="Q2078" s="6" t="s">
        <v>10</v>
      </c>
      <c r="R2078" s="1">
        <v>90</v>
      </c>
      <c r="S2078" s="1">
        <v>2.5</v>
      </c>
      <c r="T2078" s="1" t="str">
        <f t="shared" si="259"/>
        <v>-text 400,131 2.5 90 267.261</v>
      </c>
    </row>
    <row r="2079" spans="1:20" x14ac:dyDescent="0.35">
      <c r="A2079" s="1">
        <v>291920</v>
      </c>
      <c r="B2079" s="7">
        <v>1181401.8</v>
      </c>
      <c r="C2079" s="2">
        <v>268.42200000000003</v>
      </c>
      <c r="D2079" s="2">
        <v>270.62700000000001</v>
      </c>
      <c r="E2079" s="2">
        <v>2.2050000000000001</v>
      </c>
      <c r="F2079" s="2">
        <v>267.75</v>
      </c>
      <c r="G2079" s="2">
        <v>269.91399999999999</v>
      </c>
      <c r="H2079" s="2">
        <v>2.1640000000000001</v>
      </c>
      <c r="I2079" s="2">
        <v>267.94</v>
      </c>
      <c r="J2079" s="2">
        <v>267.59699999999998</v>
      </c>
      <c r="K2079" s="15">
        <v>2.3170000000000002</v>
      </c>
      <c r="L2079" s="2">
        <v>11.603999999999999</v>
      </c>
      <c r="N2079" s="7">
        <f t="shared" si="257"/>
        <v>420</v>
      </c>
      <c r="O2079" s="1">
        <f t="shared" si="258"/>
        <v>131</v>
      </c>
      <c r="P2079" s="1" t="str">
        <f t="shared" si="260"/>
        <v>420,131</v>
      </c>
      <c r="Q2079" s="6" t="s">
        <v>10</v>
      </c>
      <c r="R2079" s="1">
        <v>90</v>
      </c>
      <c r="S2079" s="1">
        <v>2.5</v>
      </c>
      <c r="T2079" s="1" t="str">
        <f t="shared" si="259"/>
        <v>-text 420,131 2.5 90 267.597</v>
      </c>
    </row>
    <row r="2080" spans="1:20" x14ac:dyDescent="0.35">
      <c r="A2080" s="1">
        <v>291940</v>
      </c>
      <c r="B2080" s="7">
        <v>1181421.8</v>
      </c>
      <c r="C2080" s="2">
        <v>268.43599999999998</v>
      </c>
      <c r="D2080" s="2">
        <v>270.62700000000001</v>
      </c>
      <c r="E2080" s="2">
        <v>2.1909999999999998</v>
      </c>
      <c r="F2080" s="2">
        <v>267.76400000000001</v>
      </c>
      <c r="G2080" s="2">
        <v>269.91399999999999</v>
      </c>
      <c r="H2080" s="2">
        <v>2.15</v>
      </c>
      <c r="I2080" s="2">
        <v>267.99099999999999</v>
      </c>
      <c r="J2080" s="2">
        <v>267.471</v>
      </c>
      <c r="K2080" s="15">
        <v>2.4430000000000001</v>
      </c>
      <c r="L2080" s="2">
        <v>11.625</v>
      </c>
      <c r="N2080" s="7">
        <f t="shared" si="257"/>
        <v>440</v>
      </c>
      <c r="O2080" s="1">
        <f t="shared" si="258"/>
        <v>131</v>
      </c>
      <c r="P2080" s="1" t="str">
        <f t="shared" si="260"/>
        <v>440,131</v>
      </c>
      <c r="Q2080" s="6" t="s">
        <v>10</v>
      </c>
      <c r="R2080" s="1">
        <v>90</v>
      </c>
      <c r="S2080" s="1">
        <v>2.5</v>
      </c>
      <c r="T2080" s="1" t="str">
        <f t="shared" si="259"/>
        <v>-text 440,131 2.5 90 267.471</v>
      </c>
    </row>
    <row r="2081" spans="1:20" x14ac:dyDescent="0.35">
      <c r="A2081" s="1">
        <v>291960</v>
      </c>
      <c r="B2081" s="7">
        <v>1181441.8</v>
      </c>
      <c r="C2081" s="2">
        <v>268.44499999999999</v>
      </c>
      <c r="D2081" s="2">
        <v>270.62700000000001</v>
      </c>
      <c r="E2081" s="2">
        <v>2.1819999999999999</v>
      </c>
      <c r="F2081" s="2">
        <v>267.77300000000002</v>
      </c>
      <c r="G2081" s="2">
        <v>269.91399999999999</v>
      </c>
      <c r="H2081" s="2">
        <v>2.141</v>
      </c>
      <c r="I2081" s="2">
        <v>267.93599999999998</v>
      </c>
      <c r="J2081" s="2">
        <v>267.49700000000001</v>
      </c>
      <c r="K2081" s="15">
        <v>2.4169999999999998</v>
      </c>
      <c r="L2081" s="2">
        <v>11.646000000000001</v>
      </c>
      <c r="N2081" s="7">
        <f t="shared" si="257"/>
        <v>460</v>
      </c>
      <c r="O2081" s="1">
        <f t="shared" si="258"/>
        <v>131</v>
      </c>
      <c r="P2081" s="1" t="str">
        <f t="shared" si="260"/>
        <v>460,131</v>
      </c>
      <c r="Q2081" s="6" t="s">
        <v>10</v>
      </c>
      <c r="R2081" s="1">
        <v>90</v>
      </c>
      <c r="S2081" s="1">
        <v>2.5</v>
      </c>
      <c r="T2081" s="1" t="str">
        <f t="shared" si="259"/>
        <v>-text 460,131 2.5 90 267.497</v>
      </c>
    </row>
    <row r="2082" spans="1:20" x14ac:dyDescent="0.35">
      <c r="A2082" s="1">
        <v>291980</v>
      </c>
      <c r="B2082" s="7">
        <v>1181461.8</v>
      </c>
      <c r="C2082" s="2">
        <v>268.44</v>
      </c>
      <c r="D2082" s="2">
        <v>270.62700000000001</v>
      </c>
      <c r="E2082" s="2">
        <v>2.1869999999999998</v>
      </c>
      <c r="F2082" s="2">
        <v>267.76799999999997</v>
      </c>
      <c r="G2082" s="2">
        <v>269.91399999999999</v>
      </c>
      <c r="H2082" s="2">
        <v>2.1459999999999999</v>
      </c>
      <c r="I2082" s="2">
        <v>267.83800000000002</v>
      </c>
      <c r="J2082" s="2">
        <v>266.78399999999999</v>
      </c>
      <c r="K2082" s="15">
        <v>3.13</v>
      </c>
      <c r="L2082" s="2">
        <v>11.664999999999999</v>
      </c>
      <c r="N2082" s="7">
        <f t="shared" si="257"/>
        <v>480</v>
      </c>
      <c r="O2082" s="1">
        <f t="shared" si="258"/>
        <v>131</v>
      </c>
      <c r="P2082" s="1" t="str">
        <f t="shared" si="260"/>
        <v>480,131</v>
      </c>
      <c r="Q2082" s="6" t="s">
        <v>10</v>
      </c>
      <c r="R2082" s="1">
        <v>90</v>
      </c>
      <c r="S2082" s="1">
        <v>2.5</v>
      </c>
      <c r="T2082" s="1" t="str">
        <f t="shared" si="259"/>
        <v>-text 480,131 2.5 90 266.784</v>
      </c>
    </row>
    <row r="2083" spans="1:20" x14ac:dyDescent="0.35">
      <c r="A2083" s="1">
        <v>292000</v>
      </c>
      <c r="B2083" s="7">
        <v>1181481.8</v>
      </c>
      <c r="C2083" s="2">
        <v>268.44099999999997</v>
      </c>
      <c r="D2083" s="2">
        <v>270.62700000000001</v>
      </c>
      <c r="E2083" s="2">
        <v>2.1859999999999999</v>
      </c>
      <c r="F2083" s="2">
        <v>267.76900000000001</v>
      </c>
      <c r="G2083" s="2">
        <v>269.91399999999999</v>
      </c>
      <c r="H2083" s="2">
        <v>2.145</v>
      </c>
      <c r="I2083" s="2">
        <v>267.66300000000001</v>
      </c>
      <c r="J2083" s="2">
        <v>265.76499999999999</v>
      </c>
      <c r="K2083" s="15">
        <v>4.149</v>
      </c>
      <c r="L2083" s="2">
        <v>11.696</v>
      </c>
      <c r="N2083" s="7">
        <f t="shared" si="257"/>
        <v>500</v>
      </c>
      <c r="O2083" s="1">
        <f t="shared" si="258"/>
        <v>131</v>
      </c>
      <c r="P2083" s="1" t="str">
        <f t="shared" si="260"/>
        <v>500,131</v>
      </c>
      <c r="Q2083" s="6" t="s">
        <v>10</v>
      </c>
      <c r="R2083" s="1">
        <v>90</v>
      </c>
      <c r="S2083" s="1">
        <v>2.5</v>
      </c>
      <c r="T2083" s="1" t="str">
        <f t="shared" si="259"/>
        <v>-text 500,131 2.5 90 265.765</v>
      </c>
    </row>
    <row r="2084" spans="1:20" x14ac:dyDescent="0.35">
      <c r="A2084" s="1">
        <v>292019.69383240002</v>
      </c>
      <c r="B2084" s="7">
        <v>1181501.5</v>
      </c>
      <c r="C2084" s="2">
        <v>268.45600000000002</v>
      </c>
      <c r="D2084" s="2">
        <v>270.62700000000001</v>
      </c>
      <c r="E2084" s="2">
        <v>2.1709999999999998</v>
      </c>
      <c r="F2084" s="2">
        <v>267.78399999999999</v>
      </c>
      <c r="G2084" s="2">
        <v>269.91399999999999</v>
      </c>
      <c r="H2084" s="2">
        <v>2.13</v>
      </c>
      <c r="I2084" s="2">
        <v>267.56799999999998</v>
      </c>
      <c r="J2084" s="2">
        <v>266.98099999999999</v>
      </c>
      <c r="K2084" s="15">
        <v>2.9329999999999998</v>
      </c>
      <c r="L2084" s="2">
        <v>11.747999999999999</v>
      </c>
      <c r="N2084" s="7">
        <f t="shared" si="257"/>
        <v>519.69999999995343</v>
      </c>
      <c r="O2084" s="1">
        <f t="shared" si="258"/>
        <v>131</v>
      </c>
      <c r="P2084" s="1" t="str">
        <f t="shared" si="260"/>
        <v>519.699999999953,131</v>
      </c>
      <c r="Q2084" s="6" t="s">
        <v>10</v>
      </c>
      <c r="R2084" s="1">
        <v>90</v>
      </c>
      <c r="S2084" s="1">
        <v>2.5</v>
      </c>
      <c r="T2084" s="1" t="str">
        <f t="shared" si="259"/>
        <v>-text 519.699999999953,131 2.5 90 266.981</v>
      </c>
    </row>
    <row r="2085" spans="1:20" s="10" customFormat="1" x14ac:dyDescent="0.35">
      <c r="B2085" s="11"/>
      <c r="C2085" s="9"/>
      <c r="D2085" s="9"/>
      <c r="E2085" s="9"/>
      <c r="F2085" s="9"/>
      <c r="G2085" s="9"/>
      <c r="H2085" s="9"/>
      <c r="I2085" s="9"/>
      <c r="J2085" s="9"/>
      <c r="K2085" s="16"/>
      <c r="L2085" s="9"/>
      <c r="M2085" s="9"/>
      <c r="N2085" s="11"/>
      <c r="Q2085" s="12"/>
    </row>
    <row r="2086" spans="1:20" x14ac:dyDescent="0.35">
      <c r="A2086" s="1">
        <v>292000</v>
      </c>
      <c r="B2086" s="7">
        <v>1181501.5</v>
      </c>
      <c r="C2086" s="2">
        <v>268.44099999999997</v>
      </c>
      <c r="D2086" s="2">
        <v>270.62700000000001</v>
      </c>
      <c r="E2086" s="2">
        <v>2.1859999999999999</v>
      </c>
      <c r="F2086" s="2">
        <v>267.76900000000001</v>
      </c>
      <c r="G2086" s="2">
        <v>269.91399999999999</v>
      </c>
      <c r="H2086" s="2">
        <v>2.145</v>
      </c>
      <c r="I2086" s="2">
        <v>267.66300000000001</v>
      </c>
      <c r="J2086" s="2">
        <v>265.76499999999999</v>
      </c>
      <c r="K2086" s="15">
        <v>4.149</v>
      </c>
      <c r="L2086" s="2">
        <v>11.696</v>
      </c>
      <c r="N2086" s="7">
        <v>0</v>
      </c>
      <c r="O2086" s="1">
        <f t="shared" si="258"/>
        <v>131</v>
      </c>
      <c r="P2086" s="1" t="str">
        <f t="shared" si="260"/>
        <v>0,131</v>
      </c>
      <c r="Q2086" s="6" t="s">
        <v>10</v>
      </c>
      <c r="R2086" s="1">
        <v>90</v>
      </c>
      <c r="S2086" s="1">
        <v>2.5</v>
      </c>
      <c r="T2086" s="1" t="str">
        <f t="shared" si="259"/>
        <v>-text 0,131 2.5 90 265.765</v>
      </c>
    </row>
    <row r="2087" spans="1:20" x14ac:dyDescent="0.35">
      <c r="A2087" s="1">
        <v>292020</v>
      </c>
      <c r="B2087" s="7">
        <v>1181521.5</v>
      </c>
      <c r="C2087" s="2">
        <v>268.45699999999999</v>
      </c>
      <c r="D2087" s="2">
        <v>270.62700000000001</v>
      </c>
      <c r="E2087" s="2">
        <v>2.17</v>
      </c>
      <c r="F2087" s="2">
        <v>267.78500000000003</v>
      </c>
      <c r="G2087" s="2">
        <v>269.91399999999999</v>
      </c>
      <c r="H2087" s="2">
        <v>2.129</v>
      </c>
      <c r="I2087" s="2">
        <v>267.65699999999998</v>
      </c>
      <c r="J2087" s="2">
        <v>267.09399999999999</v>
      </c>
      <c r="K2087" s="15">
        <v>2.82</v>
      </c>
      <c r="L2087" s="2">
        <v>11.77</v>
      </c>
      <c r="N2087" s="7">
        <f t="shared" ref="N2087:N2110" si="261">N2086+(B2087-B2086)</f>
        <v>20</v>
      </c>
      <c r="O2087" s="1">
        <f t="shared" si="258"/>
        <v>131</v>
      </c>
      <c r="P2087" s="1" t="str">
        <f t="shared" si="260"/>
        <v>20,131</v>
      </c>
      <c r="Q2087" s="6" t="s">
        <v>10</v>
      </c>
      <c r="R2087" s="1">
        <v>90</v>
      </c>
      <c r="S2087" s="1">
        <v>2.5</v>
      </c>
      <c r="T2087" s="1" t="str">
        <f t="shared" si="259"/>
        <v>-text 20,131 2.5 90 267.094</v>
      </c>
    </row>
    <row r="2088" spans="1:20" x14ac:dyDescent="0.35">
      <c r="A2088" s="1">
        <v>292040</v>
      </c>
      <c r="B2088" s="7">
        <v>1181541.5</v>
      </c>
      <c r="C2088" s="2">
        <v>268.45699999999999</v>
      </c>
      <c r="D2088" s="2">
        <v>270.62700000000001</v>
      </c>
      <c r="E2088" s="2">
        <v>2.17</v>
      </c>
      <c r="F2088" s="2">
        <v>267.78500000000003</v>
      </c>
      <c r="G2088" s="2">
        <v>269.91399999999999</v>
      </c>
      <c r="H2088" s="2">
        <v>2.129</v>
      </c>
      <c r="I2088" s="2">
        <v>267.762</v>
      </c>
      <c r="J2088" s="2">
        <v>267.20299999999997</v>
      </c>
      <c r="K2088" s="15">
        <v>2.7109999999999999</v>
      </c>
      <c r="L2088" s="2">
        <v>11.792</v>
      </c>
      <c r="N2088" s="7">
        <f t="shared" si="261"/>
        <v>40</v>
      </c>
      <c r="O2088" s="1">
        <f t="shared" si="258"/>
        <v>131</v>
      </c>
      <c r="P2088" s="1" t="str">
        <f t="shared" si="260"/>
        <v>40,131</v>
      </c>
      <c r="Q2088" s="6" t="s">
        <v>10</v>
      </c>
      <c r="R2088" s="1">
        <v>90</v>
      </c>
      <c r="S2088" s="1">
        <v>2.5</v>
      </c>
      <c r="T2088" s="1" t="str">
        <f t="shared" si="259"/>
        <v>-text 40,131 2.5 90 267.203</v>
      </c>
    </row>
    <row r="2089" spans="1:20" x14ac:dyDescent="0.35">
      <c r="A2089" s="1">
        <v>292060</v>
      </c>
      <c r="B2089" s="7">
        <v>1181561.5</v>
      </c>
      <c r="C2089" s="2">
        <v>268.459</v>
      </c>
      <c r="D2089" s="2">
        <v>270.62700000000001</v>
      </c>
      <c r="E2089" s="2">
        <v>2.1680000000000001</v>
      </c>
      <c r="F2089" s="2">
        <v>267.78699999999998</v>
      </c>
      <c r="G2089" s="2">
        <v>269.91399999999999</v>
      </c>
      <c r="H2089" s="2">
        <v>2.1269999999999998</v>
      </c>
      <c r="I2089" s="2">
        <v>267.815</v>
      </c>
      <c r="J2089" s="2">
        <v>267.19499999999999</v>
      </c>
      <c r="K2089" s="15">
        <v>2.7189999999999999</v>
      </c>
      <c r="L2089" s="2">
        <v>11.808</v>
      </c>
      <c r="N2089" s="7">
        <f t="shared" si="261"/>
        <v>60</v>
      </c>
      <c r="O2089" s="1">
        <f t="shared" si="258"/>
        <v>131</v>
      </c>
      <c r="P2089" s="1" t="str">
        <f t="shared" si="260"/>
        <v>60,131</v>
      </c>
      <c r="Q2089" s="6" t="s">
        <v>10</v>
      </c>
      <c r="R2089" s="1">
        <v>90</v>
      </c>
      <c r="S2089" s="1">
        <v>2.5</v>
      </c>
      <c r="T2089" s="1" t="str">
        <f t="shared" si="259"/>
        <v>-text 60,131 2.5 90 267.195</v>
      </c>
    </row>
    <row r="2090" spans="1:20" x14ac:dyDescent="0.35">
      <c r="A2090" s="1">
        <v>292080</v>
      </c>
      <c r="B2090" s="7">
        <v>1181581.5</v>
      </c>
      <c r="C2090" s="2">
        <v>268.46300000000002</v>
      </c>
      <c r="D2090" s="2">
        <v>270.62700000000001</v>
      </c>
      <c r="E2090" s="2">
        <v>2.1640000000000001</v>
      </c>
      <c r="F2090" s="2">
        <v>267.791</v>
      </c>
      <c r="G2090" s="2">
        <v>269.91399999999999</v>
      </c>
      <c r="H2090" s="2">
        <v>2.1230000000000002</v>
      </c>
      <c r="I2090" s="2">
        <v>267.82</v>
      </c>
      <c r="J2090" s="2">
        <v>267.01499999999999</v>
      </c>
      <c r="K2090" s="15">
        <v>2.899</v>
      </c>
      <c r="L2090" s="2">
        <v>11.818</v>
      </c>
      <c r="N2090" s="7">
        <f t="shared" si="261"/>
        <v>80</v>
      </c>
      <c r="O2090" s="1">
        <f t="shared" si="258"/>
        <v>131</v>
      </c>
      <c r="P2090" s="1" t="str">
        <f t="shared" si="260"/>
        <v>80,131</v>
      </c>
      <c r="Q2090" s="6" t="s">
        <v>10</v>
      </c>
      <c r="R2090" s="1">
        <v>90</v>
      </c>
      <c r="S2090" s="1">
        <v>2.5</v>
      </c>
      <c r="T2090" s="1" t="str">
        <f t="shared" si="259"/>
        <v>-text 80,131 2.5 90 267.015</v>
      </c>
    </row>
    <row r="2091" spans="1:20" x14ac:dyDescent="0.35">
      <c r="A2091" s="1">
        <v>292100</v>
      </c>
      <c r="B2091" s="7">
        <v>1181601.5</v>
      </c>
      <c r="C2091" s="2">
        <v>268.46499999999997</v>
      </c>
      <c r="D2091" s="2">
        <v>270.61500000000001</v>
      </c>
      <c r="E2091" s="2">
        <v>2.15</v>
      </c>
      <c r="F2091" s="2">
        <v>267.79300000000001</v>
      </c>
      <c r="G2091" s="2">
        <v>269.90199999999999</v>
      </c>
      <c r="H2091" s="2">
        <v>2.109</v>
      </c>
      <c r="I2091" s="2">
        <v>267.815</v>
      </c>
      <c r="J2091" s="2">
        <v>266.91199999999998</v>
      </c>
      <c r="K2091" s="15">
        <v>2.9910000000000001</v>
      </c>
      <c r="L2091" s="2">
        <v>11.827999999999999</v>
      </c>
      <c r="N2091" s="7">
        <f t="shared" si="261"/>
        <v>100</v>
      </c>
      <c r="O2091" s="1">
        <f t="shared" si="258"/>
        <v>131</v>
      </c>
      <c r="P2091" s="1" t="str">
        <f t="shared" si="260"/>
        <v>100,131</v>
      </c>
      <c r="Q2091" s="6" t="s">
        <v>10</v>
      </c>
      <c r="R2091" s="1">
        <v>90</v>
      </c>
      <c r="S2091" s="1">
        <v>2.5</v>
      </c>
      <c r="T2091" s="1" t="str">
        <f t="shared" si="259"/>
        <v>-text 100,131 2.5 90 266.912</v>
      </c>
    </row>
    <row r="2092" spans="1:20" x14ac:dyDescent="0.35">
      <c r="A2092" s="1">
        <v>292120</v>
      </c>
      <c r="B2092" s="7">
        <v>1181621.5</v>
      </c>
      <c r="C2092" s="2">
        <v>268.48</v>
      </c>
      <c r="D2092" s="2">
        <v>270.601</v>
      </c>
      <c r="E2092" s="2">
        <v>2.121</v>
      </c>
      <c r="F2092" s="2">
        <v>267.80799999999999</v>
      </c>
      <c r="G2092" s="2">
        <v>269.88799999999998</v>
      </c>
      <c r="H2092" s="2">
        <v>2.08</v>
      </c>
      <c r="I2092" s="2">
        <v>267.74599999999998</v>
      </c>
      <c r="J2092" s="2">
        <v>266.63400000000001</v>
      </c>
      <c r="K2092" s="15">
        <v>3.254</v>
      </c>
      <c r="L2092" s="2">
        <v>11.837</v>
      </c>
      <c r="N2092" s="7">
        <f t="shared" si="261"/>
        <v>120</v>
      </c>
      <c r="O2092" s="1">
        <f t="shared" si="258"/>
        <v>131</v>
      </c>
      <c r="P2092" s="1" t="str">
        <f t="shared" si="260"/>
        <v>120,131</v>
      </c>
      <c r="Q2092" s="6" t="s">
        <v>10</v>
      </c>
      <c r="R2092" s="1">
        <v>90</v>
      </c>
      <c r="S2092" s="1">
        <v>2.5</v>
      </c>
      <c r="T2092" s="1" t="str">
        <f t="shared" si="259"/>
        <v>-text 120,131 2.5 90 266.634</v>
      </c>
    </row>
    <row r="2093" spans="1:20" x14ac:dyDescent="0.35">
      <c r="A2093" s="1">
        <v>292140</v>
      </c>
      <c r="B2093" s="7">
        <v>1181641.5</v>
      </c>
      <c r="C2093" s="2">
        <v>268.49700000000001</v>
      </c>
      <c r="D2093" s="2">
        <v>270.58699999999999</v>
      </c>
      <c r="E2093" s="2">
        <v>2.09</v>
      </c>
      <c r="F2093" s="2">
        <v>267.82499999999999</v>
      </c>
      <c r="G2093" s="2">
        <v>269.87400000000002</v>
      </c>
      <c r="H2093" s="2">
        <v>2.0489999999999999</v>
      </c>
      <c r="I2093" s="2">
        <v>267.67200000000003</v>
      </c>
      <c r="J2093" s="2">
        <v>266.35300000000001</v>
      </c>
      <c r="K2093" s="15">
        <v>3.5209999999999999</v>
      </c>
      <c r="L2093" s="2">
        <v>11.847</v>
      </c>
      <c r="N2093" s="7">
        <f t="shared" si="261"/>
        <v>140</v>
      </c>
      <c r="O2093" s="1">
        <f t="shared" si="258"/>
        <v>131</v>
      </c>
      <c r="P2093" s="1" t="str">
        <f t="shared" si="260"/>
        <v>140,131</v>
      </c>
      <c r="Q2093" s="6" t="s">
        <v>10</v>
      </c>
      <c r="R2093" s="1">
        <v>90</v>
      </c>
      <c r="S2093" s="1">
        <v>2.5</v>
      </c>
      <c r="T2093" s="1" t="str">
        <f t="shared" si="259"/>
        <v>-text 140,131 2.5 90 266.353</v>
      </c>
    </row>
    <row r="2094" spans="1:20" x14ac:dyDescent="0.35">
      <c r="A2094" s="1">
        <v>292160</v>
      </c>
      <c r="B2094" s="7">
        <v>1181661.5</v>
      </c>
      <c r="C2094" s="2">
        <v>268.49200000000002</v>
      </c>
      <c r="D2094" s="2">
        <v>270.572</v>
      </c>
      <c r="E2094" s="2">
        <v>2.08</v>
      </c>
      <c r="F2094" s="2">
        <v>267.82</v>
      </c>
      <c r="G2094" s="2">
        <v>269.85899999999998</v>
      </c>
      <c r="H2094" s="2">
        <v>2.0390000000000001</v>
      </c>
      <c r="I2094" s="2">
        <v>267.69299999999998</v>
      </c>
      <c r="J2094" s="2">
        <v>266.46300000000002</v>
      </c>
      <c r="K2094" s="15">
        <v>3.3969999999999998</v>
      </c>
      <c r="L2094" s="2">
        <v>11.862</v>
      </c>
      <c r="N2094" s="7">
        <f t="shared" si="261"/>
        <v>160</v>
      </c>
      <c r="O2094" s="1">
        <f t="shared" si="258"/>
        <v>131</v>
      </c>
      <c r="P2094" s="1" t="str">
        <f t="shared" si="260"/>
        <v>160,131</v>
      </c>
      <c r="Q2094" s="6" t="s">
        <v>10</v>
      </c>
      <c r="R2094" s="1">
        <v>90</v>
      </c>
      <c r="S2094" s="1">
        <v>2.5</v>
      </c>
      <c r="T2094" s="1" t="str">
        <f t="shared" si="259"/>
        <v>-text 160,131 2.5 90 266.463</v>
      </c>
    </row>
    <row r="2095" spans="1:20" x14ac:dyDescent="0.35">
      <c r="A2095" s="1">
        <v>292180</v>
      </c>
      <c r="B2095" s="7">
        <v>1181681.5</v>
      </c>
      <c r="C2095" s="2">
        <v>268.471</v>
      </c>
      <c r="D2095" s="2">
        <v>270.55799999999999</v>
      </c>
      <c r="E2095" s="2">
        <v>2.0870000000000002</v>
      </c>
      <c r="F2095" s="2">
        <v>267.79899999999998</v>
      </c>
      <c r="G2095" s="2">
        <v>269.84500000000003</v>
      </c>
      <c r="H2095" s="2">
        <v>2.0459999999999998</v>
      </c>
      <c r="I2095" s="2">
        <v>267.77600000000001</v>
      </c>
      <c r="J2095" s="2">
        <v>266.64600000000002</v>
      </c>
      <c r="K2095" s="15">
        <v>3.1989999999999998</v>
      </c>
      <c r="L2095" s="2">
        <v>11.882999999999999</v>
      </c>
      <c r="N2095" s="7">
        <f t="shared" si="261"/>
        <v>180</v>
      </c>
      <c r="O2095" s="1">
        <f t="shared" si="258"/>
        <v>131</v>
      </c>
      <c r="P2095" s="1" t="str">
        <f t="shared" si="260"/>
        <v>180,131</v>
      </c>
      <c r="Q2095" s="6" t="s">
        <v>10</v>
      </c>
      <c r="R2095" s="1">
        <v>90</v>
      </c>
      <c r="S2095" s="1">
        <v>2.5</v>
      </c>
      <c r="T2095" s="1" t="str">
        <f t="shared" si="259"/>
        <v>-text 180,131 2.5 90 266.646</v>
      </c>
    </row>
    <row r="2096" spans="1:20" x14ac:dyDescent="0.35">
      <c r="A2096" s="1">
        <v>292200</v>
      </c>
      <c r="B2096" s="7">
        <v>1181701.5</v>
      </c>
      <c r="C2096" s="2">
        <v>268.459</v>
      </c>
      <c r="D2096" s="2">
        <v>270.54399999999998</v>
      </c>
      <c r="E2096" s="2">
        <v>2.085</v>
      </c>
      <c r="F2096" s="2">
        <v>267.78699999999998</v>
      </c>
      <c r="G2096" s="2">
        <v>269.83100000000002</v>
      </c>
      <c r="H2096" s="2">
        <v>2.044</v>
      </c>
      <c r="I2096" s="2">
        <v>267.76900000000001</v>
      </c>
      <c r="J2096" s="2">
        <v>266.76499999999999</v>
      </c>
      <c r="K2096" s="15">
        <v>3.0649999999999999</v>
      </c>
      <c r="L2096" s="2">
        <v>11.917</v>
      </c>
      <c r="N2096" s="7">
        <f t="shared" si="261"/>
        <v>200</v>
      </c>
      <c r="O2096" s="1">
        <f t="shared" si="258"/>
        <v>131</v>
      </c>
      <c r="P2096" s="1" t="str">
        <f t="shared" si="260"/>
        <v>200,131</v>
      </c>
      <c r="Q2096" s="6" t="s">
        <v>10</v>
      </c>
      <c r="R2096" s="1">
        <v>90</v>
      </c>
      <c r="S2096" s="1">
        <v>2.5</v>
      </c>
      <c r="T2096" s="1" t="str">
        <f t="shared" si="259"/>
        <v>-text 200,131 2.5 90 266.765</v>
      </c>
    </row>
    <row r="2097" spans="1:20" x14ac:dyDescent="0.35">
      <c r="A2097" s="1">
        <v>292220</v>
      </c>
      <c r="B2097" s="7">
        <v>1181721.5</v>
      </c>
      <c r="C2097" s="2">
        <v>268.45400000000001</v>
      </c>
      <c r="D2097" s="2">
        <v>270.529</v>
      </c>
      <c r="E2097" s="2">
        <v>2.0750000000000002</v>
      </c>
      <c r="F2097" s="2">
        <v>267.78199999999998</v>
      </c>
      <c r="G2097" s="2">
        <v>269.81599999999997</v>
      </c>
      <c r="H2097" s="2">
        <v>2.0339999999999998</v>
      </c>
      <c r="I2097" s="2">
        <v>267.7</v>
      </c>
      <c r="J2097" s="2">
        <v>266.733</v>
      </c>
      <c r="K2097" s="15">
        <v>3.0830000000000002</v>
      </c>
      <c r="L2097" s="2">
        <v>11.962999999999999</v>
      </c>
      <c r="N2097" s="7">
        <f t="shared" si="261"/>
        <v>220</v>
      </c>
      <c r="O2097" s="1">
        <f t="shared" si="258"/>
        <v>131</v>
      </c>
      <c r="P2097" s="1" t="str">
        <f t="shared" si="260"/>
        <v>220,131</v>
      </c>
      <c r="Q2097" s="6" t="s">
        <v>10</v>
      </c>
      <c r="R2097" s="1">
        <v>90</v>
      </c>
      <c r="S2097" s="1">
        <v>2.5</v>
      </c>
      <c r="T2097" s="1" t="str">
        <f t="shared" si="259"/>
        <v>-text 220,131 2.5 90 266.733</v>
      </c>
    </row>
    <row r="2098" spans="1:20" x14ac:dyDescent="0.35">
      <c r="A2098" s="1">
        <v>292240</v>
      </c>
      <c r="B2098" s="7">
        <v>1181741.5</v>
      </c>
      <c r="C2098" s="2">
        <v>268.44900000000001</v>
      </c>
      <c r="D2098" s="2">
        <v>270.51499999999999</v>
      </c>
      <c r="E2098" s="2">
        <v>2.0659999999999998</v>
      </c>
      <c r="F2098" s="2">
        <v>267.77699999999999</v>
      </c>
      <c r="G2098" s="2">
        <v>269.80200000000002</v>
      </c>
      <c r="H2098" s="2">
        <v>2.0249999999999999</v>
      </c>
      <c r="I2098" s="2">
        <v>267.625</v>
      </c>
      <c r="J2098" s="2">
        <v>266.75599999999997</v>
      </c>
      <c r="K2098" s="15">
        <v>3.0459999999999998</v>
      </c>
      <c r="L2098" s="2">
        <v>12.009</v>
      </c>
      <c r="N2098" s="7">
        <f t="shared" si="261"/>
        <v>240</v>
      </c>
      <c r="O2098" s="1">
        <f t="shared" si="258"/>
        <v>131</v>
      </c>
      <c r="P2098" s="1" t="str">
        <f t="shared" si="260"/>
        <v>240,131</v>
      </c>
      <c r="Q2098" s="6" t="s">
        <v>10</v>
      </c>
      <c r="R2098" s="1">
        <v>90</v>
      </c>
      <c r="S2098" s="1">
        <v>2.5</v>
      </c>
      <c r="T2098" s="1" t="str">
        <f t="shared" si="259"/>
        <v>-text 240,131 2.5 90 266.756</v>
      </c>
    </row>
    <row r="2099" spans="1:20" x14ac:dyDescent="0.35">
      <c r="A2099" s="1">
        <v>292260</v>
      </c>
      <c r="B2099" s="7">
        <v>1181761.5</v>
      </c>
      <c r="C2099" s="2">
        <v>268.44499999999999</v>
      </c>
      <c r="D2099" s="2">
        <v>270.5</v>
      </c>
      <c r="E2099" s="2">
        <v>2.056</v>
      </c>
      <c r="F2099" s="2">
        <v>267.77300000000002</v>
      </c>
      <c r="G2099" s="2">
        <v>269.78699999999998</v>
      </c>
      <c r="H2099" s="2">
        <v>2.0150000000000001</v>
      </c>
      <c r="I2099" s="2">
        <v>267.67099999999999</v>
      </c>
      <c r="J2099" s="2">
        <v>266.88200000000001</v>
      </c>
      <c r="K2099" s="15">
        <v>2.9060000000000001</v>
      </c>
      <c r="L2099" s="2">
        <v>12.026999999999999</v>
      </c>
      <c r="N2099" s="7">
        <f t="shared" si="261"/>
        <v>260</v>
      </c>
      <c r="O2099" s="1">
        <f t="shared" si="258"/>
        <v>131</v>
      </c>
      <c r="P2099" s="1" t="str">
        <f t="shared" si="260"/>
        <v>260,131</v>
      </c>
      <c r="Q2099" s="6" t="s">
        <v>10</v>
      </c>
      <c r="R2099" s="1">
        <v>90</v>
      </c>
      <c r="S2099" s="1">
        <v>2.5</v>
      </c>
      <c r="T2099" s="1" t="str">
        <f t="shared" si="259"/>
        <v>-text 260,131 2.5 90 266.882</v>
      </c>
    </row>
    <row r="2100" spans="1:20" x14ac:dyDescent="0.35">
      <c r="A2100" s="1">
        <v>292280</v>
      </c>
      <c r="B2100" s="7">
        <v>1181781.5</v>
      </c>
      <c r="C2100" s="2">
        <v>268.44099999999997</v>
      </c>
      <c r="D2100" s="2">
        <v>270.48599999999999</v>
      </c>
      <c r="E2100" s="2">
        <v>2.0449999999999999</v>
      </c>
      <c r="F2100" s="2">
        <v>267.76900000000001</v>
      </c>
      <c r="G2100" s="2">
        <v>269.77300000000002</v>
      </c>
      <c r="H2100" s="2">
        <v>2.004</v>
      </c>
      <c r="I2100" s="2">
        <v>267.30399999999997</v>
      </c>
      <c r="J2100" s="2">
        <v>267.04000000000002</v>
      </c>
      <c r="K2100" s="15">
        <v>2.7330000000000001</v>
      </c>
      <c r="L2100" s="2">
        <v>12.041</v>
      </c>
      <c r="N2100" s="7">
        <f t="shared" si="261"/>
        <v>280</v>
      </c>
      <c r="O2100" s="1">
        <f t="shared" si="258"/>
        <v>131</v>
      </c>
      <c r="P2100" s="1" t="str">
        <f t="shared" si="260"/>
        <v>280,131</v>
      </c>
      <c r="Q2100" s="6" t="s">
        <v>10</v>
      </c>
      <c r="R2100" s="1">
        <v>90</v>
      </c>
      <c r="S2100" s="1">
        <v>2.5</v>
      </c>
      <c r="T2100" s="1" t="str">
        <f t="shared" si="259"/>
        <v>-text 280,131 2.5 90 267.04</v>
      </c>
    </row>
    <row r="2101" spans="1:20" x14ac:dyDescent="0.35">
      <c r="A2101" s="1">
        <v>292300</v>
      </c>
      <c r="B2101" s="7">
        <v>1181801.5</v>
      </c>
      <c r="C2101" s="2">
        <v>268.43200000000002</v>
      </c>
      <c r="D2101" s="2">
        <v>270.47199999999998</v>
      </c>
      <c r="E2101" s="2">
        <v>2.04</v>
      </c>
      <c r="F2101" s="2">
        <v>267.76</v>
      </c>
      <c r="G2101" s="2">
        <v>269.75900000000001</v>
      </c>
      <c r="H2101" s="2">
        <v>1.9990000000000001</v>
      </c>
      <c r="I2101" s="2">
        <v>267.58300000000003</v>
      </c>
      <c r="J2101" s="2">
        <v>267.05</v>
      </c>
      <c r="K2101" s="15">
        <v>2.7090000000000001</v>
      </c>
      <c r="L2101" s="2">
        <v>12.066000000000001</v>
      </c>
      <c r="N2101" s="7">
        <f t="shared" si="261"/>
        <v>300</v>
      </c>
      <c r="O2101" s="1">
        <f t="shared" si="258"/>
        <v>131</v>
      </c>
      <c r="P2101" s="1" t="str">
        <f t="shared" si="260"/>
        <v>300,131</v>
      </c>
      <c r="Q2101" s="6" t="s">
        <v>10</v>
      </c>
      <c r="R2101" s="1">
        <v>90</v>
      </c>
      <c r="S2101" s="1">
        <v>2.5</v>
      </c>
      <c r="T2101" s="1" t="str">
        <f t="shared" si="259"/>
        <v>-text 300,131 2.5 90 267.05</v>
      </c>
    </row>
    <row r="2102" spans="1:20" x14ac:dyDescent="0.35">
      <c r="A2102" s="1">
        <v>292320</v>
      </c>
      <c r="B2102" s="7">
        <v>1181821.5</v>
      </c>
      <c r="C2102" s="2">
        <v>268.42099999999999</v>
      </c>
      <c r="D2102" s="2">
        <v>270.45699999999999</v>
      </c>
      <c r="E2102" s="2">
        <v>2.0369999999999999</v>
      </c>
      <c r="F2102" s="2">
        <v>267.74900000000002</v>
      </c>
      <c r="G2102" s="2">
        <v>269.74400000000003</v>
      </c>
      <c r="H2102" s="2">
        <v>1.996</v>
      </c>
      <c r="I2102" s="2">
        <v>267.78199999999998</v>
      </c>
      <c r="J2102" s="2">
        <v>266.916</v>
      </c>
      <c r="K2102" s="15">
        <v>2.8279999999999998</v>
      </c>
      <c r="L2102" s="2">
        <v>12.097</v>
      </c>
      <c r="N2102" s="7">
        <f t="shared" si="261"/>
        <v>320</v>
      </c>
      <c r="O2102" s="1">
        <f t="shared" si="258"/>
        <v>131</v>
      </c>
      <c r="P2102" s="1" t="str">
        <f t="shared" si="260"/>
        <v>320,131</v>
      </c>
      <c r="Q2102" s="6" t="s">
        <v>10</v>
      </c>
      <c r="R2102" s="1">
        <v>90</v>
      </c>
      <c r="S2102" s="1">
        <v>2.5</v>
      </c>
      <c r="T2102" s="1" t="str">
        <f t="shared" si="259"/>
        <v>-text 320,131 2.5 90 266.916</v>
      </c>
    </row>
    <row r="2103" spans="1:20" x14ac:dyDescent="0.35">
      <c r="A2103" s="1">
        <v>292340</v>
      </c>
      <c r="B2103" s="7">
        <v>1181841.5</v>
      </c>
      <c r="C2103" s="2">
        <v>268.41399999999999</v>
      </c>
      <c r="D2103" s="2">
        <v>270.44299999999998</v>
      </c>
      <c r="E2103" s="2">
        <v>2.0289999999999999</v>
      </c>
      <c r="F2103" s="2">
        <v>267.74200000000002</v>
      </c>
      <c r="G2103" s="2">
        <v>269.73</v>
      </c>
      <c r="H2103" s="2">
        <v>1.988</v>
      </c>
      <c r="I2103" s="2">
        <v>267.82400000000001</v>
      </c>
      <c r="J2103" s="2">
        <v>266.79899999999998</v>
      </c>
      <c r="K2103" s="15">
        <v>2.931</v>
      </c>
      <c r="L2103" s="2">
        <v>12.119</v>
      </c>
      <c r="N2103" s="7">
        <f t="shared" si="261"/>
        <v>340</v>
      </c>
      <c r="O2103" s="1">
        <f t="shared" si="258"/>
        <v>131</v>
      </c>
      <c r="P2103" s="1" t="str">
        <f t="shared" si="260"/>
        <v>340,131</v>
      </c>
      <c r="Q2103" s="6" t="s">
        <v>10</v>
      </c>
      <c r="R2103" s="1">
        <v>90</v>
      </c>
      <c r="S2103" s="1">
        <v>2.5</v>
      </c>
      <c r="T2103" s="1" t="str">
        <f t="shared" si="259"/>
        <v>-text 340,131 2.5 90 266.799</v>
      </c>
    </row>
    <row r="2104" spans="1:20" x14ac:dyDescent="0.35">
      <c r="A2104" s="1">
        <v>292360</v>
      </c>
      <c r="B2104" s="7">
        <v>1181861.5</v>
      </c>
      <c r="C2104" s="2">
        <v>268.41300000000001</v>
      </c>
      <c r="D2104" s="2">
        <v>270.42899999999997</v>
      </c>
      <c r="E2104" s="2">
        <v>2.016</v>
      </c>
      <c r="F2104" s="2">
        <v>267.74099999999999</v>
      </c>
      <c r="G2104" s="2">
        <v>269.71600000000001</v>
      </c>
      <c r="H2104" s="2">
        <v>1.9750000000000001</v>
      </c>
      <c r="I2104" s="2">
        <v>267.86500000000001</v>
      </c>
      <c r="J2104" s="2">
        <v>266.846</v>
      </c>
      <c r="K2104" s="15">
        <v>2.8690000000000002</v>
      </c>
      <c r="L2104" s="2">
        <v>12.127000000000001</v>
      </c>
      <c r="N2104" s="7">
        <f t="shared" si="261"/>
        <v>360</v>
      </c>
      <c r="O2104" s="1">
        <f t="shared" si="258"/>
        <v>131</v>
      </c>
      <c r="P2104" s="1" t="str">
        <f t="shared" si="260"/>
        <v>360,131</v>
      </c>
      <c r="Q2104" s="6" t="s">
        <v>10</v>
      </c>
      <c r="R2104" s="1">
        <v>90</v>
      </c>
      <c r="S2104" s="1">
        <v>2.5</v>
      </c>
      <c r="T2104" s="1" t="str">
        <f t="shared" si="259"/>
        <v>-text 360,131 2.5 90 266.846</v>
      </c>
    </row>
    <row r="2105" spans="1:20" x14ac:dyDescent="0.35">
      <c r="A2105" s="1">
        <v>292380</v>
      </c>
      <c r="B2105" s="7">
        <v>1181881.5</v>
      </c>
      <c r="C2105" s="2">
        <v>268.411</v>
      </c>
      <c r="D2105" s="2">
        <v>270.41399999999999</v>
      </c>
      <c r="E2105" s="2">
        <v>2.0030000000000001</v>
      </c>
      <c r="F2105" s="2">
        <v>267.73899999999998</v>
      </c>
      <c r="G2105" s="2">
        <v>269.70100000000002</v>
      </c>
      <c r="H2105" s="2">
        <v>1.962</v>
      </c>
      <c r="I2105" s="2">
        <v>267.90199999999999</v>
      </c>
      <c r="J2105" s="2">
        <v>266.89699999999999</v>
      </c>
      <c r="K2105" s="15">
        <v>2.8039999999999998</v>
      </c>
      <c r="L2105" s="2">
        <v>12.135999999999999</v>
      </c>
      <c r="N2105" s="7">
        <f t="shared" si="261"/>
        <v>380</v>
      </c>
      <c r="O2105" s="1">
        <f t="shared" si="258"/>
        <v>131</v>
      </c>
      <c r="P2105" s="1" t="str">
        <f t="shared" si="260"/>
        <v>380,131</v>
      </c>
      <c r="Q2105" s="6" t="s">
        <v>10</v>
      </c>
      <c r="R2105" s="1">
        <v>90</v>
      </c>
      <c r="S2105" s="1">
        <v>2.5</v>
      </c>
      <c r="T2105" s="1" t="str">
        <f t="shared" si="259"/>
        <v>-text 380,131 2.5 90 266.897</v>
      </c>
    </row>
    <row r="2106" spans="1:20" x14ac:dyDescent="0.35">
      <c r="A2106" s="1">
        <v>292400</v>
      </c>
      <c r="B2106" s="7">
        <v>1181901.5</v>
      </c>
      <c r="C2106" s="2">
        <v>268.423</v>
      </c>
      <c r="D2106" s="2">
        <v>270.39999999999998</v>
      </c>
      <c r="E2106" s="2">
        <v>1.976</v>
      </c>
      <c r="F2106" s="2">
        <v>267.75099999999998</v>
      </c>
      <c r="G2106" s="2">
        <v>269.68700000000001</v>
      </c>
      <c r="H2106" s="2">
        <v>1.9350000000000001</v>
      </c>
      <c r="I2106" s="2">
        <v>267.82499999999999</v>
      </c>
      <c r="J2106" s="2">
        <v>266.72399999999999</v>
      </c>
      <c r="K2106" s="15">
        <v>2.9630000000000001</v>
      </c>
      <c r="L2106" s="2">
        <v>12.154999999999999</v>
      </c>
      <c r="N2106" s="7">
        <f t="shared" si="261"/>
        <v>400</v>
      </c>
      <c r="O2106" s="1">
        <f t="shared" si="258"/>
        <v>131</v>
      </c>
      <c r="P2106" s="1" t="str">
        <f t="shared" si="260"/>
        <v>400,131</v>
      </c>
      <c r="Q2106" s="6" t="s">
        <v>10</v>
      </c>
      <c r="R2106" s="1">
        <v>90</v>
      </c>
      <c r="S2106" s="1">
        <v>2.5</v>
      </c>
      <c r="T2106" s="1" t="str">
        <f t="shared" si="259"/>
        <v>-text 400,131 2.5 90 266.724</v>
      </c>
    </row>
    <row r="2107" spans="1:20" x14ac:dyDescent="0.35">
      <c r="A2107" s="1">
        <v>292420</v>
      </c>
      <c r="B2107" s="7">
        <v>1181921.5</v>
      </c>
      <c r="C2107" s="2">
        <v>268.43700000000001</v>
      </c>
      <c r="D2107" s="2">
        <v>270.38600000000002</v>
      </c>
      <c r="E2107" s="2">
        <v>1.9490000000000001</v>
      </c>
      <c r="F2107" s="2">
        <v>267.76499999999999</v>
      </c>
      <c r="G2107" s="2">
        <v>269.673</v>
      </c>
      <c r="H2107" s="2">
        <v>1.9079999999999999</v>
      </c>
      <c r="I2107" s="2">
        <v>267.673</v>
      </c>
      <c r="J2107" s="2">
        <v>266.375</v>
      </c>
      <c r="K2107" s="15">
        <v>3.298</v>
      </c>
      <c r="L2107" s="2">
        <v>12.175000000000001</v>
      </c>
      <c r="N2107" s="7">
        <f t="shared" si="261"/>
        <v>420</v>
      </c>
      <c r="O2107" s="1">
        <f t="shared" si="258"/>
        <v>131</v>
      </c>
      <c r="P2107" s="1" t="str">
        <f t="shared" si="260"/>
        <v>420,131</v>
      </c>
      <c r="Q2107" s="6" t="s">
        <v>10</v>
      </c>
      <c r="R2107" s="1">
        <v>90</v>
      </c>
      <c r="S2107" s="1">
        <v>2.5</v>
      </c>
      <c r="T2107" s="1" t="str">
        <f t="shared" si="259"/>
        <v>-text 420,131 2.5 90 266.375</v>
      </c>
    </row>
    <row r="2108" spans="1:20" x14ac:dyDescent="0.35">
      <c r="A2108" s="1">
        <v>292440</v>
      </c>
      <c r="B2108" s="7">
        <v>1181941.5</v>
      </c>
      <c r="C2108" s="2">
        <v>268.44299999999998</v>
      </c>
      <c r="D2108" s="2">
        <v>270.37099999999998</v>
      </c>
      <c r="E2108" s="2">
        <v>1.9279999999999999</v>
      </c>
      <c r="F2108" s="2">
        <v>267.77100000000002</v>
      </c>
      <c r="G2108" s="2">
        <v>269.65800000000002</v>
      </c>
      <c r="H2108" s="2">
        <v>1.887</v>
      </c>
      <c r="I2108" s="2">
        <v>267.60500000000002</v>
      </c>
      <c r="J2108" s="2">
        <v>265.99900000000002</v>
      </c>
      <c r="K2108" s="15">
        <v>3.6589999999999998</v>
      </c>
      <c r="L2108" s="2">
        <v>12.202</v>
      </c>
      <c r="N2108" s="7">
        <f t="shared" si="261"/>
        <v>440</v>
      </c>
      <c r="O2108" s="1">
        <f t="shared" si="258"/>
        <v>131</v>
      </c>
      <c r="P2108" s="1" t="str">
        <f t="shared" si="260"/>
        <v>440,131</v>
      </c>
      <c r="Q2108" s="6" t="s">
        <v>10</v>
      </c>
      <c r="R2108" s="1">
        <v>90</v>
      </c>
      <c r="S2108" s="1">
        <v>2.5</v>
      </c>
      <c r="T2108" s="1" t="str">
        <f t="shared" si="259"/>
        <v>-text 440,131 2.5 90 265.999</v>
      </c>
    </row>
    <row r="2109" spans="1:20" x14ac:dyDescent="0.35">
      <c r="A2109" s="1">
        <v>292460</v>
      </c>
      <c r="B2109" s="7">
        <v>1181961.5</v>
      </c>
      <c r="C2109" s="2">
        <v>268.43200000000002</v>
      </c>
      <c r="D2109" s="2">
        <v>270.35700000000003</v>
      </c>
      <c r="E2109" s="2">
        <v>1.9239999999999999</v>
      </c>
      <c r="F2109" s="2">
        <v>267.76</v>
      </c>
      <c r="G2109" s="2">
        <v>269.64400000000001</v>
      </c>
      <c r="H2109" s="2">
        <v>1.883</v>
      </c>
      <c r="I2109" s="2">
        <v>267.76600000000002</v>
      </c>
      <c r="J2109" s="2">
        <v>265.78100000000001</v>
      </c>
      <c r="K2109" s="15">
        <v>3.863</v>
      </c>
      <c r="L2109" s="2">
        <v>12.246</v>
      </c>
      <c r="N2109" s="7">
        <f t="shared" si="261"/>
        <v>460</v>
      </c>
      <c r="O2109" s="1">
        <f t="shared" si="258"/>
        <v>131</v>
      </c>
      <c r="P2109" s="1" t="str">
        <f t="shared" si="260"/>
        <v>460,131</v>
      </c>
      <c r="Q2109" s="6" t="s">
        <v>10</v>
      </c>
      <c r="R2109" s="1">
        <v>90</v>
      </c>
      <c r="S2109" s="1">
        <v>2.5</v>
      </c>
      <c r="T2109" s="1" t="str">
        <f t="shared" si="259"/>
        <v>-text 460,131 2.5 90 265.781</v>
      </c>
    </row>
    <row r="2110" spans="1:20" x14ac:dyDescent="0.35">
      <c r="A2110" s="1">
        <v>292480</v>
      </c>
      <c r="B2110" s="7">
        <v>1181981.5</v>
      </c>
      <c r="C2110" s="2">
        <v>268.42399999999998</v>
      </c>
      <c r="D2110" s="2">
        <v>270.34199999999998</v>
      </c>
      <c r="E2110" s="2">
        <v>1.919</v>
      </c>
      <c r="F2110" s="2">
        <v>267.75200000000001</v>
      </c>
      <c r="G2110" s="2">
        <v>269.62900000000002</v>
      </c>
      <c r="H2110" s="2">
        <v>1.8779999999999999</v>
      </c>
      <c r="I2110" s="2">
        <v>267.83199999999999</v>
      </c>
      <c r="J2110" s="2">
        <v>265.84300000000002</v>
      </c>
      <c r="K2110" s="15">
        <v>3.786</v>
      </c>
      <c r="L2110" s="2">
        <v>12.287000000000001</v>
      </c>
      <c r="N2110" s="7">
        <f t="shared" si="261"/>
        <v>480</v>
      </c>
      <c r="O2110" s="1">
        <f t="shared" si="258"/>
        <v>131</v>
      </c>
      <c r="P2110" s="1" t="str">
        <f t="shared" si="260"/>
        <v>480,131</v>
      </c>
      <c r="Q2110" s="6" t="s">
        <v>10</v>
      </c>
      <c r="R2110" s="1">
        <v>90</v>
      </c>
      <c r="S2110" s="1">
        <v>2.5</v>
      </c>
      <c r="T2110" s="1" t="str">
        <f t="shared" si="259"/>
        <v>-text 480,131 2.5 90 265.843</v>
      </c>
    </row>
    <row r="2111" spans="1:20" x14ac:dyDescent="0.35">
      <c r="A2111" s="1">
        <v>292500</v>
      </c>
      <c r="B2111" s="7">
        <v>1182001.5</v>
      </c>
      <c r="C2111" s="2">
        <v>268.43700000000001</v>
      </c>
      <c r="D2111" s="2">
        <v>270.32799999999997</v>
      </c>
      <c r="E2111" s="2">
        <v>1.891</v>
      </c>
      <c r="F2111" s="2">
        <v>267.76499999999999</v>
      </c>
      <c r="G2111" s="2">
        <v>269.61500000000001</v>
      </c>
      <c r="H2111" s="2">
        <v>1.85</v>
      </c>
      <c r="I2111" s="2">
        <v>267.846</v>
      </c>
      <c r="J2111" s="2">
        <v>265.98399999999998</v>
      </c>
      <c r="K2111" s="15">
        <v>3.6309999999999998</v>
      </c>
      <c r="L2111" s="2">
        <v>12.3</v>
      </c>
      <c r="N2111" s="7">
        <f>N2108+(B2111-B2108)</f>
        <v>500</v>
      </c>
      <c r="O2111" s="1">
        <f t="shared" si="258"/>
        <v>131</v>
      </c>
      <c r="P2111" s="1" t="str">
        <f t="shared" ref="P2111" si="262">CONCATENATE(N2111,",",O2111)</f>
        <v>500,131</v>
      </c>
      <c r="Q2111" s="6" t="s">
        <v>10</v>
      </c>
      <c r="R2111" s="1">
        <v>90</v>
      </c>
      <c r="S2111" s="1">
        <v>2.5</v>
      </c>
      <c r="T2111" s="1" t="str">
        <f t="shared" si="259"/>
        <v>-text 500,131 2.5 90 265.984</v>
      </c>
    </row>
    <row r="2112" spans="1:20" s="10" customFormat="1" x14ac:dyDescent="0.35">
      <c r="B2112" s="11"/>
      <c r="C2112" s="9"/>
      <c r="D2112" s="9"/>
      <c r="E2112" s="9"/>
      <c r="F2112" s="9"/>
      <c r="G2112" s="9"/>
      <c r="H2112" s="9"/>
      <c r="I2112" s="9"/>
      <c r="J2112" s="9"/>
      <c r="K2112" s="16"/>
      <c r="L2112" s="9"/>
      <c r="M2112" s="9"/>
      <c r="N2112" s="11"/>
      <c r="Q2112" s="12"/>
    </row>
    <row r="2113" spans="1:20" x14ac:dyDescent="0.35">
      <c r="A2113" s="1">
        <v>292500</v>
      </c>
      <c r="B2113" s="7">
        <v>1182001.5</v>
      </c>
      <c r="C2113" s="2">
        <v>268.43700000000001</v>
      </c>
      <c r="D2113" s="2">
        <v>270.32799999999997</v>
      </c>
      <c r="E2113" s="2">
        <v>1.891</v>
      </c>
      <c r="F2113" s="2">
        <v>267.76499999999999</v>
      </c>
      <c r="G2113" s="2">
        <v>269.61500000000001</v>
      </c>
      <c r="H2113" s="2">
        <v>1.85</v>
      </c>
      <c r="I2113" s="2">
        <v>267.846</v>
      </c>
      <c r="J2113" s="2">
        <v>265.98399999999998</v>
      </c>
      <c r="K2113" s="15">
        <v>3.6309999999999998</v>
      </c>
      <c r="L2113" s="2">
        <v>12.3</v>
      </c>
      <c r="N2113" s="7">
        <v>0</v>
      </c>
      <c r="O2113" s="1">
        <f t="shared" si="258"/>
        <v>131</v>
      </c>
      <c r="P2113" s="1" t="str">
        <f t="shared" si="260"/>
        <v>0,131</v>
      </c>
      <c r="Q2113" s="6" t="s">
        <v>10</v>
      </c>
      <c r="R2113" s="1">
        <v>90</v>
      </c>
      <c r="S2113" s="1">
        <v>2.5</v>
      </c>
      <c r="T2113" s="1" t="str">
        <f t="shared" si="259"/>
        <v>-text 0,131 2.5 90 265.984</v>
      </c>
    </row>
    <row r="2114" spans="1:20" x14ac:dyDescent="0.35">
      <c r="A2114" s="1">
        <v>292520</v>
      </c>
      <c r="B2114" s="7">
        <v>1182021.5</v>
      </c>
      <c r="C2114" s="2">
        <v>268.44299999999998</v>
      </c>
      <c r="D2114" s="2">
        <v>270.31400000000002</v>
      </c>
      <c r="E2114" s="2">
        <v>1.871</v>
      </c>
      <c r="F2114" s="2">
        <v>267.77100000000002</v>
      </c>
      <c r="G2114" s="2">
        <v>269.601</v>
      </c>
      <c r="H2114" s="2">
        <v>1.83</v>
      </c>
      <c r="I2114" s="2">
        <v>267.84199999999998</v>
      </c>
      <c r="J2114" s="2">
        <v>265.89600000000002</v>
      </c>
      <c r="K2114" s="15">
        <v>3.7050000000000001</v>
      </c>
      <c r="L2114" s="2">
        <v>12.326000000000001</v>
      </c>
      <c r="N2114" s="7">
        <f t="shared" ref="N2114:N2136" si="263">N2113+(B2114-B2113)</f>
        <v>20</v>
      </c>
      <c r="O2114" s="1">
        <f t="shared" si="258"/>
        <v>131</v>
      </c>
      <c r="P2114" s="1" t="str">
        <f t="shared" si="260"/>
        <v>20,131</v>
      </c>
      <c r="Q2114" s="6" t="s">
        <v>10</v>
      </c>
      <c r="R2114" s="1">
        <v>90</v>
      </c>
      <c r="S2114" s="1">
        <v>2.5</v>
      </c>
      <c r="T2114" s="1" t="str">
        <f t="shared" si="259"/>
        <v>-text 20,131 2.5 90 265.896</v>
      </c>
    </row>
    <row r="2115" spans="1:20" x14ac:dyDescent="0.35">
      <c r="A2115" s="1">
        <v>292540</v>
      </c>
      <c r="B2115" s="7">
        <v>1182041.5</v>
      </c>
      <c r="C2115" s="2">
        <v>268.44</v>
      </c>
      <c r="D2115" s="2">
        <v>270.29899999999998</v>
      </c>
      <c r="E2115" s="2">
        <v>1.859</v>
      </c>
      <c r="F2115" s="2">
        <v>267.76799999999997</v>
      </c>
      <c r="G2115" s="2">
        <v>269.58600000000001</v>
      </c>
      <c r="H2115" s="2">
        <v>1.8180000000000001</v>
      </c>
      <c r="I2115" s="2">
        <v>267.822</v>
      </c>
      <c r="J2115" s="2">
        <v>265.61399999999998</v>
      </c>
      <c r="K2115" s="15">
        <v>3.9729999999999999</v>
      </c>
      <c r="L2115" s="2">
        <v>12.367000000000001</v>
      </c>
      <c r="N2115" s="7">
        <f t="shared" si="263"/>
        <v>40</v>
      </c>
      <c r="O2115" s="1">
        <f t="shared" si="258"/>
        <v>131</v>
      </c>
      <c r="P2115" s="1" t="str">
        <f t="shared" si="260"/>
        <v>40,131</v>
      </c>
      <c r="Q2115" s="6" t="s">
        <v>10</v>
      </c>
      <c r="R2115" s="1">
        <v>90</v>
      </c>
      <c r="S2115" s="1">
        <v>2.5</v>
      </c>
      <c r="T2115" s="1" t="str">
        <f t="shared" si="259"/>
        <v>-text 40,131 2.5 90 265.614</v>
      </c>
    </row>
    <row r="2116" spans="1:20" x14ac:dyDescent="0.35">
      <c r="A2116" s="1">
        <v>292560</v>
      </c>
      <c r="B2116" s="7">
        <v>1182061.5</v>
      </c>
      <c r="C2116" s="2">
        <v>268.43799999999999</v>
      </c>
      <c r="D2116" s="2">
        <v>270.28500000000003</v>
      </c>
      <c r="E2116" s="2">
        <v>1.847</v>
      </c>
      <c r="F2116" s="2">
        <v>267.76600000000002</v>
      </c>
      <c r="G2116" s="2">
        <v>269.572</v>
      </c>
      <c r="H2116" s="2">
        <v>1.806</v>
      </c>
      <c r="I2116" s="2">
        <v>267.80599999999998</v>
      </c>
      <c r="J2116" s="2">
        <v>265.67700000000002</v>
      </c>
      <c r="K2116" s="15">
        <v>3.895</v>
      </c>
      <c r="L2116" s="2">
        <v>12.401999999999999</v>
      </c>
      <c r="N2116" s="7">
        <f t="shared" si="263"/>
        <v>60</v>
      </c>
      <c r="O2116" s="1">
        <f t="shared" si="258"/>
        <v>131</v>
      </c>
      <c r="P2116" s="1" t="str">
        <f t="shared" si="260"/>
        <v>60,131</v>
      </c>
      <c r="Q2116" s="6" t="s">
        <v>10</v>
      </c>
      <c r="R2116" s="1">
        <v>90</v>
      </c>
      <c r="S2116" s="1">
        <v>2.5</v>
      </c>
      <c r="T2116" s="1" t="str">
        <f t="shared" si="259"/>
        <v>-text 60,131 2.5 90 265.677</v>
      </c>
    </row>
    <row r="2117" spans="1:20" x14ac:dyDescent="0.35">
      <c r="A2117" s="1">
        <v>292580</v>
      </c>
      <c r="B2117" s="7">
        <v>1182081.5</v>
      </c>
      <c r="C2117" s="2">
        <v>268.43400000000003</v>
      </c>
      <c r="D2117" s="2">
        <v>270.27100000000002</v>
      </c>
      <c r="E2117" s="2">
        <v>1.8360000000000001</v>
      </c>
      <c r="F2117" s="2">
        <v>267.762</v>
      </c>
      <c r="G2117" s="2">
        <v>269.55799999999999</v>
      </c>
      <c r="H2117" s="2">
        <v>1.7949999999999999</v>
      </c>
      <c r="I2117" s="2">
        <v>267.80599999999998</v>
      </c>
      <c r="J2117" s="2">
        <v>265.74700000000001</v>
      </c>
      <c r="K2117" s="15">
        <v>3.8109999999999999</v>
      </c>
      <c r="L2117" s="2">
        <v>12.407999999999999</v>
      </c>
      <c r="N2117" s="7">
        <f t="shared" si="263"/>
        <v>80</v>
      </c>
      <c r="O2117" s="1">
        <f t="shared" si="258"/>
        <v>131</v>
      </c>
      <c r="P2117" s="1" t="str">
        <f t="shared" si="260"/>
        <v>80,131</v>
      </c>
      <c r="Q2117" s="6" t="s">
        <v>10</v>
      </c>
      <c r="R2117" s="1">
        <v>90</v>
      </c>
      <c r="S2117" s="1">
        <v>2.5</v>
      </c>
      <c r="T2117" s="1" t="str">
        <f t="shared" si="259"/>
        <v>-text 80,131 2.5 90 265.747</v>
      </c>
    </row>
    <row r="2118" spans="1:20" x14ac:dyDescent="0.35">
      <c r="A2118" s="1">
        <v>292600</v>
      </c>
      <c r="B2118" s="7">
        <v>1182101.5</v>
      </c>
      <c r="C2118" s="2">
        <v>268.43099999999998</v>
      </c>
      <c r="D2118" s="2">
        <v>270.25599999999997</v>
      </c>
      <c r="E2118" s="2">
        <v>1.825</v>
      </c>
      <c r="F2118" s="2">
        <v>267.75900000000001</v>
      </c>
      <c r="G2118" s="2">
        <v>269.54300000000001</v>
      </c>
      <c r="H2118" s="2">
        <v>1.784</v>
      </c>
      <c r="I2118" s="2">
        <v>267.80900000000003</v>
      </c>
      <c r="J2118" s="2">
        <v>265.80500000000001</v>
      </c>
      <c r="K2118" s="15">
        <v>3.7389999999999999</v>
      </c>
      <c r="L2118" s="2">
        <v>12.413</v>
      </c>
      <c r="N2118" s="7">
        <f t="shared" si="263"/>
        <v>100</v>
      </c>
      <c r="O2118" s="1">
        <f t="shared" si="258"/>
        <v>131</v>
      </c>
      <c r="P2118" s="1" t="str">
        <f t="shared" si="260"/>
        <v>100,131</v>
      </c>
      <c r="Q2118" s="6" t="s">
        <v>10</v>
      </c>
      <c r="R2118" s="1">
        <v>90</v>
      </c>
      <c r="S2118" s="1">
        <v>2.5</v>
      </c>
      <c r="T2118" s="1" t="str">
        <f t="shared" si="259"/>
        <v>-text 100,131 2.5 90 265.805</v>
      </c>
    </row>
    <row r="2119" spans="1:20" x14ac:dyDescent="0.35">
      <c r="A2119" s="1">
        <v>292620</v>
      </c>
      <c r="B2119" s="7">
        <v>1182121.5</v>
      </c>
      <c r="C2119" s="2">
        <v>268.43</v>
      </c>
      <c r="D2119" s="2">
        <v>270.24200000000002</v>
      </c>
      <c r="E2119" s="2">
        <v>1.8120000000000001</v>
      </c>
      <c r="F2119" s="2">
        <v>267.75799999999998</v>
      </c>
      <c r="G2119" s="2">
        <v>269.529</v>
      </c>
      <c r="H2119" s="2">
        <v>1.7709999999999999</v>
      </c>
      <c r="I2119" s="2">
        <v>267.82299999999998</v>
      </c>
      <c r="J2119" s="2">
        <v>265.87</v>
      </c>
      <c r="K2119" s="15">
        <v>3.6579999999999999</v>
      </c>
      <c r="L2119" s="2">
        <v>12.430999999999999</v>
      </c>
      <c r="N2119" s="7">
        <f t="shared" si="263"/>
        <v>120</v>
      </c>
      <c r="O2119" s="1">
        <f t="shared" si="258"/>
        <v>131</v>
      </c>
      <c r="P2119" s="1" t="str">
        <f t="shared" si="260"/>
        <v>120,131</v>
      </c>
      <c r="Q2119" s="6" t="s">
        <v>10</v>
      </c>
      <c r="R2119" s="1">
        <v>90</v>
      </c>
      <c r="S2119" s="1">
        <v>2.5</v>
      </c>
      <c r="T2119" s="1" t="str">
        <f t="shared" si="259"/>
        <v>-text 120,131 2.5 90 265.87</v>
      </c>
    </row>
    <row r="2120" spans="1:20" x14ac:dyDescent="0.35">
      <c r="A2120" s="1">
        <v>292640</v>
      </c>
      <c r="B2120" s="7">
        <v>1182141.5</v>
      </c>
      <c r="C2120" s="2">
        <v>268.43</v>
      </c>
      <c r="D2120" s="2">
        <v>270.22800000000001</v>
      </c>
      <c r="E2120" s="2">
        <v>1.7969999999999999</v>
      </c>
      <c r="F2120" s="2">
        <v>267.75799999999998</v>
      </c>
      <c r="G2120" s="2">
        <v>269.51499999999999</v>
      </c>
      <c r="H2120" s="2">
        <v>1.756</v>
      </c>
      <c r="I2120" s="2">
        <v>267.84100000000001</v>
      </c>
      <c r="J2120" s="2">
        <v>266.01</v>
      </c>
      <c r="K2120" s="15">
        <v>3.5049999999999999</v>
      </c>
      <c r="L2120" s="2">
        <v>12.452</v>
      </c>
      <c r="N2120" s="7">
        <f t="shared" si="263"/>
        <v>140</v>
      </c>
      <c r="O2120" s="1">
        <f t="shared" si="258"/>
        <v>131</v>
      </c>
      <c r="P2120" s="1" t="str">
        <f t="shared" si="260"/>
        <v>140,131</v>
      </c>
      <c r="Q2120" s="6" t="s">
        <v>10</v>
      </c>
      <c r="R2120" s="1">
        <v>90</v>
      </c>
      <c r="S2120" s="1">
        <v>2.5</v>
      </c>
      <c r="T2120" s="1" t="str">
        <f t="shared" si="259"/>
        <v>-text 140,131 2.5 90 266.01</v>
      </c>
    </row>
    <row r="2121" spans="1:20" x14ac:dyDescent="0.35">
      <c r="A2121" s="1">
        <v>292660</v>
      </c>
      <c r="B2121" s="7">
        <v>1182161.5</v>
      </c>
      <c r="C2121" s="2">
        <v>268.43</v>
      </c>
      <c r="D2121" s="2">
        <v>270.21300000000002</v>
      </c>
      <c r="E2121" s="2">
        <v>1.784</v>
      </c>
      <c r="F2121" s="2">
        <v>267.75799999999998</v>
      </c>
      <c r="G2121" s="2">
        <v>269.5</v>
      </c>
      <c r="H2121" s="2">
        <v>1.7430000000000001</v>
      </c>
      <c r="I2121" s="2">
        <v>267.83999999999997</v>
      </c>
      <c r="J2121" s="2">
        <v>265.94799999999998</v>
      </c>
      <c r="K2121" s="15">
        <v>3.552</v>
      </c>
      <c r="L2121" s="2">
        <v>12.465</v>
      </c>
      <c r="N2121" s="7">
        <f t="shared" si="263"/>
        <v>160</v>
      </c>
      <c r="O2121" s="1">
        <f t="shared" si="258"/>
        <v>131</v>
      </c>
      <c r="P2121" s="1" t="str">
        <f t="shared" si="260"/>
        <v>160,131</v>
      </c>
      <c r="Q2121" s="6" t="s">
        <v>10</v>
      </c>
      <c r="R2121" s="1">
        <v>90</v>
      </c>
      <c r="S2121" s="1">
        <v>2.5</v>
      </c>
      <c r="T2121" s="1" t="str">
        <f t="shared" si="259"/>
        <v>-text 160,131 2.5 90 265.948</v>
      </c>
    </row>
    <row r="2122" spans="1:20" x14ac:dyDescent="0.35">
      <c r="A2122" s="1">
        <v>292680</v>
      </c>
      <c r="B2122" s="7">
        <v>1182181.5</v>
      </c>
      <c r="C2122" s="2">
        <v>268.428</v>
      </c>
      <c r="D2122" s="2">
        <v>270.19900000000001</v>
      </c>
      <c r="E2122" s="2">
        <v>1.7709999999999999</v>
      </c>
      <c r="F2122" s="2">
        <v>267.75599999999997</v>
      </c>
      <c r="G2122" s="2">
        <v>269.48599999999999</v>
      </c>
      <c r="H2122" s="2">
        <v>1.73</v>
      </c>
      <c r="I2122" s="2">
        <v>267.82499999999999</v>
      </c>
      <c r="J2122" s="2">
        <v>265.97199999999998</v>
      </c>
      <c r="K2122" s="15">
        <v>3.5139999999999998</v>
      </c>
      <c r="L2122" s="2">
        <v>12.468</v>
      </c>
      <c r="N2122" s="7">
        <f t="shared" si="263"/>
        <v>180</v>
      </c>
      <c r="O2122" s="1">
        <f t="shared" si="258"/>
        <v>131</v>
      </c>
      <c r="P2122" s="1" t="str">
        <f t="shared" si="260"/>
        <v>180,131</v>
      </c>
      <c r="Q2122" s="6" t="s">
        <v>10</v>
      </c>
      <c r="R2122" s="1">
        <v>90</v>
      </c>
      <c r="S2122" s="1">
        <v>2.5</v>
      </c>
      <c r="T2122" s="1" t="str">
        <f t="shared" si="259"/>
        <v>-text 180,131 2.5 90 265.972</v>
      </c>
    </row>
    <row r="2123" spans="1:20" x14ac:dyDescent="0.35">
      <c r="A2123" s="1">
        <v>292700</v>
      </c>
      <c r="B2123" s="7">
        <v>1182201.5</v>
      </c>
      <c r="C2123" s="2">
        <v>268.42599999999999</v>
      </c>
      <c r="D2123" s="2">
        <v>270.18400000000003</v>
      </c>
      <c r="E2123" s="2">
        <v>1.758</v>
      </c>
      <c r="F2123" s="2">
        <v>267.75400000000002</v>
      </c>
      <c r="G2123" s="2">
        <v>269.471</v>
      </c>
      <c r="H2123" s="2">
        <v>1.7170000000000001</v>
      </c>
      <c r="I2123" s="2">
        <v>267.80099999999999</v>
      </c>
      <c r="J2123" s="2">
        <v>265.97699999999998</v>
      </c>
      <c r="K2123" s="15">
        <v>3.4950000000000001</v>
      </c>
      <c r="L2123" s="2">
        <v>12.472</v>
      </c>
      <c r="N2123" s="7">
        <f t="shared" si="263"/>
        <v>200</v>
      </c>
      <c r="O2123" s="1">
        <f t="shared" si="258"/>
        <v>131</v>
      </c>
      <c r="P2123" s="1" t="str">
        <f t="shared" si="260"/>
        <v>200,131</v>
      </c>
      <c r="Q2123" s="6" t="s">
        <v>10</v>
      </c>
      <c r="R2123" s="1">
        <v>90</v>
      </c>
      <c r="S2123" s="1">
        <v>2.5</v>
      </c>
      <c r="T2123" s="1" t="str">
        <f t="shared" si="259"/>
        <v>-text 200,131 2.5 90 265.977</v>
      </c>
    </row>
    <row r="2124" spans="1:20" x14ac:dyDescent="0.35">
      <c r="A2124" s="1">
        <v>292720</v>
      </c>
      <c r="B2124" s="7">
        <v>1182221.5</v>
      </c>
      <c r="C2124" s="2">
        <v>268.42399999999998</v>
      </c>
      <c r="D2124" s="2">
        <v>270.17</v>
      </c>
      <c r="E2124" s="2">
        <v>1.746</v>
      </c>
      <c r="F2124" s="2">
        <v>267.75200000000001</v>
      </c>
      <c r="G2124" s="2">
        <v>269.45699999999999</v>
      </c>
      <c r="H2124" s="2">
        <v>1.7050000000000001</v>
      </c>
      <c r="I2124" s="2">
        <v>267.74099999999999</v>
      </c>
      <c r="J2124" s="2">
        <v>266.10599999999999</v>
      </c>
      <c r="K2124" s="15">
        <v>3.351</v>
      </c>
      <c r="L2124" s="2">
        <v>12.476000000000001</v>
      </c>
      <c r="N2124" s="7">
        <f t="shared" si="263"/>
        <v>220</v>
      </c>
      <c r="O2124" s="1">
        <f t="shared" si="258"/>
        <v>131</v>
      </c>
      <c r="P2124" s="1" t="str">
        <f t="shared" si="260"/>
        <v>220,131</v>
      </c>
      <c r="Q2124" s="6" t="s">
        <v>10</v>
      </c>
      <c r="R2124" s="1">
        <v>90</v>
      </c>
      <c r="S2124" s="1">
        <v>2.5</v>
      </c>
      <c r="T2124" s="1" t="str">
        <f t="shared" si="259"/>
        <v>-text 220,131 2.5 90 266.106</v>
      </c>
    </row>
    <row r="2125" spans="1:20" x14ac:dyDescent="0.35">
      <c r="A2125" s="1">
        <v>292740</v>
      </c>
      <c r="B2125" s="7">
        <v>1182241.5</v>
      </c>
      <c r="C2125" s="2">
        <v>268.423</v>
      </c>
      <c r="D2125" s="2">
        <v>270.15600000000001</v>
      </c>
      <c r="E2125" s="2">
        <v>1.7330000000000001</v>
      </c>
      <c r="F2125" s="2">
        <v>267.75099999999998</v>
      </c>
      <c r="G2125" s="2">
        <v>269.44299999999998</v>
      </c>
      <c r="H2125" s="2">
        <v>1.6919999999999999</v>
      </c>
      <c r="I2125" s="2">
        <v>267.67399999999998</v>
      </c>
      <c r="J2125" s="2">
        <v>265.976</v>
      </c>
      <c r="K2125" s="15">
        <v>3.4660000000000002</v>
      </c>
      <c r="L2125" s="2">
        <v>12.483000000000001</v>
      </c>
      <c r="N2125" s="7">
        <f t="shared" si="263"/>
        <v>240</v>
      </c>
      <c r="O2125" s="1">
        <f t="shared" si="258"/>
        <v>131</v>
      </c>
      <c r="P2125" s="1" t="str">
        <f t="shared" si="260"/>
        <v>240,131</v>
      </c>
      <c r="Q2125" s="6" t="s">
        <v>10</v>
      </c>
      <c r="R2125" s="1">
        <v>90</v>
      </c>
      <c r="S2125" s="1">
        <v>2.5</v>
      </c>
      <c r="T2125" s="1" t="str">
        <f t="shared" si="259"/>
        <v>-text 240,131 2.5 90 265.976</v>
      </c>
    </row>
    <row r="2126" spans="1:20" x14ac:dyDescent="0.35">
      <c r="A2126" s="1">
        <v>292760</v>
      </c>
      <c r="B2126" s="7">
        <v>1182261.5</v>
      </c>
      <c r="C2126" s="2">
        <v>268.42099999999999</v>
      </c>
      <c r="D2126" s="2">
        <v>270.14100000000002</v>
      </c>
      <c r="E2126" s="2">
        <v>1.72</v>
      </c>
      <c r="F2126" s="2">
        <v>267.74900000000002</v>
      </c>
      <c r="G2126" s="2">
        <v>269.428</v>
      </c>
      <c r="H2126" s="2">
        <v>1.679</v>
      </c>
      <c r="I2126" s="2">
        <v>267.54700000000003</v>
      </c>
      <c r="J2126" s="2">
        <v>266.07400000000001</v>
      </c>
      <c r="K2126" s="15">
        <v>3.3540000000000001</v>
      </c>
      <c r="L2126" s="2">
        <v>12.502000000000001</v>
      </c>
      <c r="N2126" s="7">
        <f t="shared" si="263"/>
        <v>260</v>
      </c>
      <c r="O2126" s="1">
        <f t="shared" si="258"/>
        <v>131</v>
      </c>
      <c r="P2126" s="1" t="str">
        <f t="shared" si="260"/>
        <v>260,131</v>
      </c>
      <c r="Q2126" s="6" t="s">
        <v>10</v>
      </c>
      <c r="R2126" s="1">
        <v>90</v>
      </c>
      <c r="S2126" s="1">
        <v>2.5</v>
      </c>
      <c r="T2126" s="1" t="str">
        <f t="shared" si="259"/>
        <v>-text 260,131 2.5 90 266.074</v>
      </c>
    </row>
    <row r="2127" spans="1:20" x14ac:dyDescent="0.35">
      <c r="A2127" s="1">
        <v>292780</v>
      </c>
      <c r="B2127" s="7">
        <v>1182281.5</v>
      </c>
      <c r="C2127" s="2">
        <v>268.42</v>
      </c>
      <c r="D2127" s="2">
        <v>270.12700000000001</v>
      </c>
      <c r="E2127" s="2">
        <v>1.7070000000000001</v>
      </c>
      <c r="F2127" s="2">
        <v>267.74799999999999</v>
      </c>
      <c r="G2127" s="2">
        <v>269.41399999999999</v>
      </c>
      <c r="H2127" s="2">
        <v>1.6659999999999999</v>
      </c>
      <c r="I2127" s="2">
        <v>267.40699999999998</v>
      </c>
      <c r="J2127" s="2">
        <v>265.94400000000002</v>
      </c>
      <c r="K2127" s="15">
        <v>3.47</v>
      </c>
      <c r="L2127" s="2">
        <v>12.521000000000001</v>
      </c>
      <c r="N2127" s="7">
        <f t="shared" si="263"/>
        <v>280</v>
      </c>
      <c r="O2127" s="1">
        <f t="shared" si="258"/>
        <v>131</v>
      </c>
      <c r="P2127" s="1" t="str">
        <f t="shared" si="260"/>
        <v>280,131</v>
      </c>
      <c r="Q2127" s="6" t="s">
        <v>10</v>
      </c>
      <c r="R2127" s="1">
        <v>90</v>
      </c>
      <c r="S2127" s="1">
        <v>2.5</v>
      </c>
      <c r="T2127" s="1" t="str">
        <f t="shared" si="259"/>
        <v>-text 280,131 2.5 90 265.944</v>
      </c>
    </row>
    <row r="2128" spans="1:20" x14ac:dyDescent="0.35">
      <c r="A2128" s="1">
        <v>292800</v>
      </c>
      <c r="B2128" s="7">
        <v>1182301.5</v>
      </c>
      <c r="C2128" s="2">
        <v>268.41800000000001</v>
      </c>
      <c r="D2128" s="2">
        <v>270.113</v>
      </c>
      <c r="E2128" s="2">
        <v>1.694</v>
      </c>
      <c r="F2128" s="2">
        <v>267.74599999999998</v>
      </c>
      <c r="G2128" s="2">
        <v>269.39999999999998</v>
      </c>
      <c r="H2128" s="2">
        <v>1.653</v>
      </c>
      <c r="I2128" s="2">
        <v>267.45</v>
      </c>
      <c r="J2128" s="2">
        <v>265.87</v>
      </c>
      <c r="K2128" s="15">
        <v>3.53</v>
      </c>
      <c r="L2128" s="2">
        <v>12.54</v>
      </c>
      <c r="N2128" s="7">
        <f t="shared" si="263"/>
        <v>300</v>
      </c>
      <c r="O2128" s="1">
        <f t="shared" si="258"/>
        <v>131</v>
      </c>
      <c r="P2128" s="1" t="str">
        <f t="shared" si="260"/>
        <v>300,131</v>
      </c>
      <c r="Q2128" s="6" t="s">
        <v>10</v>
      </c>
      <c r="R2128" s="1">
        <v>90</v>
      </c>
      <c r="S2128" s="1">
        <v>2.5</v>
      </c>
      <c r="T2128" s="1" t="str">
        <f t="shared" si="259"/>
        <v>-text 300,131 2.5 90 265.87</v>
      </c>
    </row>
    <row r="2129" spans="1:20" x14ac:dyDescent="0.35">
      <c r="A2129" s="1">
        <v>292820</v>
      </c>
      <c r="B2129" s="7">
        <v>1182321.5</v>
      </c>
      <c r="C2129" s="2">
        <v>268.41699999999997</v>
      </c>
      <c r="D2129" s="2">
        <v>270.09800000000001</v>
      </c>
      <c r="E2129" s="2">
        <v>1.681</v>
      </c>
      <c r="F2129" s="2">
        <v>267.745</v>
      </c>
      <c r="G2129" s="2">
        <v>269.38499999999999</v>
      </c>
      <c r="H2129" s="2">
        <v>1.64</v>
      </c>
      <c r="I2129" s="2">
        <v>267.54599999999999</v>
      </c>
      <c r="J2129" s="2">
        <v>265.73399999999998</v>
      </c>
      <c r="K2129" s="15">
        <v>3.6509999999999998</v>
      </c>
      <c r="L2129" s="2">
        <v>12.558999999999999</v>
      </c>
      <c r="N2129" s="7">
        <f t="shared" si="263"/>
        <v>320</v>
      </c>
      <c r="O2129" s="1">
        <f t="shared" si="258"/>
        <v>131</v>
      </c>
      <c r="P2129" s="1" t="str">
        <f t="shared" si="260"/>
        <v>320,131</v>
      </c>
      <c r="Q2129" s="6" t="s">
        <v>10</v>
      </c>
      <c r="R2129" s="1">
        <v>90</v>
      </c>
      <c r="S2129" s="1">
        <v>2.5</v>
      </c>
      <c r="T2129" s="1" t="str">
        <f t="shared" si="259"/>
        <v>-text 320,131 2.5 90 265.734</v>
      </c>
    </row>
    <row r="2130" spans="1:20" x14ac:dyDescent="0.35">
      <c r="A2130" s="1">
        <v>292840</v>
      </c>
      <c r="B2130" s="7">
        <v>1182341.5</v>
      </c>
      <c r="C2130" s="2">
        <v>268.41199999999998</v>
      </c>
      <c r="D2130" s="2">
        <v>270.084</v>
      </c>
      <c r="E2130" s="2">
        <v>1.6719999999999999</v>
      </c>
      <c r="F2130" s="2">
        <v>267.74</v>
      </c>
      <c r="G2130" s="2">
        <v>269.37099999999998</v>
      </c>
      <c r="H2130" s="2">
        <v>1.631</v>
      </c>
      <c r="I2130" s="2">
        <v>267.589</v>
      </c>
      <c r="J2130" s="2">
        <v>265.58199999999999</v>
      </c>
      <c r="K2130" s="15">
        <v>3.7890000000000001</v>
      </c>
      <c r="L2130" s="2">
        <v>12.579000000000001</v>
      </c>
      <c r="N2130" s="7">
        <f t="shared" si="263"/>
        <v>340</v>
      </c>
      <c r="O2130" s="1">
        <f t="shared" si="258"/>
        <v>131</v>
      </c>
      <c r="P2130" s="1" t="str">
        <f t="shared" si="260"/>
        <v>340,131</v>
      </c>
      <c r="Q2130" s="6" t="s">
        <v>10</v>
      </c>
      <c r="R2130" s="1">
        <v>90</v>
      </c>
      <c r="S2130" s="1">
        <v>2.5</v>
      </c>
      <c r="T2130" s="1" t="str">
        <f t="shared" si="259"/>
        <v>-text 340,131 2.5 90 265.582</v>
      </c>
    </row>
    <row r="2131" spans="1:20" x14ac:dyDescent="0.35">
      <c r="A2131" s="1">
        <v>292860</v>
      </c>
      <c r="B2131" s="7">
        <v>1182361.5</v>
      </c>
      <c r="C2131" s="2">
        <v>268.38799999999998</v>
      </c>
      <c r="D2131" s="2">
        <v>270.07</v>
      </c>
      <c r="E2131" s="2">
        <v>1.681</v>
      </c>
      <c r="F2131" s="2">
        <v>267.71600000000001</v>
      </c>
      <c r="G2131" s="2">
        <v>269.35700000000003</v>
      </c>
      <c r="H2131" s="2">
        <v>1.64</v>
      </c>
      <c r="I2131" s="2">
        <v>267.512</v>
      </c>
      <c r="J2131" s="2">
        <v>265.58199999999999</v>
      </c>
      <c r="K2131" s="15">
        <v>3.774</v>
      </c>
      <c r="L2131" s="2">
        <v>12.602</v>
      </c>
      <c r="N2131" s="7">
        <f t="shared" si="263"/>
        <v>360</v>
      </c>
      <c r="O2131" s="1">
        <f t="shared" si="258"/>
        <v>131</v>
      </c>
      <c r="P2131" s="1" t="str">
        <f t="shared" si="260"/>
        <v>360,131</v>
      </c>
      <c r="Q2131" s="6" t="s">
        <v>10</v>
      </c>
      <c r="R2131" s="1">
        <v>90</v>
      </c>
      <c r="S2131" s="1">
        <v>2.5</v>
      </c>
      <c r="T2131" s="1" t="str">
        <f t="shared" si="259"/>
        <v>-text 360,131 2.5 90 265.582</v>
      </c>
    </row>
    <row r="2132" spans="1:20" x14ac:dyDescent="0.35">
      <c r="A2132" s="1">
        <v>292880</v>
      </c>
      <c r="B2132" s="7">
        <v>1182381.5</v>
      </c>
      <c r="C2132" s="2">
        <v>268.36399999999998</v>
      </c>
      <c r="D2132" s="2">
        <v>270.05500000000001</v>
      </c>
      <c r="E2132" s="2">
        <v>1.6910000000000001</v>
      </c>
      <c r="F2132" s="2">
        <v>267.69200000000001</v>
      </c>
      <c r="G2132" s="2">
        <v>269.34199999999998</v>
      </c>
      <c r="H2132" s="2">
        <v>1.65</v>
      </c>
      <c r="I2132" s="2">
        <v>267.42</v>
      </c>
      <c r="J2132" s="2">
        <v>265.62400000000002</v>
      </c>
      <c r="K2132" s="15">
        <v>3.718</v>
      </c>
      <c r="L2132" s="2">
        <v>12.624000000000001</v>
      </c>
      <c r="N2132" s="7">
        <f t="shared" si="263"/>
        <v>380</v>
      </c>
      <c r="O2132" s="1">
        <f t="shared" ref="O2132:O2192" si="264">19+16+16+16+16+16+16+16</f>
        <v>131</v>
      </c>
      <c r="P2132" s="1" t="str">
        <f t="shared" si="260"/>
        <v>380,131</v>
      </c>
      <c r="Q2132" s="6" t="s">
        <v>10</v>
      </c>
      <c r="R2132" s="1">
        <v>90</v>
      </c>
      <c r="S2132" s="1">
        <v>2.5</v>
      </c>
      <c r="T2132" s="1" t="str">
        <f t="shared" ref="T2132:T2192" si="265">$Q2132&amp;" "&amp;$P2132&amp;" "&amp;$S2132&amp;" "&amp;$R2132&amp;" "&amp;$J2132</f>
        <v>-text 380,131 2.5 90 265.624</v>
      </c>
    </row>
    <row r="2133" spans="1:20" x14ac:dyDescent="0.35">
      <c r="A2133" s="1">
        <v>292900</v>
      </c>
      <c r="B2133" s="7">
        <v>1182401.5</v>
      </c>
      <c r="C2133" s="2">
        <v>268.34100000000001</v>
      </c>
      <c r="D2133" s="2">
        <v>270.041</v>
      </c>
      <c r="E2133" s="2">
        <v>1.7</v>
      </c>
      <c r="F2133" s="2">
        <v>267.66899999999998</v>
      </c>
      <c r="G2133" s="2">
        <v>269.32799999999997</v>
      </c>
      <c r="H2133" s="2">
        <v>1.659</v>
      </c>
      <c r="I2133" s="2">
        <v>267.42899999999997</v>
      </c>
      <c r="J2133" s="2">
        <v>266.18799999999999</v>
      </c>
      <c r="K2133" s="15">
        <v>3.14</v>
      </c>
      <c r="L2133" s="2">
        <v>12.638</v>
      </c>
      <c r="N2133" s="7">
        <f t="shared" si="263"/>
        <v>400</v>
      </c>
      <c r="O2133" s="1">
        <f t="shared" si="264"/>
        <v>131</v>
      </c>
      <c r="P2133" s="1" t="str">
        <f t="shared" si="260"/>
        <v>400,131</v>
      </c>
      <c r="Q2133" s="6" t="s">
        <v>10</v>
      </c>
      <c r="R2133" s="1">
        <v>90</v>
      </c>
      <c r="S2133" s="1">
        <v>2.5</v>
      </c>
      <c r="T2133" s="1" t="str">
        <f t="shared" si="265"/>
        <v>-text 400,131 2.5 90 266.188</v>
      </c>
    </row>
    <row r="2134" spans="1:20" x14ac:dyDescent="0.35">
      <c r="A2134" s="1">
        <v>292920</v>
      </c>
      <c r="B2134" s="7">
        <v>1182421.5</v>
      </c>
      <c r="C2134" s="2">
        <v>268.31599999999997</v>
      </c>
      <c r="D2134" s="2">
        <v>270.02600000000001</v>
      </c>
      <c r="E2134" s="2">
        <v>1.71</v>
      </c>
      <c r="F2134" s="2">
        <v>267.64400000000001</v>
      </c>
      <c r="G2134" s="2">
        <v>269.31299999999999</v>
      </c>
      <c r="H2134" s="2">
        <v>1.669</v>
      </c>
      <c r="I2134" s="2">
        <v>267.50299999999999</v>
      </c>
      <c r="J2134" s="2">
        <v>266.553</v>
      </c>
      <c r="K2134" s="15">
        <v>2.76</v>
      </c>
      <c r="L2134" s="2">
        <v>12.641</v>
      </c>
      <c r="N2134" s="7">
        <f t="shared" si="263"/>
        <v>420</v>
      </c>
      <c r="O2134" s="1">
        <f t="shared" si="264"/>
        <v>131</v>
      </c>
      <c r="P2134" s="1" t="str">
        <f t="shared" ref="P2134:P2201" si="266">CONCATENATE(N2134,",",O2134)</f>
        <v>420,131</v>
      </c>
      <c r="Q2134" s="6" t="s">
        <v>10</v>
      </c>
      <c r="R2134" s="1">
        <v>90</v>
      </c>
      <c r="S2134" s="1">
        <v>2.5</v>
      </c>
      <c r="T2134" s="1" t="str">
        <f t="shared" si="265"/>
        <v>-text 420,131 2.5 90 266.553</v>
      </c>
    </row>
    <row r="2135" spans="1:20" x14ac:dyDescent="0.35">
      <c r="A2135" s="1">
        <v>292940</v>
      </c>
      <c r="B2135" s="7">
        <v>1182441.5</v>
      </c>
      <c r="C2135" s="2">
        <v>268.29399999999998</v>
      </c>
      <c r="D2135" s="2">
        <v>270.012</v>
      </c>
      <c r="E2135" s="2">
        <v>1.718</v>
      </c>
      <c r="F2135" s="2">
        <v>267.62200000000001</v>
      </c>
      <c r="G2135" s="2">
        <v>269.29899999999998</v>
      </c>
      <c r="H2135" s="2">
        <v>1.677</v>
      </c>
      <c r="I2135" s="2">
        <v>267.57400000000001</v>
      </c>
      <c r="J2135" s="2">
        <v>266.90100000000001</v>
      </c>
      <c r="K2135" s="15">
        <v>2.3980000000000001</v>
      </c>
      <c r="L2135" s="2">
        <v>12.644</v>
      </c>
      <c r="N2135" s="7">
        <f t="shared" si="263"/>
        <v>440</v>
      </c>
      <c r="O2135" s="1">
        <f t="shared" si="264"/>
        <v>131</v>
      </c>
      <c r="P2135" s="1" t="str">
        <f t="shared" si="266"/>
        <v>440,131</v>
      </c>
      <c r="Q2135" s="6" t="s">
        <v>10</v>
      </c>
      <c r="R2135" s="1">
        <v>90</v>
      </c>
      <c r="S2135" s="1">
        <v>2.5</v>
      </c>
      <c r="T2135" s="1" t="str">
        <f t="shared" si="265"/>
        <v>-text 440,131 2.5 90 266.901</v>
      </c>
    </row>
    <row r="2136" spans="1:20" x14ac:dyDescent="0.35">
      <c r="A2136" s="1">
        <v>292957.48241890001</v>
      </c>
      <c r="B2136" s="7">
        <v>1182459</v>
      </c>
      <c r="C2136" s="2">
        <v>268.28100000000001</v>
      </c>
      <c r="D2136" s="2">
        <v>269.99900000000002</v>
      </c>
      <c r="E2136" s="2">
        <v>1.718</v>
      </c>
      <c r="F2136" s="2">
        <v>267.60899999999998</v>
      </c>
      <c r="G2136" s="2">
        <v>269.286</v>
      </c>
      <c r="H2136" s="2">
        <v>1.677</v>
      </c>
      <c r="I2136" s="2">
        <v>267.57100000000003</v>
      </c>
      <c r="J2136" s="2">
        <v>266.87900000000002</v>
      </c>
      <c r="K2136" s="15">
        <v>2.4079999999999999</v>
      </c>
      <c r="L2136" s="2">
        <v>12.643000000000001</v>
      </c>
      <c r="N2136" s="7">
        <f t="shared" si="263"/>
        <v>457.5</v>
      </c>
      <c r="O2136" s="1">
        <f t="shared" si="264"/>
        <v>131</v>
      </c>
      <c r="P2136" s="1" t="str">
        <f t="shared" si="266"/>
        <v>457.5,131</v>
      </c>
      <c r="Q2136" s="6" t="s">
        <v>10</v>
      </c>
      <c r="R2136" s="1">
        <v>90</v>
      </c>
      <c r="S2136" s="1">
        <v>2.5</v>
      </c>
      <c r="T2136" s="1" t="str">
        <f t="shared" si="265"/>
        <v>-text 457.5,131 2.5 90 266.879</v>
      </c>
    </row>
    <row r="2137" spans="1:20" s="10" customFormat="1" x14ac:dyDescent="0.35">
      <c r="B2137" s="11"/>
      <c r="C2137" s="9"/>
      <c r="D2137" s="9"/>
      <c r="E2137" s="9"/>
      <c r="F2137" s="9"/>
      <c r="G2137" s="9"/>
      <c r="H2137" s="9"/>
      <c r="I2137" s="9"/>
      <c r="J2137" s="9"/>
      <c r="K2137" s="16"/>
      <c r="L2137" s="9"/>
      <c r="M2137" s="9"/>
      <c r="N2137" s="11"/>
      <c r="Q2137" s="12"/>
    </row>
    <row r="2138" spans="1:20" x14ac:dyDescent="0.35">
      <c r="A2138" s="1">
        <v>293000</v>
      </c>
      <c r="B2138" s="7">
        <v>1182459</v>
      </c>
      <c r="C2138" s="2">
        <v>268.28100000000001</v>
      </c>
      <c r="D2138" s="2">
        <v>269.99900000000002</v>
      </c>
      <c r="E2138" s="2">
        <v>1.718</v>
      </c>
      <c r="F2138" s="2">
        <v>267.60899999999998</v>
      </c>
      <c r="G2138" s="2">
        <v>269.286</v>
      </c>
      <c r="H2138" s="2">
        <v>1.677</v>
      </c>
      <c r="I2138" s="2">
        <v>267.57100000000003</v>
      </c>
      <c r="J2138" s="2">
        <v>266.87900000000002</v>
      </c>
      <c r="K2138" s="15">
        <v>2.4079999999999999</v>
      </c>
      <c r="L2138" s="2">
        <v>12.643000000000001</v>
      </c>
      <c r="N2138" s="7">
        <v>0</v>
      </c>
      <c r="O2138" s="1">
        <f t="shared" si="264"/>
        <v>131</v>
      </c>
      <c r="P2138" s="1" t="str">
        <f t="shared" si="266"/>
        <v>0,131</v>
      </c>
      <c r="Q2138" s="6" t="s">
        <v>10</v>
      </c>
      <c r="R2138" s="1">
        <v>90</v>
      </c>
      <c r="S2138" s="1">
        <v>2.5</v>
      </c>
      <c r="T2138" s="1" t="str">
        <f t="shared" si="265"/>
        <v>-text 0,131 2.5 90 266.879</v>
      </c>
    </row>
    <row r="2139" spans="1:20" x14ac:dyDescent="0.35">
      <c r="A2139" s="1">
        <v>293020</v>
      </c>
      <c r="B2139" s="7">
        <v>1182479</v>
      </c>
      <c r="C2139" s="2">
        <v>268.26600000000002</v>
      </c>
      <c r="D2139" s="2">
        <v>269.98500000000001</v>
      </c>
      <c r="E2139" s="2">
        <v>1.7190000000000001</v>
      </c>
      <c r="F2139" s="2">
        <v>267.59399999999999</v>
      </c>
      <c r="G2139" s="2">
        <v>269.27199999999999</v>
      </c>
      <c r="H2139" s="2">
        <v>1.6779999999999999</v>
      </c>
      <c r="I2139" s="2">
        <v>267.49200000000002</v>
      </c>
      <c r="J2139" s="2">
        <v>266.35300000000001</v>
      </c>
      <c r="K2139" s="15">
        <v>2.919</v>
      </c>
      <c r="L2139" s="2">
        <v>12.643000000000001</v>
      </c>
      <c r="N2139" s="7">
        <f t="shared" ref="N2139:N2162" si="267">N2138+(B2139-B2138)</f>
        <v>20</v>
      </c>
      <c r="O2139" s="1">
        <f t="shared" si="264"/>
        <v>131</v>
      </c>
      <c r="P2139" s="1" t="str">
        <f t="shared" si="266"/>
        <v>20,131</v>
      </c>
      <c r="Q2139" s="6" t="s">
        <v>10</v>
      </c>
      <c r="R2139" s="1">
        <v>90</v>
      </c>
      <c r="S2139" s="1">
        <v>2.5</v>
      </c>
      <c r="T2139" s="1" t="str">
        <f t="shared" si="265"/>
        <v>-text 20,131 2.5 90 266.353</v>
      </c>
    </row>
    <row r="2140" spans="1:20" x14ac:dyDescent="0.35">
      <c r="A2140" s="1">
        <v>293040</v>
      </c>
      <c r="B2140" s="7">
        <v>1182499</v>
      </c>
      <c r="C2140" s="2">
        <v>268.291</v>
      </c>
      <c r="D2140" s="2">
        <v>269.971</v>
      </c>
      <c r="E2140" s="2">
        <v>1.68</v>
      </c>
      <c r="F2140" s="2">
        <v>267.61900000000003</v>
      </c>
      <c r="G2140" s="2">
        <v>269.25799999999998</v>
      </c>
      <c r="H2140" s="2">
        <v>1.639</v>
      </c>
      <c r="I2140" s="2">
        <v>267.452</v>
      </c>
      <c r="J2140" s="2">
        <v>265.43299999999999</v>
      </c>
      <c r="K2140" s="15">
        <v>3.8250000000000002</v>
      </c>
      <c r="L2140" s="2">
        <v>12.67</v>
      </c>
      <c r="N2140" s="7">
        <f t="shared" si="267"/>
        <v>40</v>
      </c>
      <c r="O2140" s="1">
        <f t="shared" si="264"/>
        <v>131</v>
      </c>
      <c r="P2140" s="1" t="str">
        <f t="shared" si="266"/>
        <v>40,131</v>
      </c>
      <c r="Q2140" s="6" t="s">
        <v>10</v>
      </c>
      <c r="R2140" s="1">
        <v>90</v>
      </c>
      <c r="S2140" s="1">
        <v>2.5</v>
      </c>
      <c r="T2140" s="1" t="str">
        <f t="shared" si="265"/>
        <v>-text 40,131 2.5 90 265.433</v>
      </c>
    </row>
    <row r="2141" spans="1:20" x14ac:dyDescent="0.35">
      <c r="A2141" s="1">
        <v>293060</v>
      </c>
      <c r="B2141" s="7">
        <v>1182519</v>
      </c>
      <c r="C2141" s="2">
        <v>268.322</v>
      </c>
      <c r="D2141" s="2">
        <v>269.95600000000002</v>
      </c>
      <c r="E2141" s="2">
        <v>1.635</v>
      </c>
      <c r="F2141" s="2">
        <v>267.64999999999998</v>
      </c>
      <c r="G2141" s="2">
        <v>269.24299999999999</v>
      </c>
      <c r="H2141" s="2">
        <v>1.5940000000000001</v>
      </c>
      <c r="I2141" s="2">
        <v>267.43799999999999</v>
      </c>
      <c r="J2141" s="2">
        <v>265.52</v>
      </c>
      <c r="K2141" s="15">
        <v>3.7240000000000002</v>
      </c>
      <c r="L2141" s="2">
        <v>12.702</v>
      </c>
      <c r="N2141" s="7">
        <f t="shared" si="267"/>
        <v>60</v>
      </c>
      <c r="O2141" s="1">
        <f t="shared" si="264"/>
        <v>131</v>
      </c>
      <c r="P2141" s="1" t="str">
        <f t="shared" si="266"/>
        <v>60,131</v>
      </c>
      <c r="Q2141" s="6" t="s">
        <v>10</v>
      </c>
      <c r="R2141" s="1">
        <v>90</v>
      </c>
      <c r="S2141" s="1">
        <v>2.5</v>
      </c>
      <c r="T2141" s="1" t="str">
        <f t="shared" si="265"/>
        <v>-text 60,131 2.5 90 265.52</v>
      </c>
    </row>
    <row r="2142" spans="1:20" x14ac:dyDescent="0.35">
      <c r="A2142" s="1">
        <v>293080</v>
      </c>
      <c r="B2142" s="7">
        <v>1182539</v>
      </c>
      <c r="C2142" s="2">
        <v>268.32299999999998</v>
      </c>
      <c r="D2142" s="2">
        <v>269.94200000000001</v>
      </c>
      <c r="E2142" s="2">
        <v>1.619</v>
      </c>
      <c r="F2142" s="2">
        <v>267.65100000000001</v>
      </c>
      <c r="G2142" s="2">
        <v>269.22899999999998</v>
      </c>
      <c r="H2142" s="2">
        <v>1.5780000000000001</v>
      </c>
      <c r="I2142" s="2">
        <v>267.51900000000001</v>
      </c>
      <c r="J2142" s="2">
        <v>265.46899999999999</v>
      </c>
      <c r="K2142" s="15">
        <v>3.76</v>
      </c>
      <c r="L2142" s="2">
        <v>12.776</v>
      </c>
      <c r="N2142" s="7">
        <f t="shared" si="267"/>
        <v>80</v>
      </c>
      <c r="O2142" s="1">
        <f t="shared" si="264"/>
        <v>131</v>
      </c>
      <c r="P2142" s="1" t="str">
        <f t="shared" si="266"/>
        <v>80,131</v>
      </c>
      <c r="Q2142" s="6" t="s">
        <v>10</v>
      </c>
      <c r="R2142" s="1">
        <v>90</v>
      </c>
      <c r="S2142" s="1">
        <v>2.5</v>
      </c>
      <c r="T2142" s="1" t="str">
        <f t="shared" si="265"/>
        <v>-text 80,131 2.5 90 265.469</v>
      </c>
    </row>
    <row r="2143" spans="1:20" x14ac:dyDescent="0.35">
      <c r="A2143" s="1">
        <v>293100</v>
      </c>
      <c r="B2143" s="7">
        <v>1182559</v>
      </c>
      <c r="C2143" s="2">
        <v>268.30900000000003</v>
      </c>
      <c r="D2143" s="2">
        <v>269.928</v>
      </c>
      <c r="E2143" s="2">
        <v>1.619</v>
      </c>
      <c r="F2143" s="2">
        <v>267.637</v>
      </c>
      <c r="G2143" s="2">
        <v>269.21499999999997</v>
      </c>
      <c r="H2143" s="2">
        <v>1.5780000000000001</v>
      </c>
      <c r="I2143" s="2">
        <v>267.61500000000001</v>
      </c>
      <c r="J2143" s="2">
        <v>265.25</v>
      </c>
      <c r="K2143" s="15">
        <v>3.9649999999999999</v>
      </c>
      <c r="L2143" s="2">
        <v>12.87</v>
      </c>
      <c r="N2143" s="7">
        <f t="shared" si="267"/>
        <v>100</v>
      </c>
      <c r="O2143" s="1">
        <f t="shared" si="264"/>
        <v>131</v>
      </c>
      <c r="P2143" s="1" t="str">
        <f t="shared" si="266"/>
        <v>100,131</v>
      </c>
      <c r="Q2143" s="6" t="s">
        <v>10</v>
      </c>
      <c r="R2143" s="1">
        <v>90</v>
      </c>
      <c r="S2143" s="1">
        <v>2.5</v>
      </c>
      <c r="T2143" s="1" t="str">
        <f t="shared" si="265"/>
        <v>-text 100,131 2.5 90 265.25</v>
      </c>
    </row>
    <row r="2144" spans="1:20" x14ac:dyDescent="0.35">
      <c r="A2144" s="1">
        <v>293120</v>
      </c>
      <c r="B2144" s="7">
        <v>1182579</v>
      </c>
      <c r="C2144" s="2">
        <v>268.33100000000002</v>
      </c>
      <c r="D2144" s="2">
        <v>269.91300000000001</v>
      </c>
      <c r="E2144" s="2">
        <v>1.583</v>
      </c>
      <c r="F2144" s="2">
        <v>267.65899999999999</v>
      </c>
      <c r="G2144" s="2">
        <v>269.2</v>
      </c>
      <c r="H2144" s="2">
        <v>1.542</v>
      </c>
      <c r="I2144" s="2">
        <v>267.45800000000003</v>
      </c>
      <c r="J2144" s="2">
        <v>265.56900000000002</v>
      </c>
      <c r="K2144" s="15">
        <v>3.6309999999999998</v>
      </c>
      <c r="L2144" s="2">
        <v>12.77</v>
      </c>
      <c r="N2144" s="7">
        <f t="shared" si="267"/>
        <v>120</v>
      </c>
      <c r="O2144" s="1">
        <f t="shared" si="264"/>
        <v>131</v>
      </c>
      <c r="P2144" s="1" t="str">
        <f t="shared" si="266"/>
        <v>120,131</v>
      </c>
      <c r="Q2144" s="6" t="s">
        <v>10</v>
      </c>
      <c r="R2144" s="1">
        <v>90</v>
      </c>
      <c r="S2144" s="1">
        <v>2.5</v>
      </c>
      <c r="T2144" s="1" t="str">
        <f t="shared" si="265"/>
        <v>-text 120,131 2.5 90 265.569</v>
      </c>
    </row>
    <row r="2145" spans="1:20" x14ac:dyDescent="0.35">
      <c r="A2145" s="1">
        <v>293140</v>
      </c>
      <c r="B2145" s="7">
        <v>1182599</v>
      </c>
      <c r="C2145" s="2">
        <v>268.31299999999999</v>
      </c>
      <c r="D2145" s="2">
        <v>269.899</v>
      </c>
      <c r="E2145" s="2">
        <v>1.5860000000000001</v>
      </c>
      <c r="F2145" s="2">
        <v>267.64100000000002</v>
      </c>
      <c r="G2145" s="2">
        <v>269.18599999999998</v>
      </c>
      <c r="H2145" s="2">
        <v>1.5449999999999999</v>
      </c>
      <c r="I2145" s="2">
        <v>267.298</v>
      </c>
      <c r="J2145" s="2">
        <v>265.62200000000001</v>
      </c>
      <c r="K2145" s="15">
        <v>3.5640000000000001</v>
      </c>
      <c r="L2145" s="2">
        <v>12.813000000000001</v>
      </c>
      <c r="N2145" s="7">
        <f t="shared" si="267"/>
        <v>140</v>
      </c>
      <c r="O2145" s="1">
        <f t="shared" si="264"/>
        <v>131</v>
      </c>
      <c r="P2145" s="1" t="str">
        <f t="shared" si="266"/>
        <v>140,131</v>
      </c>
      <c r="Q2145" s="6" t="s">
        <v>10</v>
      </c>
      <c r="R2145" s="1">
        <v>90</v>
      </c>
      <c r="S2145" s="1">
        <v>2.5</v>
      </c>
      <c r="T2145" s="1" t="str">
        <f t="shared" si="265"/>
        <v>-text 140,131 2.5 90 265.622</v>
      </c>
    </row>
    <row r="2146" spans="1:20" x14ac:dyDescent="0.35">
      <c r="A2146" s="1">
        <v>293160</v>
      </c>
      <c r="B2146" s="7">
        <v>1182619</v>
      </c>
      <c r="C2146" s="2">
        <v>268.29500000000002</v>
      </c>
      <c r="D2146" s="2">
        <v>269.88499999999999</v>
      </c>
      <c r="E2146" s="2">
        <v>1.59</v>
      </c>
      <c r="F2146" s="2">
        <v>267.62299999999999</v>
      </c>
      <c r="G2146" s="2">
        <v>269.17200000000003</v>
      </c>
      <c r="H2146" s="2">
        <v>1.5489999999999999</v>
      </c>
      <c r="I2146" s="2">
        <v>267.327</v>
      </c>
      <c r="J2146" s="2">
        <v>265.66500000000002</v>
      </c>
      <c r="K2146" s="15">
        <v>3.5070000000000001</v>
      </c>
      <c r="L2146" s="2">
        <v>12.856999999999999</v>
      </c>
      <c r="N2146" s="7">
        <f t="shared" si="267"/>
        <v>160</v>
      </c>
      <c r="O2146" s="1">
        <f t="shared" si="264"/>
        <v>131</v>
      </c>
      <c r="P2146" s="1" t="str">
        <f t="shared" si="266"/>
        <v>160,131</v>
      </c>
      <c r="Q2146" s="6" t="s">
        <v>10</v>
      </c>
      <c r="R2146" s="1">
        <v>90</v>
      </c>
      <c r="S2146" s="1">
        <v>2.5</v>
      </c>
      <c r="T2146" s="1" t="str">
        <f t="shared" si="265"/>
        <v>-text 160,131 2.5 90 265.665</v>
      </c>
    </row>
    <row r="2147" spans="1:20" x14ac:dyDescent="0.35">
      <c r="A2147" s="1">
        <v>293180</v>
      </c>
      <c r="B2147" s="7">
        <v>1182639</v>
      </c>
      <c r="C2147" s="2">
        <v>268.27699999999999</v>
      </c>
      <c r="D2147" s="2">
        <v>269.87</v>
      </c>
      <c r="E2147" s="2">
        <v>1.593</v>
      </c>
      <c r="F2147" s="2">
        <v>267.60500000000002</v>
      </c>
      <c r="G2147" s="2">
        <v>269.15699999999998</v>
      </c>
      <c r="H2147" s="2">
        <v>1.552</v>
      </c>
      <c r="I2147" s="2">
        <v>267.416</v>
      </c>
      <c r="J2147" s="2">
        <v>265.80099999999999</v>
      </c>
      <c r="K2147" s="15">
        <v>3.3570000000000002</v>
      </c>
      <c r="L2147" s="2">
        <v>12.9</v>
      </c>
      <c r="N2147" s="7">
        <f t="shared" si="267"/>
        <v>180</v>
      </c>
      <c r="O2147" s="1">
        <f t="shared" si="264"/>
        <v>131</v>
      </c>
      <c r="P2147" s="1" t="str">
        <f t="shared" si="266"/>
        <v>180,131</v>
      </c>
      <c r="Q2147" s="6" t="s">
        <v>10</v>
      </c>
      <c r="R2147" s="1">
        <v>90</v>
      </c>
      <c r="S2147" s="1">
        <v>2.5</v>
      </c>
      <c r="T2147" s="1" t="str">
        <f t="shared" si="265"/>
        <v>-text 180,131 2.5 90 265.801</v>
      </c>
    </row>
    <row r="2148" spans="1:20" x14ac:dyDescent="0.35">
      <c r="A2148" s="1">
        <v>293200</v>
      </c>
      <c r="B2148" s="7">
        <v>1182659</v>
      </c>
      <c r="C2148" s="2">
        <v>268.27600000000001</v>
      </c>
      <c r="D2148" s="2">
        <v>269.85599999999999</v>
      </c>
      <c r="E2148" s="2">
        <v>1.58</v>
      </c>
      <c r="F2148" s="2">
        <v>267.60399999999998</v>
      </c>
      <c r="G2148" s="2">
        <v>269.14299999999997</v>
      </c>
      <c r="H2148" s="2">
        <v>1.5389999999999999</v>
      </c>
      <c r="I2148" s="2">
        <v>267.43200000000002</v>
      </c>
      <c r="J2148" s="2">
        <v>265.86599999999999</v>
      </c>
      <c r="K2148" s="15">
        <v>3.2770000000000001</v>
      </c>
      <c r="L2148" s="2">
        <v>12.930999999999999</v>
      </c>
      <c r="N2148" s="7">
        <f t="shared" si="267"/>
        <v>200</v>
      </c>
      <c r="O2148" s="1">
        <f t="shared" si="264"/>
        <v>131</v>
      </c>
      <c r="P2148" s="1" t="str">
        <f t="shared" si="266"/>
        <v>200,131</v>
      </c>
      <c r="Q2148" s="6" t="s">
        <v>10</v>
      </c>
      <c r="R2148" s="1">
        <v>90</v>
      </c>
      <c r="S2148" s="1">
        <v>2.5</v>
      </c>
      <c r="T2148" s="1" t="str">
        <f t="shared" si="265"/>
        <v>-text 200,131 2.5 90 265.866</v>
      </c>
    </row>
    <row r="2149" spans="1:20" x14ac:dyDescent="0.35">
      <c r="A2149" s="1">
        <v>293220</v>
      </c>
      <c r="B2149" s="7">
        <v>1182679</v>
      </c>
      <c r="C2149" s="2">
        <v>268.28699999999998</v>
      </c>
      <c r="D2149" s="2">
        <v>269.84100000000001</v>
      </c>
      <c r="E2149" s="2">
        <v>1.554</v>
      </c>
      <c r="F2149" s="2">
        <v>267.61500000000001</v>
      </c>
      <c r="G2149" s="2">
        <v>269.12799999999999</v>
      </c>
      <c r="H2149" s="2">
        <v>1.5129999999999999</v>
      </c>
      <c r="I2149" s="2">
        <v>267.40499999999997</v>
      </c>
      <c r="J2149" s="2">
        <v>265.85700000000003</v>
      </c>
      <c r="K2149" s="15">
        <v>3.2719999999999998</v>
      </c>
      <c r="L2149" s="2">
        <v>12.952999999999999</v>
      </c>
      <c r="N2149" s="7">
        <f t="shared" si="267"/>
        <v>220</v>
      </c>
      <c r="O2149" s="1">
        <f t="shared" si="264"/>
        <v>131</v>
      </c>
      <c r="P2149" s="1" t="str">
        <f t="shared" si="266"/>
        <v>220,131</v>
      </c>
      <c r="Q2149" s="6" t="s">
        <v>10</v>
      </c>
      <c r="R2149" s="1">
        <v>90</v>
      </c>
      <c r="S2149" s="1">
        <v>2.5</v>
      </c>
      <c r="T2149" s="1" t="str">
        <f t="shared" si="265"/>
        <v>-text 220,131 2.5 90 265.857</v>
      </c>
    </row>
    <row r="2150" spans="1:20" x14ac:dyDescent="0.35">
      <c r="A2150" s="1">
        <v>293240</v>
      </c>
      <c r="B2150" s="7">
        <v>1182699</v>
      </c>
      <c r="C2150" s="2">
        <v>268.30200000000002</v>
      </c>
      <c r="D2150" s="2">
        <v>269.827</v>
      </c>
      <c r="E2150" s="2">
        <v>1.5249999999999999</v>
      </c>
      <c r="F2150" s="2">
        <v>267.63</v>
      </c>
      <c r="G2150" s="2">
        <v>269.11399999999998</v>
      </c>
      <c r="H2150" s="2">
        <v>1.484</v>
      </c>
      <c r="I2150" s="2">
        <v>267.40100000000001</v>
      </c>
      <c r="J2150" s="2">
        <v>265.81200000000001</v>
      </c>
      <c r="K2150" s="15">
        <v>3.3029999999999999</v>
      </c>
      <c r="L2150" s="2">
        <v>12.965999999999999</v>
      </c>
      <c r="N2150" s="7">
        <f t="shared" si="267"/>
        <v>240</v>
      </c>
      <c r="O2150" s="1">
        <f t="shared" si="264"/>
        <v>131</v>
      </c>
      <c r="P2150" s="1" t="str">
        <f t="shared" si="266"/>
        <v>240,131</v>
      </c>
      <c r="Q2150" s="6" t="s">
        <v>10</v>
      </c>
      <c r="R2150" s="1">
        <v>90</v>
      </c>
      <c r="S2150" s="1">
        <v>2.5</v>
      </c>
      <c r="T2150" s="1" t="str">
        <f t="shared" si="265"/>
        <v>-text 240,131 2.5 90 265.812</v>
      </c>
    </row>
    <row r="2151" spans="1:20" x14ac:dyDescent="0.35">
      <c r="A2151" s="1">
        <v>293260</v>
      </c>
      <c r="B2151" s="7">
        <v>1182719</v>
      </c>
      <c r="C2151" s="2">
        <v>268.327</v>
      </c>
      <c r="D2151" s="2">
        <v>269.81299999999999</v>
      </c>
      <c r="E2151" s="2">
        <v>1.486</v>
      </c>
      <c r="F2151" s="2">
        <v>267.65499999999997</v>
      </c>
      <c r="G2151" s="2">
        <v>269.10000000000002</v>
      </c>
      <c r="H2151" s="2">
        <v>1.4450000000000001</v>
      </c>
      <c r="I2151" s="2">
        <v>267.47500000000002</v>
      </c>
      <c r="J2151" s="2">
        <v>265.76600000000002</v>
      </c>
      <c r="K2151" s="15">
        <v>3.3340000000000001</v>
      </c>
      <c r="L2151" s="2">
        <v>12.956</v>
      </c>
      <c r="N2151" s="7">
        <f t="shared" si="267"/>
        <v>260</v>
      </c>
      <c r="O2151" s="1">
        <f t="shared" si="264"/>
        <v>131</v>
      </c>
      <c r="P2151" s="1" t="str">
        <f t="shared" si="266"/>
        <v>260,131</v>
      </c>
      <c r="Q2151" s="6" t="s">
        <v>10</v>
      </c>
      <c r="R2151" s="1">
        <v>90</v>
      </c>
      <c r="S2151" s="1">
        <v>2.5</v>
      </c>
      <c r="T2151" s="1" t="str">
        <f t="shared" si="265"/>
        <v>-text 260,131 2.5 90 265.766</v>
      </c>
    </row>
    <row r="2152" spans="1:20" x14ac:dyDescent="0.35">
      <c r="A2152" s="1">
        <v>293280</v>
      </c>
      <c r="B2152" s="7">
        <v>1182739</v>
      </c>
      <c r="C2152" s="2">
        <v>268.35199999999998</v>
      </c>
      <c r="D2152" s="2">
        <v>269.798</v>
      </c>
      <c r="E2152" s="2">
        <v>1.4470000000000001</v>
      </c>
      <c r="F2152" s="2">
        <v>267.68</v>
      </c>
      <c r="G2152" s="2">
        <v>269.08499999999998</v>
      </c>
      <c r="H2152" s="2">
        <v>1.4059999999999999</v>
      </c>
      <c r="I2152" s="2">
        <v>267.54199999999997</v>
      </c>
      <c r="J2152" s="2">
        <v>265.63600000000002</v>
      </c>
      <c r="K2152" s="15">
        <v>3.4489999999999998</v>
      </c>
      <c r="L2152" s="2">
        <v>12.946</v>
      </c>
      <c r="N2152" s="7">
        <f t="shared" si="267"/>
        <v>280</v>
      </c>
      <c r="O2152" s="1">
        <f t="shared" si="264"/>
        <v>131</v>
      </c>
      <c r="P2152" s="1" t="str">
        <f t="shared" si="266"/>
        <v>280,131</v>
      </c>
      <c r="Q2152" s="6" t="s">
        <v>10</v>
      </c>
      <c r="R2152" s="1">
        <v>90</v>
      </c>
      <c r="S2152" s="1">
        <v>2.5</v>
      </c>
      <c r="T2152" s="1" t="str">
        <f t="shared" si="265"/>
        <v>-text 280,131 2.5 90 265.636</v>
      </c>
    </row>
    <row r="2153" spans="1:20" x14ac:dyDescent="0.35">
      <c r="A2153" s="1">
        <v>293300</v>
      </c>
      <c r="B2153" s="7">
        <v>1182759</v>
      </c>
      <c r="C2153" s="2">
        <v>268.36399999999998</v>
      </c>
      <c r="D2153" s="2">
        <v>269.78399999999999</v>
      </c>
      <c r="E2153" s="2">
        <v>1.42</v>
      </c>
      <c r="F2153" s="2">
        <v>267.69200000000001</v>
      </c>
      <c r="G2153" s="2">
        <v>269.07100000000003</v>
      </c>
      <c r="H2153" s="2">
        <v>1.379</v>
      </c>
      <c r="I2153" s="2">
        <v>267.565</v>
      </c>
      <c r="J2153" s="2">
        <v>265.75299999999999</v>
      </c>
      <c r="K2153" s="15">
        <v>3.3180000000000001</v>
      </c>
      <c r="L2153" s="2">
        <v>12.935</v>
      </c>
      <c r="N2153" s="7">
        <f t="shared" si="267"/>
        <v>300</v>
      </c>
      <c r="O2153" s="1">
        <f t="shared" si="264"/>
        <v>131</v>
      </c>
      <c r="P2153" s="1" t="str">
        <f t="shared" si="266"/>
        <v>300,131</v>
      </c>
      <c r="Q2153" s="6" t="s">
        <v>10</v>
      </c>
      <c r="R2153" s="1">
        <v>90</v>
      </c>
      <c r="S2153" s="1">
        <v>2.5</v>
      </c>
      <c r="T2153" s="1" t="str">
        <f t="shared" si="265"/>
        <v>-text 300,131 2.5 90 265.753</v>
      </c>
    </row>
    <row r="2154" spans="1:20" x14ac:dyDescent="0.35">
      <c r="A2154" s="1">
        <v>293320</v>
      </c>
      <c r="B2154" s="7">
        <v>1182779</v>
      </c>
      <c r="C2154" s="2">
        <v>268.375</v>
      </c>
      <c r="D2154" s="2">
        <v>269.77</v>
      </c>
      <c r="E2154" s="2">
        <v>1.395</v>
      </c>
      <c r="F2154" s="2">
        <v>267.70299999999997</v>
      </c>
      <c r="G2154" s="2">
        <v>269.05700000000002</v>
      </c>
      <c r="H2154" s="2">
        <v>1.3540000000000001</v>
      </c>
      <c r="I2154" s="2">
        <v>267.56299999999999</v>
      </c>
      <c r="J2154" s="2">
        <v>265.96300000000002</v>
      </c>
      <c r="K2154" s="15">
        <v>3.0939999999999999</v>
      </c>
      <c r="L2154" s="2">
        <v>12.923</v>
      </c>
      <c r="N2154" s="7">
        <f t="shared" si="267"/>
        <v>320</v>
      </c>
      <c r="O2154" s="1">
        <f t="shared" si="264"/>
        <v>131</v>
      </c>
      <c r="P2154" s="1" t="str">
        <f t="shared" si="266"/>
        <v>320,131</v>
      </c>
      <c r="Q2154" s="6" t="s">
        <v>10</v>
      </c>
      <c r="R2154" s="1">
        <v>90</v>
      </c>
      <c r="S2154" s="1">
        <v>2.5</v>
      </c>
      <c r="T2154" s="1" t="str">
        <f t="shared" si="265"/>
        <v>-text 320,131 2.5 90 265.963</v>
      </c>
    </row>
    <row r="2155" spans="1:20" x14ac:dyDescent="0.35">
      <c r="A2155" s="1">
        <v>293340</v>
      </c>
      <c r="B2155" s="7">
        <v>1182799</v>
      </c>
      <c r="C2155" s="2">
        <v>268.38400000000001</v>
      </c>
      <c r="D2155" s="2">
        <v>269.755</v>
      </c>
      <c r="E2155" s="2">
        <v>1.3720000000000001</v>
      </c>
      <c r="F2155" s="2">
        <v>267.71199999999999</v>
      </c>
      <c r="G2155" s="2">
        <v>269.04199999999997</v>
      </c>
      <c r="H2155" s="2">
        <v>1.331</v>
      </c>
      <c r="I2155" s="2">
        <v>267.53800000000001</v>
      </c>
      <c r="J2155" s="2">
        <v>265.64999999999998</v>
      </c>
      <c r="K2155" s="15">
        <v>3.3919999999999999</v>
      </c>
      <c r="L2155" s="2">
        <v>12.913</v>
      </c>
      <c r="N2155" s="7">
        <f t="shared" si="267"/>
        <v>340</v>
      </c>
      <c r="O2155" s="1">
        <f t="shared" si="264"/>
        <v>131</v>
      </c>
      <c r="P2155" s="1" t="str">
        <f t="shared" si="266"/>
        <v>340,131</v>
      </c>
      <c r="Q2155" s="6" t="s">
        <v>10</v>
      </c>
      <c r="R2155" s="1">
        <v>90</v>
      </c>
      <c r="S2155" s="1">
        <v>2.5</v>
      </c>
      <c r="T2155" s="1" t="str">
        <f t="shared" si="265"/>
        <v>-text 340,131 2.5 90 265.65</v>
      </c>
    </row>
    <row r="2156" spans="1:20" x14ac:dyDescent="0.35">
      <c r="A2156" s="1">
        <v>293360</v>
      </c>
      <c r="B2156" s="7">
        <v>1182819</v>
      </c>
      <c r="C2156" s="2">
        <v>268.39100000000002</v>
      </c>
      <c r="D2156" s="2">
        <v>269.74099999999999</v>
      </c>
      <c r="E2156" s="2">
        <v>1.35</v>
      </c>
      <c r="F2156" s="2">
        <v>267.71899999999999</v>
      </c>
      <c r="G2156" s="2">
        <v>269.02800000000002</v>
      </c>
      <c r="H2156" s="2">
        <v>1.3089999999999999</v>
      </c>
      <c r="I2156" s="2">
        <v>267.39600000000002</v>
      </c>
      <c r="J2156" s="2">
        <v>265.18799999999999</v>
      </c>
      <c r="K2156" s="15">
        <v>3.84</v>
      </c>
      <c r="L2156" s="2">
        <v>12.903</v>
      </c>
      <c r="N2156" s="7">
        <f t="shared" si="267"/>
        <v>360</v>
      </c>
      <c r="O2156" s="1">
        <f t="shared" si="264"/>
        <v>131</v>
      </c>
      <c r="P2156" s="1" t="str">
        <f t="shared" si="266"/>
        <v>360,131</v>
      </c>
      <c r="Q2156" s="6" t="s">
        <v>10</v>
      </c>
      <c r="R2156" s="1">
        <v>90</v>
      </c>
      <c r="S2156" s="1">
        <v>2.5</v>
      </c>
      <c r="T2156" s="1" t="str">
        <f t="shared" si="265"/>
        <v>-text 360,131 2.5 90 265.188</v>
      </c>
    </row>
    <row r="2157" spans="1:20" x14ac:dyDescent="0.35">
      <c r="A2157" s="1">
        <v>293380</v>
      </c>
      <c r="B2157" s="7">
        <v>1182839</v>
      </c>
      <c r="C2157" s="2">
        <v>268.38099999999997</v>
      </c>
      <c r="D2157" s="2">
        <v>269.72699999999998</v>
      </c>
      <c r="E2157" s="2">
        <v>1.345</v>
      </c>
      <c r="F2157" s="2">
        <v>267.709</v>
      </c>
      <c r="G2157" s="2">
        <v>269.01400000000001</v>
      </c>
      <c r="H2157" s="2">
        <v>1.304</v>
      </c>
      <c r="I2157" s="2">
        <v>267.46899999999999</v>
      </c>
      <c r="J2157" s="2">
        <v>265.00299999999999</v>
      </c>
      <c r="K2157" s="15">
        <v>4.0110000000000001</v>
      </c>
      <c r="L2157" s="2">
        <v>12.887</v>
      </c>
      <c r="N2157" s="7">
        <f t="shared" si="267"/>
        <v>380</v>
      </c>
      <c r="O2157" s="1">
        <f t="shared" si="264"/>
        <v>131</v>
      </c>
      <c r="P2157" s="1" t="str">
        <f t="shared" si="266"/>
        <v>380,131</v>
      </c>
      <c r="Q2157" s="6" t="s">
        <v>10</v>
      </c>
      <c r="R2157" s="1">
        <v>90</v>
      </c>
      <c r="S2157" s="1">
        <v>2.5</v>
      </c>
      <c r="T2157" s="1" t="str">
        <f t="shared" si="265"/>
        <v>-text 380,131 2.5 90 265.003</v>
      </c>
    </row>
    <row r="2158" spans="1:20" x14ac:dyDescent="0.35">
      <c r="A2158" s="1">
        <v>293400</v>
      </c>
      <c r="B2158" s="7">
        <v>1182859</v>
      </c>
      <c r="C2158" s="2">
        <v>268.36099999999999</v>
      </c>
      <c r="D2158" s="2">
        <v>269.71199999999999</v>
      </c>
      <c r="E2158" s="2">
        <v>1.351</v>
      </c>
      <c r="F2158" s="2">
        <v>267.68900000000002</v>
      </c>
      <c r="G2158" s="2">
        <v>268.99900000000002</v>
      </c>
      <c r="H2158" s="2">
        <v>1.31</v>
      </c>
      <c r="I2158" s="2">
        <v>267.53100000000001</v>
      </c>
      <c r="J2158" s="2">
        <v>265.13299999999998</v>
      </c>
      <c r="K2158" s="15">
        <v>3.867</v>
      </c>
      <c r="L2158" s="2">
        <v>12.868</v>
      </c>
      <c r="N2158" s="7">
        <f t="shared" si="267"/>
        <v>400</v>
      </c>
      <c r="O2158" s="1">
        <f t="shared" si="264"/>
        <v>131</v>
      </c>
      <c r="P2158" s="1" t="str">
        <f t="shared" si="266"/>
        <v>400,131</v>
      </c>
      <c r="Q2158" s="6" t="s">
        <v>10</v>
      </c>
      <c r="R2158" s="1">
        <v>90</v>
      </c>
      <c r="S2158" s="1">
        <v>2.5</v>
      </c>
      <c r="T2158" s="1" t="str">
        <f t="shared" si="265"/>
        <v>-text 400,131 2.5 90 265.133</v>
      </c>
    </row>
    <row r="2159" spans="1:20" x14ac:dyDescent="0.35">
      <c r="A2159" s="1">
        <v>293420</v>
      </c>
      <c r="B2159" s="7">
        <v>1182879</v>
      </c>
      <c r="C2159" s="2">
        <v>268.36700000000002</v>
      </c>
      <c r="D2159" s="2">
        <v>269.69799999999998</v>
      </c>
      <c r="E2159" s="2">
        <v>1.331</v>
      </c>
      <c r="F2159" s="2">
        <v>267.69499999999999</v>
      </c>
      <c r="G2159" s="2">
        <v>268.98500000000001</v>
      </c>
      <c r="H2159" s="2">
        <v>1.29</v>
      </c>
      <c r="I2159" s="2">
        <v>267.36799999999999</v>
      </c>
      <c r="J2159" s="2">
        <v>265.154</v>
      </c>
      <c r="K2159" s="15">
        <v>3.831</v>
      </c>
      <c r="L2159" s="2">
        <v>12.865</v>
      </c>
      <c r="N2159" s="7">
        <f t="shared" si="267"/>
        <v>420</v>
      </c>
      <c r="O2159" s="1">
        <f t="shared" si="264"/>
        <v>131</v>
      </c>
      <c r="P2159" s="1" t="str">
        <f t="shared" si="266"/>
        <v>420,131</v>
      </c>
      <c r="Q2159" s="6" t="s">
        <v>10</v>
      </c>
      <c r="R2159" s="1">
        <v>90</v>
      </c>
      <c r="S2159" s="1">
        <v>2.5</v>
      </c>
      <c r="T2159" s="1" t="str">
        <f t="shared" si="265"/>
        <v>-text 420,131 2.5 90 265.154</v>
      </c>
    </row>
    <row r="2160" spans="1:20" x14ac:dyDescent="0.35">
      <c r="A2160" s="1">
        <v>293440</v>
      </c>
      <c r="B2160" s="7">
        <v>1182899</v>
      </c>
      <c r="C2160" s="2">
        <v>268.38</v>
      </c>
      <c r="D2160" s="2">
        <v>269.68299999999999</v>
      </c>
      <c r="E2160" s="2">
        <v>1.304</v>
      </c>
      <c r="F2160" s="2">
        <v>267.70800000000003</v>
      </c>
      <c r="G2160" s="2">
        <v>268.97000000000003</v>
      </c>
      <c r="H2160" s="2">
        <v>1.2629999999999999</v>
      </c>
      <c r="I2160" s="2">
        <v>267.17099999999999</v>
      </c>
      <c r="J2160" s="2">
        <v>265.01299999999998</v>
      </c>
      <c r="K2160" s="15">
        <v>3.9569999999999999</v>
      </c>
      <c r="L2160" s="2">
        <v>12.866</v>
      </c>
      <c r="N2160" s="7">
        <f t="shared" si="267"/>
        <v>440</v>
      </c>
      <c r="O2160" s="1">
        <f t="shared" si="264"/>
        <v>131</v>
      </c>
      <c r="P2160" s="1" t="str">
        <f t="shared" si="266"/>
        <v>440,131</v>
      </c>
      <c r="Q2160" s="6" t="s">
        <v>10</v>
      </c>
      <c r="R2160" s="1">
        <v>90</v>
      </c>
      <c r="S2160" s="1">
        <v>2.5</v>
      </c>
      <c r="T2160" s="1" t="str">
        <f t="shared" si="265"/>
        <v>-text 440,131 2.5 90 265.013</v>
      </c>
    </row>
    <row r="2161" spans="1:20" x14ac:dyDescent="0.35">
      <c r="A2161" s="1">
        <v>293460</v>
      </c>
      <c r="B2161" s="7">
        <v>1182919</v>
      </c>
      <c r="C2161" s="2">
        <v>268.39400000000001</v>
      </c>
      <c r="D2161" s="2">
        <v>269.66899999999998</v>
      </c>
      <c r="E2161" s="2">
        <v>1.2749999999999999</v>
      </c>
      <c r="F2161" s="2">
        <v>267.72199999999998</v>
      </c>
      <c r="G2161" s="2">
        <v>268.95600000000002</v>
      </c>
      <c r="H2161" s="2">
        <v>1.234</v>
      </c>
      <c r="I2161" s="2">
        <v>266.959</v>
      </c>
      <c r="J2161" s="2">
        <v>264.60000000000002</v>
      </c>
      <c r="K2161" s="15">
        <v>4.3559999999999999</v>
      </c>
      <c r="L2161" s="2">
        <v>12.869</v>
      </c>
      <c r="N2161" s="7">
        <f t="shared" si="267"/>
        <v>460</v>
      </c>
      <c r="O2161" s="1">
        <f t="shared" si="264"/>
        <v>131</v>
      </c>
      <c r="P2161" s="1" t="str">
        <f t="shared" si="266"/>
        <v>460,131</v>
      </c>
      <c r="Q2161" s="6" t="s">
        <v>10</v>
      </c>
      <c r="R2161" s="1">
        <v>90</v>
      </c>
      <c r="S2161" s="1">
        <v>2.5</v>
      </c>
      <c r="T2161" s="1" t="str">
        <f t="shared" si="265"/>
        <v>-text 460,131 2.5 90 264.6</v>
      </c>
    </row>
    <row r="2162" spans="1:20" x14ac:dyDescent="0.35">
      <c r="A2162" s="1">
        <v>293480</v>
      </c>
      <c r="B2162" s="7">
        <v>1182939</v>
      </c>
      <c r="C2162" s="2">
        <v>268.41000000000003</v>
      </c>
      <c r="D2162" s="2">
        <v>269.65499999999997</v>
      </c>
      <c r="E2162" s="2">
        <v>1.2450000000000001</v>
      </c>
      <c r="F2162" s="2">
        <v>267.738</v>
      </c>
      <c r="G2162" s="2">
        <v>268.94200000000001</v>
      </c>
      <c r="H2162" s="2">
        <v>1.204</v>
      </c>
      <c r="I2162" s="2">
        <v>267.11799999999999</v>
      </c>
      <c r="J2162" s="2">
        <v>265.291</v>
      </c>
      <c r="K2162" s="15">
        <v>3.65</v>
      </c>
      <c r="L2162" s="2">
        <v>12.872999999999999</v>
      </c>
      <c r="N2162" s="7">
        <f t="shared" si="267"/>
        <v>480</v>
      </c>
      <c r="O2162" s="1">
        <f t="shared" si="264"/>
        <v>131</v>
      </c>
      <c r="P2162" s="1" t="str">
        <f t="shared" si="266"/>
        <v>480,131</v>
      </c>
      <c r="Q2162" s="6" t="s">
        <v>10</v>
      </c>
      <c r="R2162" s="1">
        <v>90</v>
      </c>
      <c r="S2162" s="1">
        <v>2.5</v>
      </c>
      <c r="T2162" s="1" t="str">
        <f t="shared" si="265"/>
        <v>-text 480,131 2.5 90 265.291</v>
      </c>
    </row>
    <row r="2163" spans="1:20" x14ac:dyDescent="0.35">
      <c r="A2163" s="1">
        <v>293500</v>
      </c>
      <c r="B2163" s="7">
        <v>1182959</v>
      </c>
      <c r="C2163" s="2">
        <v>268.43099999999998</v>
      </c>
      <c r="D2163" s="2">
        <v>269.64</v>
      </c>
      <c r="E2163" s="2">
        <v>1.21</v>
      </c>
      <c r="F2163" s="2">
        <v>267.75900000000001</v>
      </c>
      <c r="G2163" s="2">
        <v>268.92700000000002</v>
      </c>
      <c r="H2163" s="2">
        <v>1.169</v>
      </c>
      <c r="I2163" s="2">
        <v>267.37</v>
      </c>
      <c r="J2163" s="2">
        <v>265.36599999999999</v>
      </c>
      <c r="K2163" s="15">
        <v>3.5609999999999999</v>
      </c>
      <c r="L2163" s="2">
        <v>12.871</v>
      </c>
      <c r="N2163" s="7">
        <f>N2160+(B2163-B2160)</f>
        <v>500</v>
      </c>
      <c r="O2163" s="1">
        <f t="shared" si="264"/>
        <v>131</v>
      </c>
      <c r="P2163" s="1" t="str">
        <f t="shared" ref="P2163" si="268">CONCATENATE(N2163,",",O2163)</f>
        <v>500,131</v>
      </c>
      <c r="Q2163" s="6" t="s">
        <v>10</v>
      </c>
      <c r="R2163" s="1">
        <v>90</v>
      </c>
      <c r="S2163" s="1">
        <v>2.5</v>
      </c>
      <c r="T2163" s="1" t="str">
        <f t="shared" si="265"/>
        <v>-text 500,131 2.5 90 265.366</v>
      </c>
    </row>
    <row r="2164" spans="1:20" s="10" customFormat="1" x14ac:dyDescent="0.35">
      <c r="B2164" s="11"/>
      <c r="C2164" s="9"/>
      <c r="D2164" s="9"/>
      <c r="E2164" s="9"/>
      <c r="F2164" s="9"/>
      <c r="G2164" s="9"/>
      <c r="H2164" s="9"/>
      <c r="I2164" s="9"/>
      <c r="J2164" s="9"/>
      <c r="K2164" s="16"/>
      <c r="L2164" s="9"/>
      <c r="M2164" s="9"/>
      <c r="N2164" s="11"/>
      <c r="Q2164" s="12"/>
    </row>
    <row r="2165" spans="1:20" x14ac:dyDescent="0.35">
      <c r="A2165" s="1">
        <v>293500</v>
      </c>
      <c r="B2165" s="7">
        <v>1182959</v>
      </c>
      <c r="C2165" s="2">
        <v>268.43099999999998</v>
      </c>
      <c r="D2165" s="2">
        <v>269.64</v>
      </c>
      <c r="E2165" s="2">
        <v>1.21</v>
      </c>
      <c r="F2165" s="2">
        <v>267.75900000000001</v>
      </c>
      <c r="G2165" s="2">
        <v>268.92700000000002</v>
      </c>
      <c r="H2165" s="2">
        <v>1.169</v>
      </c>
      <c r="I2165" s="2">
        <v>267.37</v>
      </c>
      <c r="J2165" s="2">
        <v>265.36599999999999</v>
      </c>
      <c r="K2165" s="15">
        <v>3.5609999999999999</v>
      </c>
      <c r="L2165" s="2">
        <v>12.871</v>
      </c>
      <c r="N2165" s="7">
        <v>0</v>
      </c>
      <c r="O2165" s="1">
        <f t="shared" si="264"/>
        <v>131</v>
      </c>
      <c r="P2165" s="1" t="str">
        <f t="shared" si="266"/>
        <v>0,131</v>
      </c>
      <c r="Q2165" s="6" t="s">
        <v>10</v>
      </c>
      <c r="R2165" s="1">
        <v>90</v>
      </c>
      <c r="S2165" s="1">
        <v>2.5</v>
      </c>
      <c r="T2165" s="1" t="str">
        <f t="shared" si="265"/>
        <v>-text 0,131 2.5 90 265.366</v>
      </c>
    </row>
    <row r="2166" spans="1:20" x14ac:dyDescent="0.35">
      <c r="A2166" s="1">
        <v>293520</v>
      </c>
      <c r="B2166" s="7">
        <v>1182979</v>
      </c>
      <c r="C2166" s="2">
        <v>268.45600000000002</v>
      </c>
      <c r="D2166" s="2">
        <v>269.62599999999998</v>
      </c>
      <c r="E2166" s="2">
        <v>1.17</v>
      </c>
      <c r="F2166" s="2">
        <v>267.78399999999999</v>
      </c>
      <c r="G2166" s="2">
        <v>268.91300000000001</v>
      </c>
      <c r="H2166" s="2">
        <v>1.129</v>
      </c>
      <c r="I2166" s="2">
        <v>267.505</v>
      </c>
      <c r="J2166" s="2">
        <v>265.721</v>
      </c>
      <c r="K2166" s="15">
        <v>3.1920000000000002</v>
      </c>
      <c r="L2166" s="2">
        <v>12.865</v>
      </c>
      <c r="N2166" s="7">
        <f t="shared" ref="N2166:N2192" si="269">N2165+(B2166-B2165)</f>
        <v>20</v>
      </c>
      <c r="O2166" s="1">
        <f t="shared" si="264"/>
        <v>131</v>
      </c>
      <c r="P2166" s="1" t="str">
        <f t="shared" si="266"/>
        <v>20,131</v>
      </c>
      <c r="Q2166" s="6" t="s">
        <v>10</v>
      </c>
      <c r="R2166" s="1">
        <v>90</v>
      </c>
      <c r="S2166" s="1">
        <v>2.5</v>
      </c>
      <c r="T2166" s="1" t="str">
        <f t="shared" si="265"/>
        <v>-text 20,131 2.5 90 265.721</v>
      </c>
    </row>
    <row r="2167" spans="1:20" x14ac:dyDescent="0.35">
      <c r="A2167" s="1">
        <v>293540</v>
      </c>
      <c r="B2167" s="7">
        <v>1182999</v>
      </c>
      <c r="C2167" s="2">
        <v>268.47000000000003</v>
      </c>
      <c r="D2167" s="2">
        <v>269.61200000000002</v>
      </c>
      <c r="E2167" s="2">
        <v>1.141</v>
      </c>
      <c r="F2167" s="2">
        <v>267.798</v>
      </c>
      <c r="G2167" s="2">
        <v>268.899</v>
      </c>
      <c r="H2167" s="2">
        <v>1.1000000000000001</v>
      </c>
      <c r="I2167" s="2">
        <v>267.59699999999998</v>
      </c>
      <c r="J2167" s="2">
        <v>265.363</v>
      </c>
      <c r="K2167" s="15">
        <v>3.536</v>
      </c>
      <c r="L2167" s="2">
        <v>12.869</v>
      </c>
      <c r="N2167" s="7">
        <f t="shared" si="269"/>
        <v>40</v>
      </c>
      <c r="O2167" s="1">
        <f t="shared" si="264"/>
        <v>131</v>
      </c>
      <c r="P2167" s="1" t="str">
        <f t="shared" si="266"/>
        <v>40,131</v>
      </c>
      <c r="Q2167" s="6" t="s">
        <v>10</v>
      </c>
      <c r="R2167" s="1">
        <v>90</v>
      </c>
      <c r="S2167" s="1">
        <v>2.5</v>
      </c>
      <c r="T2167" s="1" t="str">
        <f t="shared" si="265"/>
        <v>-text 40,131 2.5 90 265.363</v>
      </c>
    </row>
    <row r="2168" spans="1:20" x14ac:dyDescent="0.35">
      <c r="A2168" s="1">
        <v>293560</v>
      </c>
      <c r="B2168" s="7">
        <v>1183019</v>
      </c>
      <c r="C2168" s="2">
        <v>268.47300000000001</v>
      </c>
      <c r="D2168" s="2">
        <v>269.59699999999998</v>
      </c>
      <c r="E2168" s="2">
        <v>1.1240000000000001</v>
      </c>
      <c r="F2168" s="2">
        <v>267.80099999999999</v>
      </c>
      <c r="G2168" s="2">
        <v>268.88400000000001</v>
      </c>
      <c r="H2168" s="2">
        <v>1.083</v>
      </c>
      <c r="I2168" s="2">
        <v>267.73899999999998</v>
      </c>
      <c r="J2168" s="2">
        <v>265.07</v>
      </c>
      <c r="K2168" s="15">
        <v>3.8149999999999999</v>
      </c>
      <c r="L2168" s="2">
        <v>12.884</v>
      </c>
      <c r="N2168" s="7">
        <f t="shared" si="269"/>
        <v>60</v>
      </c>
      <c r="O2168" s="1">
        <f t="shared" si="264"/>
        <v>131</v>
      </c>
      <c r="P2168" s="1" t="str">
        <f t="shared" si="266"/>
        <v>60,131</v>
      </c>
      <c r="Q2168" s="6" t="s">
        <v>10</v>
      </c>
      <c r="R2168" s="1">
        <v>90</v>
      </c>
      <c r="S2168" s="1">
        <v>2.5</v>
      </c>
      <c r="T2168" s="1" t="str">
        <f t="shared" si="265"/>
        <v>-text 60,131 2.5 90 265.07</v>
      </c>
    </row>
    <row r="2169" spans="1:20" x14ac:dyDescent="0.35">
      <c r="A2169" s="1">
        <v>293580</v>
      </c>
      <c r="B2169" s="7">
        <v>1183039</v>
      </c>
      <c r="C2169" s="2">
        <v>268.47300000000001</v>
      </c>
      <c r="D2169" s="2">
        <v>269.58300000000003</v>
      </c>
      <c r="E2169" s="2">
        <v>1.1100000000000001</v>
      </c>
      <c r="F2169" s="2">
        <v>267.80099999999999</v>
      </c>
      <c r="G2169" s="2">
        <v>268.87</v>
      </c>
      <c r="H2169" s="2">
        <v>1.069</v>
      </c>
      <c r="I2169" s="2">
        <v>267.779</v>
      </c>
      <c r="J2169" s="2">
        <v>265.072</v>
      </c>
      <c r="K2169" s="15">
        <v>3.798</v>
      </c>
      <c r="L2169" s="2">
        <v>12.884</v>
      </c>
      <c r="N2169" s="7">
        <f t="shared" si="269"/>
        <v>80</v>
      </c>
      <c r="O2169" s="1">
        <f t="shared" si="264"/>
        <v>131</v>
      </c>
      <c r="P2169" s="1" t="str">
        <f t="shared" si="266"/>
        <v>80,131</v>
      </c>
      <c r="Q2169" s="6" t="s">
        <v>10</v>
      </c>
      <c r="R2169" s="1">
        <v>90</v>
      </c>
      <c r="S2169" s="1">
        <v>2.5</v>
      </c>
      <c r="T2169" s="1" t="str">
        <f t="shared" si="265"/>
        <v>-text 80,131 2.5 90 265.072</v>
      </c>
    </row>
    <row r="2170" spans="1:20" x14ac:dyDescent="0.35">
      <c r="A2170" s="1">
        <v>293600</v>
      </c>
      <c r="B2170" s="7">
        <v>1183059</v>
      </c>
      <c r="C2170" s="2">
        <v>268.47000000000003</v>
      </c>
      <c r="D2170" s="2">
        <v>269.56900000000002</v>
      </c>
      <c r="E2170" s="2">
        <v>1.0980000000000001</v>
      </c>
      <c r="F2170" s="2">
        <v>267.798</v>
      </c>
      <c r="G2170" s="2">
        <v>268.85599999999999</v>
      </c>
      <c r="H2170" s="2">
        <v>1.0569999999999999</v>
      </c>
      <c r="I2170" s="2">
        <v>267.73700000000002</v>
      </c>
      <c r="J2170" s="2">
        <v>265.065</v>
      </c>
      <c r="K2170" s="15">
        <v>3.7909999999999999</v>
      </c>
      <c r="L2170" s="2">
        <v>12.87</v>
      </c>
      <c r="N2170" s="7">
        <f t="shared" si="269"/>
        <v>100</v>
      </c>
      <c r="O2170" s="1">
        <f t="shared" si="264"/>
        <v>131</v>
      </c>
      <c r="P2170" s="1" t="str">
        <f t="shared" si="266"/>
        <v>100,131</v>
      </c>
      <c r="Q2170" s="6" t="s">
        <v>10</v>
      </c>
      <c r="R2170" s="1">
        <v>90</v>
      </c>
      <c r="S2170" s="1">
        <v>2.5</v>
      </c>
      <c r="T2170" s="1" t="str">
        <f t="shared" si="265"/>
        <v>-text 100,131 2.5 90 265.065</v>
      </c>
    </row>
    <row r="2171" spans="1:20" x14ac:dyDescent="0.35">
      <c r="A2171" s="1">
        <v>293620</v>
      </c>
      <c r="B2171" s="7">
        <v>1183079</v>
      </c>
      <c r="C2171" s="2">
        <v>268.46100000000001</v>
      </c>
      <c r="D2171" s="2">
        <v>269.55399999999997</v>
      </c>
      <c r="E2171" s="2">
        <v>1.093</v>
      </c>
      <c r="F2171" s="2">
        <v>267.78899999999999</v>
      </c>
      <c r="G2171" s="2">
        <v>268.84100000000001</v>
      </c>
      <c r="H2171" s="2">
        <v>1.052</v>
      </c>
      <c r="I2171" s="2">
        <v>267.57400000000001</v>
      </c>
      <c r="J2171" s="2">
        <v>265.06700000000001</v>
      </c>
      <c r="K2171" s="15">
        <v>3.7749999999999999</v>
      </c>
      <c r="L2171" s="2">
        <v>12.879</v>
      </c>
      <c r="N2171" s="7">
        <f t="shared" si="269"/>
        <v>120</v>
      </c>
      <c r="O2171" s="1">
        <f t="shared" si="264"/>
        <v>131</v>
      </c>
      <c r="P2171" s="1" t="str">
        <f t="shared" si="266"/>
        <v>120,131</v>
      </c>
      <c r="Q2171" s="6" t="s">
        <v>10</v>
      </c>
      <c r="R2171" s="1">
        <v>90</v>
      </c>
      <c r="S2171" s="1">
        <v>2.5</v>
      </c>
      <c r="T2171" s="1" t="str">
        <f t="shared" si="265"/>
        <v>-text 120,131 2.5 90 265.067</v>
      </c>
    </row>
    <row r="2172" spans="1:20" x14ac:dyDescent="0.35">
      <c r="A2172" s="1">
        <v>293640</v>
      </c>
      <c r="B2172" s="7">
        <v>1183099</v>
      </c>
      <c r="C2172" s="2">
        <v>268.447</v>
      </c>
      <c r="D2172" s="2">
        <v>269.54000000000002</v>
      </c>
      <c r="E2172" s="2">
        <v>1.093</v>
      </c>
      <c r="F2172" s="2">
        <v>267.77499999999998</v>
      </c>
      <c r="G2172" s="2">
        <v>268.827</v>
      </c>
      <c r="H2172" s="2">
        <v>1.052</v>
      </c>
      <c r="I2172" s="2">
        <v>267.36599999999999</v>
      </c>
      <c r="J2172" s="2">
        <v>265.27699999999999</v>
      </c>
      <c r="K2172" s="15">
        <v>3.55</v>
      </c>
      <c r="L2172" s="2">
        <v>12.9</v>
      </c>
      <c r="N2172" s="7">
        <f t="shared" si="269"/>
        <v>140</v>
      </c>
      <c r="O2172" s="1">
        <f t="shared" si="264"/>
        <v>131</v>
      </c>
      <c r="P2172" s="1" t="str">
        <f t="shared" si="266"/>
        <v>140,131</v>
      </c>
      <c r="Q2172" s="6" t="s">
        <v>10</v>
      </c>
      <c r="R2172" s="1">
        <v>90</v>
      </c>
      <c r="S2172" s="1">
        <v>2.5</v>
      </c>
      <c r="T2172" s="1" t="str">
        <f t="shared" si="265"/>
        <v>-text 140,131 2.5 90 265.277</v>
      </c>
    </row>
    <row r="2173" spans="1:20" x14ac:dyDescent="0.35">
      <c r="A2173" s="1">
        <v>293660</v>
      </c>
      <c r="B2173" s="7">
        <v>1183119</v>
      </c>
      <c r="C2173" s="2">
        <v>268.44099999999997</v>
      </c>
      <c r="D2173" s="2">
        <v>269.52499999999998</v>
      </c>
      <c r="E2173" s="2">
        <v>1.0840000000000001</v>
      </c>
      <c r="F2173" s="2">
        <v>267.76900000000001</v>
      </c>
      <c r="G2173" s="2">
        <v>268.81200000000001</v>
      </c>
      <c r="H2173" s="2">
        <v>1.0429999999999999</v>
      </c>
      <c r="I2173" s="2">
        <v>267.37799999999999</v>
      </c>
      <c r="J2173" s="2">
        <v>265.28199999999998</v>
      </c>
      <c r="K2173" s="15">
        <v>3.53</v>
      </c>
      <c r="L2173" s="2">
        <v>12.898999999999999</v>
      </c>
      <c r="N2173" s="7">
        <f t="shared" si="269"/>
        <v>160</v>
      </c>
      <c r="O2173" s="1">
        <f t="shared" si="264"/>
        <v>131</v>
      </c>
      <c r="P2173" s="1" t="str">
        <f t="shared" si="266"/>
        <v>160,131</v>
      </c>
      <c r="Q2173" s="6" t="s">
        <v>10</v>
      </c>
      <c r="R2173" s="1">
        <v>90</v>
      </c>
      <c r="S2173" s="1">
        <v>2.5</v>
      </c>
      <c r="T2173" s="1" t="str">
        <f t="shared" si="265"/>
        <v>-text 160,131 2.5 90 265.282</v>
      </c>
    </row>
    <row r="2174" spans="1:20" x14ac:dyDescent="0.35">
      <c r="A2174" s="1">
        <v>293680</v>
      </c>
      <c r="B2174" s="7">
        <v>1183139</v>
      </c>
      <c r="C2174" s="2">
        <v>268.44</v>
      </c>
      <c r="D2174" s="2">
        <v>269.51100000000002</v>
      </c>
      <c r="E2174" s="2">
        <v>1.0720000000000001</v>
      </c>
      <c r="F2174" s="2">
        <v>267.76799999999997</v>
      </c>
      <c r="G2174" s="2">
        <v>268.798</v>
      </c>
      <c r="H2174" s="2">
        <v>1.0309999999999999</v>
      </c>
      <c r="I2174" s="2">
        <v>267.42599999999999</v>
      </c>
      <c r="J2174" s="2">
        <v>265.18</v>
      </c>
      <c r="K2174" s="15">
        <v>3.6179999999999999</v>
      </c>
      <c r="L2174" s="2">
        <v>12.884</v>
      </c>
      <c r="N2174" s="7">
        <f t="shared" si="269"/>
        <v>180</v>
      </c>
      <c r="O2174" s="1">
        <f t="shared" si="264"/>
        <v>131</v>
      </c>
      <c r="P2174" s="1" t="str">
        <f t="shared" si="266"/>
        <v>180,131</v>
      </c>
      <c r="Q2174" s="6" t="s">
        <v>10</v>
      </c>
      <c r="R2174" s="1">
        <v>90</v>
      </c>
      <c r="S2174" s="1">
        <v>2.5</v>
      </c>
      <c r="T2174" s="1" t="str">
        <f t="shared" si="265"/>
        <v>-text 180,131 2.5 90 265.18</v>
      </c>
    </row>
    <row r="2175" spans="1:20" x14ac:dyDescent="0.35">
      <c r="A2175" s="1">
        <v>293700</v>
      </c>
      <c r="B2175" s="7">
        <v>1183159</v>
      </c>
      <c r="C2175" s="2">
        <v>268.45</v>
      </c>
      <c r="D2175" s="2">
        <v>269.49700000000001</v>
      </c>
      <c r="E2175" s="2">
        <v>1.0469999999999999</v>
      </c>
      <c r="F2175" s="2">
        <v>267.77800000000002</v>
      </c>
      <c r="G2175" s="2">
        <v>268.78399999999999</v>
      </c>
      <c r="H2175" s="2">
        <v>1.006</v>
      </c>
      <c r="I2175" s="2">
        <v>267.41300000000001</v>
      </c>
      <c r="J2175" s="2">
        <v>265.27199999999999</v>
      </c>
      <c r="K2175" s="15">
        <v>3.512</v>
      </c>
      <c r="L2175" s="2">
        <v>12.877000000000001</v>
      </c>
      <c r="N2175" s="7">
        <f t="shared" si="269"/>
        <v>200</v>
      </c>
      <c r="O2175" s="1">
        <f t="shared" si="264"/>
        <v>131</v>
      </c>
      <c r="P2175" s="1" t="str">
        <f t="shared" si="266"/>
        <v>200,131</v>
      </c>
      <c r="Q2175" s="6" t="s">
        <v>10</v>
      </c>
      <c r="R2175" s="1">
        <v>90</v>
      </c>
      <c r="S2175" s="1">
        <v>2.5</v>
      </c>
      <c r="T2175" s="1" t="str">
        <f t="shared" si="265"/>
        <v>-text 200,131 2.5 90 265.272</v>
      </c>
    </row>
    <row r="2176" spans="1:20" x14ac:dyDescent="0.35">
      <c r="A2176" s="1">
        <v>293720</v>
      </c>
      <c r="B2176" s="7">
        <v>1183179</v>
      </c>
      <c r="C2176" s="2">
        <v>268.46300000000002</v>
      </c>
      <c r="D2176" s="2">
        <v>269.48200000000003</v>
      </c>
      <c r="E2176" s="2">
        <v>1.02</v>
      </c>
      <c r="F2176" s="2">
        <v>267.791</v>
      </c>
      <c r="G2176" s="2">
        <v>268.76900000000001</v>
      </c>
      <c r="H2176" s="2">
        <v>0.97899999999999998</v>
      </c>
      <c r="I2176" s="2">
        <v>267.32900000000001</v>
      </c>
      <c r="J2176" s="2">
        <v>265.387</v>
      </c>
      <c r="K2176" s="15">
        <v>3.3820000000000001</v>
      </c>
      <c r="L2176" s="2">
        <v>12.872</v>
      </c>
      <c r="N2176" s="7">
        <f t="shared" si="269"/>
        <v>220</v>
      </c>
      <c r="O2176" s="1">
        <f t="shared" si="264"/>
        <v>131</v>
      </c>
      <c r="P2176" s="1" t="str">
        <f t="shared" si="266"/>
        <v>220,131</v>
      </c>
      <c r="Q2176" s="6" t="s">
        <v>10</v>
      </c>
      <c r="R2176" s="1">
        <v>90</v>
      </c>
      <c r="S2176" s="1">
        <v>2.5</v>
      </c>
      <c r="T2176" s="1" t="str">
        <f t="shared" si="265"/>
        <v>-text 220,131 2.5 90 265.387</v>
      </c>
    </row>
    <row r="2177" spans="1:20" x14ac:dyDescent="0.35">
      <c r="A2177" s="1">
        <v>293740</v>
      </c>
      <c r="B2177" s="7">
        <v>1183198.8999999999</v>
      </c>
      <c r="C2177" s="2">
        <v>268.47000000000003</v>
      </c>
      <c r="D2177" s="2">
        <v>269.46800000000002</v>
      </c>
      <c r="E2177" s="2">
        <v>0.998</v>
      </c>
      <c r="F2177" s="2">
        <v>267.798</v>
      </c>
      <c r="G2177" s="2">
        <v>268.755</v>
      </c>
      <c r="H2177" s="2">
        <v>0.95699999999999996</v>
      </c>
      <c r="I2177" s="2">
        <v>267.36500000000001</v>
      </c>
      <c r="J2177" s="2">
        <v>266.44099999999997</v>
      </c>
      <c r="K2177" s="15">
        <v>2.3140000000000001</v>
      </c>
      <c r="L2177" s="2">
        <v>12.881</v>
      </c>
      <c r="N2177" s="7">
        <f t="shared" si="269"/>
        <v>239.89999999990687</v>
      </c>
      <c r="O2177" s="1">
        <f t="shared" si="264"/>
        <v>131</v>
      </c>
      <c r="P2177" s="1" t="str">
        <f t="shared" si="266"/>
        <v>239.899999999907,131</v>
      </c>
      <c r="Q2177" s="6" t="s">
        <v>10</v>
      </c>
      <c r="R2177" s="1">
        <v>90</v>
      </c>
      <c r="S2177" s="1">
        <v>2.5</v>
      </c>
      <c r="T2177" s="1" t="str">
        <f t="shared" si="265"/>
        <v>-text 239.899999999907,131 2.5 90 266.441</v>
      </c>
    </row>
    <row r="2178" spans="1:20" x14ac:dyDescent="0.35">
      <c r="A2178" s="1">
        <v>293760</v>
      </c>
      <c r="B2178" s="7">
        <v>1183219</v>
      </c>
      <c r="C2178" s="2">
        <v>268.44200000000001</v>
      </c>
      <c r="D2178" s="2">
        <v>269.45400000000001</v>
      </c>
      <c r="E2178" s="2">
        <v>1.0109999999999999</v>
      </c>
      <c r="F2178" s="2">
        <v>267.77</v>
      </c>
      <c r="G2178" s="2">
        <v>268.74099999999999</v>
      </c>
      <c r="H2178" s="2">
        <v>0.97</v>
      </c>
      <c r="I2178" s="2">
        <v>267.274</v>
      </c>
      <c r="J2178" s="2">
        <v>265.99700000000001</v>
      </c>
      <c r="K2178" s="15">
        <v>2.7440000000000002</v>
      </c>
      <c r="L2178" s="2">
        <v>12.86</v>
      </c>
      <c r="N2178" s="7">
        <f t="shared" si="269"/>
        <v>260</v>
      </c>
      <c r="O2178" s="1">
        <f t="shared" si="264"/>
        <v>131</v>
      </c>
      <c r="P2178" s="1" t="str">
        <f t="shared" si="266"/>
        <v>260,131</v>
      </c>
      <c r="Q2178" s="6" t="s">
        <v>10</v>
      </c>
      <c r="R2178" s="1">
        <v>90</v>
      </c>
      <c r="S2178" s="1">
        <v>2.5</v>
      </c>
      <c r="T2178" s="1" t="str">
        <f t="shared" si="265"/>
        <v>-text 260,131 2.5 90 265.997</v>
      </c>
    </row>
    <row r="2179" spans="1:20" x14ac:dyDescent="0.35">
      <c r="A2179" s="1">
        <v>293780</v>
      </c>
      <c r="B2179" s="7">
        <v>1183239</v>
      </c>
      <c r="C2179" s="2">
        <v>268.41500000000002</v>
      </c>
      <c r="D2179" s="2">
        <v>269.43900000000002</v>
      </c>
      <c r="E2179" s="2">
        <v>1.0249999999999999</v>
      </c>
      <c r="F2179" s="2">
        <v>267.74299999999999</v>
      </c>
      <c r="G2179" s="2">
        <v>268.726</v>
      </c>
      <c r="H2179" s="2">
        <v>0.98399999999999999</v>
      </c>
      <c r="I2179" s="2">
        <v>267.26900000000001</v>
      </c>
      <c r="J2179" s="2">
        <v>265.39800000000002</v>
      </c>
      <c r="K2179" s="15">
        <v>3.3290000000000002</v>
      </c>
      <c r="L2179" s="2">
        <v>12.874000000000001</v>
      </c>
      <c r="N2179" s="7">
        <f t="shared" si="269"/>
        <v>280</v>
      </c>
      <c r="O2179" s="1">
        <f t="shared" si="264"/>
        <v>131</v>
      </c>
      <c r="P2179" s="1" t="str">
        <f t="shared" si="266"/>
        <v>280,131</v>
      </c>
      <c r="Q2179" s="6" t="s">
        <v>10</v>
      </c>
      <c r="R2179" s="1">
        <v>90</v>
      </c>
      <c r="S2179" s="1">
        <v>2.5</v>
      </c>
      <c r="T2179" s="1" t="str">
        <f t="shared" si="265"/>
        <v>-text 280,131 2.5 90 265.398</v>
      </c>
    </row>
    <row r="2180" spans="1:20" x14ac:dyDescent="0.35">
      <c r="A2180" s="1">
        <v>293800</v>
      </c>
      <c r="B2180" s="7">
        <v>1183259</v>
      </c>
      <c r="C2180" s="2">
        <v>268.39100000000002</v>
      </c>
      <c r="D2180" s="2">
        <v>269.42500000000001</v>
      </c>
      <c r="E2180" s="2">
        <v>1.0329999999999999</v>
      </c>
      <c r="F2180" s="2">
        <v>267.71899999999999</v>
      </c>
      <c r="G2180" s="2">
        <v>268.71199999999999</v>
      </c>
      <c r="H2180" s="2">
        <v>0.99199999999999999</v>
      </c>
      <c r="I2180" s="2">
        <v>267.30599999999998</v>
      </c>
      <c r="J2180" s="2">
        <v>265.26100000000002</v>
      </c>
      <c r="K2180" s="15">
        <v>3.4510000000000001</v>
      </c>
      <c r="L2180" s="2">
        <v>12.879</v>
      </c>
      <c r="N2180" s="7">
        <f t="shared" si="269"/>
        <v>300</v>
      </c>
      <c r="O2180" s="1">
        <f t="shared" si="264"/>
        <v>131</v>
      </c>
      <c r="P2180" s="1" t="str">
        <f t="shared" si="266"/>
        <v>300,131</v>
      </c>
      <c r="Q2180" s="6" t="s">
        <v>10</v>
      </c>
      <c r="R2180" s="1">
        <v>90</v>
      </c>
      <c r="S2180" s="1">
        <v>2.5</v>
      </c>
      <c r="T2180" s="1" t="str">
        <f t="shared" si="265"/>
        <v>-text 300,131 2.5 90 265.261</v>
      </c>
    </row>
    <row r="2181" spans="1:20" x14ac:dyDescent="0.35">
      <c r="A2181" s="1">
        <v>293820</v>
      </c>
      <c r="B2181" s="7">
        <v>1183279</v>
      </c>
      <c r="C2181" s="2">
        <v>268.38499999999999</v>
      </c>
      <c r="D2181" s="2">
        <v>269.41000000000003</v>
      </c>
      <c r="E2181" s="2">
        <v>1.0249999999999999</v>
      </c>
      <c r="F2181" s="2">
        <v>267.71300000000002</v>
      </c>
      <c r="G2181" s="2">
        <v>268.697</v>
      </c>
      <c r="H2181" s="2">
        <v>0.98399999999999999</v>
      </c>
      <c r="I2181" s="2">
        <v>267.346</v>
      </c>
      <c r="J2181" s="2">
        <v>265.40199999999999</v>
      </c>
      <c r="K2181" s="15">
        <v>3.2949999999999999</v>
      </c>
      <c r="L2181" s="2">
        <v>12.875</v>
      </c>
      <c r="N2181" s="7">
        <f t="shared" si="269"/>
        <v>320</v>
      </c>
      <c r="O2181" s="1">
        <f t="shared" si="264"/>
        <v>131</v>
      </c>
      <c r="P2181" s="1" t="str">
        <f t="shared" si="266"/>
        <v>320,131</v>
      </c>
      <c r="Q2181" s="6" t="s">
        <v>10</v>
      </c>
      <c r="R2181" s="1">
        <v>90</v>
      </c>
      <c r="S2181" s="1">
        <v>2.5</v>
      </c>
      <c r="T2181" s="1" t="str">
        <f t="shared" si="265"/>
        <v>-text 320,131 2.5 90 265.402</v>
      </c>
    </row>
    <row r="2182" spans="1:20" x14ac:dyDescent="0.35">
      <c r="A2182" s="1">
        <v>293840</v>
      </c>
      <c r="B2182" s="7">
        <v>1183299</v>
      </c>
      <c r="C2182" s="2">
        <v>268.37599999999998</v>
      </c>
      <c r="D2182" s="2">
        <v>269.39600000000002</v>
      </c>
      <c r="E2182" s="2">
        <v>1.02</v>
      </c>
      <c r="F2182" s="2">
        <v>267.70400000000001</v>
      </c>
      <c r="G2182" s="2">
        <v>268.68299999999999</v>
      </c>
      <c r="H2182" s="2">
        <v>0.97899999999999998</v>
      </c>
      <c r="I2182" s="2">
        <v>267.45699999999999</v>
      </c>
      <c r="J2182" s="2">
        <v>265.81599999999997</v>
      </c>
      <c r="K2182" s="15">
        <v>2.867</v>
      </c>
      <c r="L2182" s="2">
        <v>12.872999999999999</v>
      </c>
      <c r="N2182" s="7">
        <f t="shared" si="269"/>
        <v>340</v>
      </c>
      <c r="O2182" s="1">
        <f t="shared" si="264"/>
        <v>131</v>
      </c>
      <c r="P2182" s="1" t="str">
        <f t="shared" si="266"/>
        <v>340,131</v>
      </c>
      <c r="Q2182" s="6" t="s">
        <v>10</v>
      </c>
      <c r="R2182" s="1">
        <v>90</v>
      </c>
      <c r="S2182" s="1">
        <v>2.5</v>
      </c>
      <c r="T2182" s="1" t="str">
        <f t="shared" si="265"/>
        <v>-text 340,131 2.5 90 265.816</v>
      </c>
    </row>
    <row r="2183" spans="1:20" x14ac:dyDescent="0.35">
      <c r="A2183" s="1">
        <v>293860</v>
      </c>
      <c r="B2183" s="7">
        <v>1183319</v>
      </c>
      <c r="C2183" s="2">
        <v>268.36599999999999</v>
      </c>
      <c r="D2183" s="2">
        <v>269.38200000000001</v>
      </c>
      <c r="E2183" s="2">
        <v>1.0149999999999999</v>
      </c>
      <c r="F2183" s="2">
        <v>267.69400000000002</v>
      </c>
      <c r="G2183" s="2">
        <v>268.66899999999998</v>
      </c>
      <c r="H2183" s="2">
        <v>0.97399999999999998</v>
      </c>
      <c r="I2183" s="2">
        <v>267.52300000000002</v>
      </c>
      <c r="J2183" s="2">
        <v>266.53300000000002</v>
      </c>
      <c r="K2183" s="15">
        <v>2.1360000000000001</v>
      </c>
      <c r="L2183" s="2">
        <v>12.871</v>
      </c>
      <c r="N2183" s="7">
        <f t="shared" si="269"/>
        <v>360</v>
      </c>
      <c r="O2183" s="1">
        <f t="shared" si="264"/>
        <v>131</v>
      </c>
      <c r="P2183" s="1" t="str">
        <f t="shared" si="266"/>
        <v>360,131</v>
      </c>
      <c r="Q2183" s="6" t="s">
        <v>10</v>
      </c>
      <c r="R2183" s="1">
        <v>90</v>
      </c>
      <c r="S2183" s="1">
        <v>2.5</v>
      </c>
      <c r="T2183" s="1" t="str">
        <f t="shared" si="265"/>
        <v>-text 360,131 2.5 90 266.533</v>
      </c>
    </row>
    <row r="2184" spans="1:20" x14ac:dyDescent="0.35">
      <c r="A2184" s="1">
        <v>293880</v>
      </c>
      <c r="B2184" s="7">
        <v>1183339</v>
      </c>
      <c r="C2184" s="2">
        <v>268.35899999999998</v>
      </c>
      <c r="D2184" s="2">
        <v>269.36700000000002</v>
      </c>
      <c r="E2184" s="2">
        <v>1.008</v>
      </c>
      <c r="F2184" s="2">
        <v>267.68700000000001</v>
      </c>
      <c r="G2184" s="2">
        <v>268.654</v>
      </c>
      <c r="H2184" s="2">
        <v>0.96699999999999997</v>
      </c>
      <c r="I2184" s="2">
        <v>267.51</v>
      </c>
      <c r="J2184" s="2">
        <v>266.69</v>
      </c>
      <c r="K2184" s="15">
        <v>1.964</v>
      </c>
      <c r="L2184" s="2">
        <v>12.884</v>
      </c>
      <c r="N2184" s="7">
        <f t="shared" si="269"/>
        <v>380</v>
      </c>
      <c r="O2184" s="1">
        <f t="shared" si="264"/>
        <v>131</v>
      </c>
      <c r="P2184" s="1" t="str">
        <f t="shared" si="266"/>
        <v>380,131</v>
      </c>
      <c r="Q2184" s="6" t="s">
        <v>10</v>
      </c>
      <c r="R2184" s="1">
        <v>90</v>
      </c>
      <c r="S2184" s="1">
        <v>2.5</v>
      </c>
      <c r="T2184" s="1" t="str">
        <f t="shared" si="265"/>
        <v>-text 380,131 2.5 90 266.69</v>
      </c>
    </row>
    <row r="2185" spans="1:20" x14ac:dyDescent="0.35">
      <c r="A2185" s="1">
        <v>293900</v>
      </c>
      <c r="B2185" s="7">
        <v>1183359</v>
      </c>
      <c r="C2185" s="2">
        <v>268.35199999999998</v>
      </c>
      <c r="D2185" s="2">
        <v>269.36099999999999</v>
      </c>
      <c r="E2185" s="2">
        <v>1.0089999999999999</v>
      </c>
      <c r="F2185" s="2">
        <v>267.68</v>
      </c>
      <c r="G2185" s="2">
        <v>268.64800000000002</v>
      </c>
      <c r="H2185" s="2">
        <v>0.96799999999999997</v>
      </c>
      <c r="I2185" s="2">
        <v>267.459</v>
      </c>
      <c r="J2185" s="2">
        <v>266.74299999999999</v>
      </c>
      <c r="K2185" s="15">
        <v>1.905</v>
      </c>
      <c r="L2185" s="2">
        <v>12.9</v>
      </c>
      <c r="N2185" s="7">
        <f t="shared" si="269"/>
        <v>400</v>
      </c>
      <c r="O2185" s="1">
        <f t="shared" si="264"/>
        <v>131</v>
      </c>
      <c r="P2185" s="1" t="str">
        <f t="shared" si="266"/>
        <v>400,131</v>
      </c>
      <c r="Q2185" s="6" t="s">
        <v>10</v>
      </c>
      <c r="R2185" s="1">
        <v>90</v>
      </c>
      <c r="S2185" s="1">
        <v>2.5</v>
      </c>
      <c r="T2185" s="1" t="str">
        <f t="shared" si="265"/>
        <v>-text 400,131 2.5 90 266.743</v>
      </c>
    </row>
    <row r="2186" spans="1:20" x14ac:dyDescent="0.35">
      <c r="A2186" s="1">
        <v>293920</v>
      </c>
      <c r="B2186" s="7">
        <v>1183379</v>
      </c>
      <c r="C2186" s="2">
        <v>268.346</v>
      </c>
      <c r="D2186" s="2">
        <v>269.36099999999999</v>
      </c>
      <c r="E2186" s="2">
        <v>1.0149999999999999</v>
      </c>
      <c r="F2186" s="2">
        <v>267.67399999999998</v>
      </c>
      <c r="G2186" s="2">
        <v>268.64800000000002</v>
      </c>
      <c r="H2186" s="2">
        <v>0.97399999999999998</v>
      </c>
      <c r="I2186" s="2">
        <v>267.30099999999999</v>
      </c>
      <c r="J2186" s="2">
        <v>266.35700000000003</v>
      </c>
      <c r="K2186" s="15">
        <v>2.2909999999999999</v>
      </c>
      <c r="L2186" s="2">
        <v>12.925000000000001</v>
      </c>
      <c r="N2186" s="7">
        <f t="shared" si="269"/>
        <v>420</v>
      </c>
      <c r="O2186" s="1">
        <f t="shared" si="264"/>
        <v>131</v>
      </c>
      <c r="P2186" s="1" t="str">
        <f t="shared" si="266"/>
        <v>420,131</v>
      </c>
      <c r="Q2186" s="6" t="s">
        <v>10</v>
      </c>
      <c r="R2186" s="1">
        <v>90</v>
      </c>
      <c r="S2186" s="1">
        <v>2.5</v>
      </c>
      <c r="T2186" s="1" t="str">
        <f t="shared" si="265"/>
        <v>-text 420,131 2.5 90 266.357</v>
      </c>
    </row>
    <row r="2187" spans="1:20" x14ac:dyDescent="0.35">
      <c r="A2187" s="1">
        <v>293940</v>
      </c>
      <c r="B2187" s="7">
        <v>1183399</v>
      </c>
      <c r="C2187" s="2">
        <v>268.33699999999999</v>
      </c>
      <c r="D2187" s="2">
        <v>269.36099999999999</v>
      </c>
      <c r="E2187" s="2">
        <v>1.024</v>
      </c>
      <c r="F2187" s="2">
        <v>267.66500000000002</v>
      </c>
      <c r="G2187" s="2">
        <v>268.64800000000002</v>
      </c>
      <c r="H2187" s="2">
        <v>0.98299999999999998</v>
      </c>
      <c r="I2187" s="2">
        <v>267.18799999999999</v>
      </c>
      <c r="J2187" s="2">
        <v>265.80599999999998</v>
      </c>
      <c r="K2187" s="15">
        <v>2.8420000000000001</v>
      </c>
      <c r="L2187" s="2">
        <v>12.932</v>
      </c>
      <c r="N2187" s="7">
        <f t="shared" si="269"/>
        <v>440</v>
      </c>
      <c r="O2187" s="1">
        <f t="shared" si="264"/>
        <v>131</v>
      </c>
      <c r="P2187" s="1" t="str">
        <f t="shared" si="266"/>
        <v>440,131</v>
      </c>
      <c r="Q2187" s="6" t="s">
        <v>10</v>
      </c>
      <c r="R2187" s="1">
        <v>90</v>
      </c>
      <c r="S2187" s="1">
        <v>2.5</v>
      </c>
      <c r="T2187" s="1" t="str">
        <f t="shared" si="265"/>
        <v>-text 440,131 2.5 90 265.806</v>
      </c>
    </row>
    <row r="2188" spans="1:20" x14ac:dyDescent="0.35">
      <c r="A2188" s="1">
        <v>293960</v>
      </c>
      <c r="B2188" s="7">
        <v>1183419</v>
      </c>
      <c r="C2188" s="2">
        <v>268.32100000000003</v>
      </c>
      <c r="D2188" s="2">
        <v>269.36099999999999</v>
      </c>
      <c r="E2188" s="2">
        <v>1.04</v>
      </c>
      <c r="F2188" s="2">
        <v>267.649</v>
      </c>
      <c r="G2188" s="2">
        <v>268.64800000000002</v>
      </c>
      <c r="H2188" s="2">
        <v>0.999</v>
      </c>
      <c r="I2188" s="2">
        <v>267.13400000000001</v>
      </c>
      <c r="J2188" s="2">
        <v>265.87099999999998</v>
      </c>
      <c r="K2188" s="15">
        <v>2.7770000000000001</v>
      </c>
      <c r="L2188" s="2">
        <v>12.893000000000001</v>
      </c>
      <c r="N2188" s="7">
        <f t="shared" si="269"/>
        <v>460</v>
      </c>
      <c r="O2188" s="1">
        <f t="shared" si="264"/>
        <v>131</v>
      </c>
      <c r="P2188" s="1" t="str">
        <f t="shared" si="266"/>
        <v>460,131</v>
      </c>
      <c r="Q2188" s="6" t="s">
        <v>10</v>
      </c>
      <c r="R2188" s="1">
        <v>90</v>
      </c>
      <c r="S2188" s="1">
        <v>2.5</v>
      </c>
      <c r="T2188" s="1" t="str">
        <f t="shared" si="265"/>
        <v>-text 460,131 2.5 90 265.871</v>
      </c>
    </row>
    <row r="2189" spans="1:20" x14ac:dyDescent="0.35">
      <c r="A2189" s="1">
        <v>293980</v>
      </c>
      <c r="B2189" s="7">
        <v>1183439</v>
      </c>
      <c r="C2189" s="2">
        <v>268.28699999999998</v>
      </c>
      <c r="D2189" s="2">
        <v>269.36099999999999</v>
      </c>
      <c r="E2189" s="2">
        <v>1.0740000000000001</v>
      </c>
      <c r="F2189" s="2">
        <v>267.61500000000001</v>
      </c>
      <c r="G2189" s="2">
        <v>268.64800000000002</v>
      </c>
      <c r="H2189" s="2">
        <v>1.0329999999999999</v>
      </c>
      <c r="I2189" s="2">
        <v>267.435</v>
      </c>
      <c r="J2189" s="2">
        <v>266.29599999999999</v>
      </c>
      <c r="K2189" s="15">
        <v>2.3519999999999999</v>
      </c>
      <c r="L2189" s="2">
        <v>12.87</v>
      </c>
      <c r="N2189" s="7">
        <f t="shared" si="269"/>
        <v>480</v>
      </c>
      <c r="O2189" s="1">
        <f t="shared" si="264"/>
        <v>131</v>
      </c>
      <c r="P2189" s="1" t="str">
        <f t="shared" si="266"/>
        <v>480,131</v>
      </c>
      <c r="Q2189" s="6" t="s">
        <v>10</v>
      </c>
      <c r="R2189" s="1">
        <v>90</v>
      </c>
      <c r="S2189" s="1">
        <v>2.5</v>
      </c>
      <c r="T2189" s="1" t="str">
        <f t="shared" si="265"/>
        <v>-text 480,131 2.5 90 266.296</v>
      </c>
    </row>
    <row r="2190" spans="1:20" x14ac:dyDescent="0.35">
      <c r="A2190" s="1">
        <v>294000</v>
      </c>
      <c r="B2190" s="7">
        <v>1183459</v>
      </c>
      <c r="C2190" s="2">
        <v>268.29000000000002</v>
      </c>
      <c r="D2190" s="2">
        <v>269.36099999999999</v>
      </c>
      <c r="E2190" s="2">
        <v>1.071</v>
      </c>
      <c r="F2190" s="2">
        <v>267.61799999999999</v>
      </c>
      <c r="G2190" s="2">
        <v>268.64800000000002</v>
      </c>
      <c r="H2190" s="2">
        <v>1.03</v>
      </c>
      <c r="I2190" s="2">
        <v>267.30399999999997</v>
      </c>
      <c r="J2190" s="2">
        <v>265.99599999999998</v>
      </c>
      <c r="K2190" s="15">
        <v>2.6520000000000001</v>
      </c>
      <c r="L2190" s="2">
        <v>12.911</v>
      </c>
      <c r="N2190" s="7">
        <f t="shared" si="269"/>
        <v>500</v>
      </c>
      <c r="O2190" s="1">
        <f t="shared" si="264"/>
        <v>131</v>
      </c>
      <c r="P2190" s="1" t="str">
        <f t="shared" si="266"/>
        <v>500,131</v>
      </c>
      <c r="Q2190" s="6" t="s">
        <v>10</v>
      </c>
      <c r="R2190" s="1">
        <v>90</v>
      </c>
      <c r="S2190" s="1">
        <v>2.5</v>
      </c>
      <c r="T2190" s="1" t="str">
        <f t="shared" si="265"/>
        <v>-text 500,131 2.5 90 265.996</v>
      </c>
    </row>
    <row r="2191" spans="1:20" x14ac:dyDescent="0.35">
      <c r="A2191" s="1">
        <v>294020</v>
      </c>
      <c r="B2191" s="7">
        <v>1183478.8999999999</v>
      </c>
      <c r="C2191" s="2">
        <v>268.28199999999998</v>
      </c>
      <c r="D2191" s="2">
        <v>269.36099999999999</v>
      </c>
      <c r="E2191" s="2">
        <v>1.079</v>
      </c>
      <c r="F2191" s="2">
        <v>267.61</v>
      </c>
      <c r="G2191" s="2">
        <v>268.64800000000002</v>
      </c>
      <c r="H2191" s="2">
        <v>1.038</v>
      </c>
      <c r="I2191" s="2">
        <v>267.404</v>
      </c>
      <c r="J2191" s="2">
        <v>266.20400000000001</v>
      </c>
      <c r="K2191" s="15">
        <v>2.444</v>
      </c>
      <c r="L2191" s="2">
        <v>12.882</v>
      </c>
      <c r="N2191" s="7">
        <f t="shared" si="269"/>
        <v>519.89999999990687</v>
      </c>
      <c r="O2191" s="1">
        <f t="shared" si="264"/>
        <v>131</v>
      </c>
      <c r="P2191" s="1" t="str">
        <f t="shared" si="266"/>
        <v>519.899999999907,131</v>
      </c>
      <c r="Q2191" s="6" t="s">
        <v>10</v>
      </c>
      <c r="R2191" s="1">
        <v>90</v>
      </c>
      <c r="S2191" s="1">
        <v>2.5</v>
      </c>
      <c r="T2191" s="1" t="str">
        <f t="shared" si="265"/>
        <v>-text 519.899999999907,131 2.5 90 266.204</v>
      </c>
    </row>
    <row r="2192" spans="1:20" x14ac:dyDescent="0.35">
      <c r="A2192" s="1">
        <v>294030.20232859999</v>
      </c>
      <c r="B2192" s="7">
        <v>1183489.2</v>
      </c>
      <c r="C2192" s="2">
        <v>268.27800000000002</v>
      </c>
      <c r="D2192" s="2">
        <v>269.36099999999999</v>
      </c>
      <c r="E2192" s="2">
        <v>1.083</v>
      </c>
      <c r="F2192" s="2">
        <v>267.60599999999999</v>
      </c>
      <c r="G2192" s="2">
        <v>268.64800000000002</v>
      </c>
      <c r="H2192" s="2">
        <v>1.042</v>
      </c>
      <c r="I2192" s="2">
        <v>267.43799999999999</v>
      </c>
      <c r="J2192" s="2">
        <v>266.00900000000001</v>
      </c>
      <c r="K2192" s="15">
        <v>2.6389999999999998</v>
      </c>
      <c r="L2192" s="2">
        <v>12.877000000000001</v>
      </c>
      <c r="N2192" s="7">
        <f t="shared" si="269"/>
        <v>530.19999999995343</v>
      </c>
      <c r="O2192" s="1">
        <f t="shared" si="264"/>
        <v>131</v>
      </c>
      <c r="P2192" s="1" t="str">
        <f t="shared" si="266"/>
        <v>530.199999999953,131</v>
      </c>
      <c r="Q2192" s="6" t="s">
        <v>10</v>
      </c>
      <c r="R2192" s="1">
        <v>90</v>
      </c>
      <c r="S2192" s="1">
        <v>2.5</v>
      </c>
      <c r="T2192" s="1" t="str">
        <f t="shared" si="265"/>
        <v>-text 530.199999999953,131 2.5 90 266.009</v>
      </c>
    </row>
    <row r="2193" spans="1:20" s="23" customFormat="1" x14ac:dyDescent="0.35">
      <c r="B2193" s="24"/>
      <c r="C2193" s="25"/>
      <c r="D2193" s="25"/>
      <c r="E2193" s="25"/>
      <c r="F2193" s="25"/>
      <c r="G2193" s="25"/>
      <c r="H2193" s="25"/>
      <c r="I2193" s="25"/>
      <c r="J2193" s="25"/>
      <c r="K2193" s="26"/>
      <c r="L2193" s="25"/>
      <c r="M2193" s="25"/>
      <c r="N2193" s="24"/>
      <c r="Q2193" s="27"/>
      <c r="T2193" s="23" t="s">
        <v>20</v>
      </c>
    </row>
    <row r="2194" spans="1:20" x14ac:dyDescent="0.35">
      <c r="A2194" s="1">
        <v>294000</v>
      </c>
      <c r="B2194" s="7">
        <v>1183489.1810000001</v>
      </c>
      <c r="C2194" s="2">
        <v>268.27849479999998</v>
      </c>
      <c r="D2194" s="9">
        <v>269.36099999999999</v>
      </c>
      <c r="E2194" s="9">
        <f>D2194-C2194</f>
        <v>1.0825052000000142</v>
      </c>
      <c r="F2194" s="2">
        <v>267.60649479999995</v>
      </c>
      <c r="G2194" s="2">
        <v>268.64799999999997</v>
      </c>
      <c r="H2194" s="2">
        <f>G2194-F2194</f>
        <v>1.0415052000000173</v>
      </c>
      <c r="I2194" s="2">
        <v>267.43823200000003</v>
      </c>
      <c r="J2194" s="2">
        <v>266.00857789999998</v>
      </c>
      <c r="K2194" s="15">
        <v>2.6394220999999902</v>
      </c>
      <c r="L2194" s="2">
        <v>12.877430199999999</v>
      </c>
      <c r="N2194" s="7">
        <v>0</v>
      </c>
      <c r="O2194" s="1">
        <f>19+16+17</f>
        <v>52</v>
      </c>
      <c r="P2194" s="1" t="str">
        <f t="shared" si="266"/>
        <v>0,52</v>
      </c>
      <c r="Q2194" s="6" t="s">
        <v>10</v>
      </c>
      <c r="R2194" s="1">
        <v>90</v>
      </c>
      <c r="S2194" s="1">
        <v>2.5</v>
      </c>
      <c r="T2194" s="1" t="str">
        <f>$Q2194&amp;" "&amp;$P2194&amp;" "&amp;$S2194&amp;" "&amp;$R2194&amp;" "&amp;$E2194</f>
        <v>-text 0,52 2.5 90 1.08250520000001</v>
      </c>
    </row>
    <row r="2195" spans="1:20" x14ac:dyDescent="0.35">
      <c r="A2195" s="1">
        <v>294020</v>
      </c>
      <c r="B2195" s="7">
        <v>1183509.1513019518</v>
      </c>
      <c r="C2195" s="2">
        <v>268.27389870000002</v>
      </c>
      <c r="D2195" s="9">
        <v>269.36099999999999</v>
      </c>
      <c r="E2195" s="9">
        <f>D2195-C2195</f>
        <v>1.0871012999999721</v>
      </c>
      <c r="F2195" s="2">
        <v>267.60189869999999</v>
      </c>
      <c r="G2195" s="2">
        <v>268.64799999999997</v>
      </c>
      <c r="H2195" s="2">
        <f>G2195-F2195</f>
        <v>1.0461012999999753</v>
      </c>
      <c r="I2195" s="2">
        <v>267.32945089999998</v>
      </c>
      <c r="J2195" s="2">
        <v>266.0788182</v>
      </c>
      <c r="K2195" s="15">
        <v>2.5691817999999671</v>
      </c>
      <c r="L2195" s="2">
        <v>12.860408899999999</v>
      </c>
      <c r="N2195" s="7">
        <f t="shared" ref="N2195:N2218" si="270">N2194+(B2195-B2194)</f>
        <v>19.970301951747388</v>
      </c>
      <c r="O2195" s="1">
        <f t="shared" ref="O2195:O2219" si="271">19+16+17</f>
        <v>52</v>
      </c>
      <c r="P2195" s="1" t="str">
        <f t="shared" si="266"/>
        <v>19.9703019517474,52</v>
      </c>
      <c r="Q2195" s="6" t="s">
        <v>10</v>
      </c>
      <c r="R2195" s="1">
        <v>90</v>
      </c>
      <c r="S2195" s="1">
        <v>2.5</v>
      </c>
      <c r="T2195" s="1" t="str">
        <f t="shared" ref="T2195:T2219" si="272">$Q2195&amp;" "&amp;$P2195&amp;" "&amp;$S2195&amp;" "&amp;$R2195&amp;" "&amp;$E2195</f>
        <v>-text 19.9703019517474,52 2.5 90 1.08710129999997</v>
      </c>
    </row>
    <row r="2196" spans="1:20" x14ac:dyDescent="0.35">
      <c r="A2196" s="1">
        <v>294040</v>
      </c>
      <c r="B2196" s="7">
        <v>1183529.2</v>
      </c>
      <c r="C2196" s="2">
        <v>268.26900000000001</v>
      </c>
      <c r="D2196" s="9">
        <v>269.36099999999999</v>
      </c>
      <c r="E2196" s="9">
        <v>1.0920000000000001</v>
      </c>
      <c r="F2196" s="2">
        <v>267.59699999999998</v>
      </c>
      <c r="G2196" s="2">
        <v>268.64800000000002</v>
      </c>
      <c r="H2196" s="2">
        <v>1.0509999999999999</v>
      </c>
      <c r="I2196" s="2">
        <v>267.43299999999999</v>
      </c>
      <c r="J2196" s="2">
        <v>266.08699999999999</v>
      </c>
      <c r="K2196" s="15">
        <v>2.5609999999999999</v>
      </c>
      <c r="L2196" s="2">
        <v>12.843</v>
      </c>
      <c r="N2196" s="7">
        <f t="shared" si="270"/>
        <v>40.018999999854714</v>
      </c>
      <c r="O2196" s="1">
        <f t="shared" si="271"/>
        <v>52</v>
      </c>
      <c r="P2196" s="1" t="str">
        <f t="shared" si="266"/>
        <v>40.0189999998547,52</v>
      </c>
      <c r="Q2196" s="6" t="s">
        <v>10</v>
      </c>
      <c r="R2196" s="1">
        <v>90</v>
      </c>
      <c r="S2196" s="1">
        <v>2.5</v>
      </c>
      <c r="T2196" s="1" t="str">
        <f t="shared" si="272"/>
        <v>-text 40.0189999998547,52 2.5 90 1.092</v>
      </c>
    </row>
    <row r="2197" spans="1:20" x14ac:dyDescent="0.35">
      <c r="A2197" s="1">
        <v>294060</v>
      </c>
      <c r="B2197" s="7">
        <v>1183549.2</v>
      </c>
      <c r="C2197" s="2">
        <v>268.262</v>
      </c>
      <c r="D2197" s="9">
        <v>269.36099999999999</v>
      </c>
      <c r="E2197" s="9">
        <v>1.099</v>
      </c>
      <c r="F2197" s="2">
        <v>267.58999999999997</v>
      </c>
      <c r="G2197" s="2">
        <v>268.64800000000002</v>
      </c>
      <c r="H2197" s="2">
        <v>1.0580000000000001</v>
      </c>
      <c r="I2197" s="2">
        <v>267.31900000000002</v>
      </c>
      <c r="J2197" s="2">
        <v>265.88099999999997</v>
      </c>
      <c r="K2197" s="15">
        <v>2.7669999999999999</v>
      </c>
      <c r="L2197" s="2">
        <v>12.856</v>
      </c>
      <c r="N2197" s="7">
        <f t="shared" si="270"/>
        <v>60.018999999854714</v>
      </c>
      <c r="O2197" s="1">
        <f t="shared" si="271"/>
        <v>52</v>
      </c>
      <c r="P2197" s="1" t="str">
        <f t="shared" si="266"/>
        <v>60.0189999998547,52</v>
      </c>
      <c r="Q2197" s="6" t="s">
        <v>10</v>
      </c>
      <c r="R2197" s="1">
        <v>90</v>
      </c>
      <c r="S2197" s="1">
        <v>2.5</v>
      </c>
      <c r="T2197" s="1" t="str">
        <f t="shared" si="272"/>
        <v>-text 60.0189999998547,52 2.5 90 1.099</v>
      </c>
    </row>
    <row r="2198" spans="1:20" x14ac:dyDescent="0.35">
      <c r="A2198" s="1">
        <v>294080</v>
      </c>
      <c r="B2198" s="7">
        <v>1183569.2</v>
      </c>
      <c r="C2198" s="2">
        <v>268.25900000000001</v>
      </c>
      <c r="D2198" s="9">
        <v>269.36099999999999</v>
      </c>
      <c r="E2198" s="9">
        <v>1.1020000000000001</v>
      </c>
      <c r="F2198" s="2">
        <v>267.58699999999999</v>
      </c>
      <c r="G2198" s="2">
        <v>268.64800000000002</v>
      </c>
      <c r="H2198" s="2">
        <v>1.0609999999999999</v>
      </c>
      <c r="I2198" s="2">
        <v>267.15699999999998</v>
      </c>
      <c r="J2198" s="2">
        <v>265.39</v>
      </c>
      <c r="K2198" s="15">
        <v>3.258</v>
      </c>
      <c r="L2198" s="2">
        <v>12.856</v>
      </c>
      <c r="N2198" s="7">
        <f t="shared" si="270"/>
        <v>80.018999999854714</v>
      </c>
      <c r="O2198" s="1">
        <f t="shared" si="271"/>
        <v>52</v>
      </c>
      <c r="P2198" s="1" t="str">
        <f t="shared" si="266"/>
        <v>80.0189999998547,52</v>
      </c>
      <c r="Q2198" s="6" t="s">
        <v>10</v>
      </c>
      <c r="R2198" s="1">
        <v>90</v>
      </c>
      <c r="S2198" s="1">
        <v>2.5</v>
      </c>
      <c r="T2198" s="1" t="str">
        <f t="shared" si="272"/>
        <v>-text 80.0189999998547,52 2.5 90 1.102</v>
      </c>
    </row>
    <row r="2199" spans="1:20" x14ac:dyDescent="0.35">
      <c r="A2199" s="1">
        <v>294100</v>
      </c>
      <c r="B2199" s="7">
        <v>1183589.2</v>
      </c>
      <c r="C2199" s="2">
        <v>268.26</v>
      </c>
      <c r="D2199" s="9">
        <v>269.36099999999999</v>
      </c>
      <c r="E2199" s="9">
        <v>1.101</v>
      </c>
      <c r="F2199" s="2">
        <v>267.58800000000002</v>
      </c>
      <c r="G2199" s="2">
        <v>268.64800000000002</v>
      </c>
      <c r="H2199" s="2">
        <v>1.06</v>
      </c>
      <c r="I2199" s="2">
        <v>267.012</v>
      </c>
      <c r="J2199" s="2">
        <v>265.03300000000002</v>
      </c>
      <c r="K2199" s="15">
        <v>3.6150000000000002</v>
      </c>
      <c r="L2199" s="2">
        <v>12.843</v>
      </c>
      <c r="N2199" s="7">
        <f t="shared" si="270"/>
        <v>100.01899999985471</v>
      </c>
      <c r="O2199" s="1">
        <f t="shared" si="271"/>
        <v>52</v>
      </c>
      <c r="P2199" s="1" t="str">
        <f t="shared" si="266"/>
        <v>100.018999999855,52</v>
      </c>
      <c r="Q2199" s="6" t="s">
        <v>10</v>
      </c>
      <c r="R2199" s="1">
        <v>90</v>
      </c>
      <c r="S2199" s="1">
        <v>2.5</v>
      </c>
      <c r="T2199" s="1" t="str">
        <f t="shared" si="272"/>
        <v>-text 100.018999999855,52 2.5 90 1.101</v>
      </c>
    </row>
    <row r="2200" spans="1:20" x14ac:dyDescent="0.35">
      <c r="A2200" s="1">
        <v>294120</v>
      </c>
      <c r="B2200" s="7">
        <v>1183609.2</v>
      </c>
      <c r="C2200" s="2">
        <v>268.26299999999998</v>
      </c>
      <c r="D2200" s="9">
        <v>269.36099999999999</v>
      </c>
      <c r="E2200" s="9">
        <v>1.0980000000000001</v>
      </c>
      <c r="F2200" s="2">
        <v>267.59100000000001</v>
      </c>
      <c r="G2200" s="2">
        <v>268.64800000000002</v>
      </c>
      <c r="H2200" s="2">
        <v>1.0569999999999999</v>
      </c>
      <c r="I2200" s="2">
        <v>267.15699999999998</v>
      </c>
      <c r="J2200" s="2">
        <v>265.154</v>
      </c>
      <c r="K2200" s="15">
        <v>3.4940000000000002</v>
      </c>
      <c r="L2200" s="2">
        <v>12.843999999999999</v>
      </c>
      <c r="N2200" s="7">
        <f t="shared" si="270"/>
        <v>120.01899999985471</v>
      </c>
      <c r="O2200" s="1">
        <f t="shared" si="271"/>
        <v>52</v>
      </c>
      <c r="P2200" s="1" t="str">
        <f t="shared" si="266"/>
        <v>120.018999999855,52</v>
      </c>
      <c r="Q2200" s="6" t="s">
        <v>10</v>
      </c>
      <c r="R2200" s="1">
        <v>90</v>
      </c>
      <c r="S2200" s="1">
        <v>2.5</v>
      </c>
      <c r="T2200" s="1" t="str">
        <f t="shared" si="272"/>
        <v>-text 120.018999999855,52 2.5 90 1.098</v>
      </c>
    </row>
    <row r="2201" spans="1:20" x14ac:dyDescent="0.35">
      <c r="A2201" s="1">
        <v>294140</v>
      </c>
      <c r="B2201" s="7">
        <v>1183629.2</v>
      </c>
      <c r="C2201" s="2">
        <v>268.26900000000001</v>
      </c>
      <c r="D2201" s="9">
        <v>269.36099999999999</v>
      </c>
      <c r="E2201" s="9">
        <v>1.0920000000000001</v>
      </c>
      <c r="F2201" s="2">
        <v>267.59699999999998</v>
      </c>
      <c r="G2201" s="2">
        <v>268.64800000000002</v>
      </c>
      <c r="H2201" s="2">
        <v>1.0509999999999999</v>
      </c>
      <c r="I2201" s="2">
        <v>267.18400000000003</v>
      </c>
      <c r="J2201" s="2">
        <v>265.20800000000003</v>
      </c>
      <c r="K2201" s="15">
        <v>3.44</v>
      </c>
      <c r="L2201" s="2">
        <v>12.864000000000001</v>
      </c>
      <c r="N2201" s="7">
        <f t="shared" si="270"/>
        <v>140.01899999985471</v>
      </c>
      <c r="O2201" s="1">
        <f t="shared" si="271"/>
        <v>52</v>
      </c>
      <c r="P2201" s="1" t="str">
        <f t="shared" si="266"/>
        <v>140.018999999855,52</v>
      </c>
      <c r="Q2201" s="6" t="s">
        <v>10</v>
      </c>
      <c r="R2201" s="1">
        <v>90</v>
      </c>
      <c r="S2201" s="1">
        <v>2.5</v>
      </c>
      <c r="T2201" s="1" t="str">
        <f t="shared" si="272"/>
        <v>-text 140.018999999855,52 2.5 90 1.092</v>
      </c>
    </row>
    <row r="2202" spans="1:20" x14ac:dyDescent="0.35">
      <c r="A2202" s="1">
        <v>294160</v>
      </c>
      <c r="B2202" s="7">
        <v>1183649.2</v>
      </c>
      <c r="C2202" s="2">
        <v>268.27699999999999</v>
      </c>
      <c r="D2202" s="9">
        <v>269.36099999999999</v>
      </c>
      <c r="E2202" s="9">
        <v>1.0840000000000001</v>
      </c>
      <c r="F2202" s="2">
        <v>267.60500000000002</v>
      </c>
      <c r="G2202" s="2">
        <v>268.64800000000002</v>
      </c>
      <c r="H2202" s="2">
        <v>1.0429999999999999</v>
      </c>
      <c r="I2202" s="2">
        <v>267.15800000000002</v>
      </c>
      <c r="J2202" s="2">
        <v>265.18799999999999</v>
      </c>
      <c r="K2202" s="15">
        <v>3.46</v>
      </c>
      <c r="L2202" s="2">
        <v>12.871</v>
      </c>
      <c r="N2202" s="7">
        <f t="shared" si="270"/>
        <v>160.01899999985471</v>
      </c>
      <c r="O2202" s="1">
        <f t="shared" si="271"/>
        <v>52</v>
      </c>
      <c r="P2202" s="1" t="str">
        <f t="shared" ref="P2202:P2269" si="273">CONCATENATE(N2202,",",O2202)</f>
        <v>160.018999999855,52</v>
      </c>
      <c r="Q2202" s="6" t="s">
        <v>10</v>
      </c>
      <c r="R2202" s="1">
        <v>90</v>
      </c>
      <c r="S2202" s="1">
        <v>2.5</v>
      </c>
      <c r="T2202" s="1" t="str">
        <f t="shared" si="272"/>
        <v>-text 160.018999999855,52 2.5 90 1.084</v>
      </c>
    </row>
    <row r="2203" spans="1:20" x14ac:dyDescent="0.35">
      <c r="A2203" s="1">
        <v>294180</v>
      </c>
      <c r="B2203" s="7">
        <v>1183669.2</v>
      </c>
      <c r="C2203" s="2">
        <v>268.286</v>
      </c>
      <c r="D2203" s="9">
        <v>269.36099999999999</v>
      </c>
      <c r="E2203" s="9">
        <v>1.075</v>
      </c>
      <c r="F2203" s="2">
        <v>267.61399999999998</v>
      </c>
      <c r="G2203" s="2">
        <v>268.64800000000002</v>
      </c>
      <c r="H2203" s="2">
        <v>1.034</v>
      </c>
      <c r="I2203" s="2">
        <v>267.12299999999999</v>
      </c>
      <c r="J2203" s="2">
        <v>265.28899999999999</v>
      </c>
      <c r="K2203" s="15">
        <v>3.359</v>
      </c>
      <c r="L2203" s="2">
        <v>12.866</v>
      </c>
      <c r="N2203" s="7">
        <f t="shared" si="270"/>
        <v>180.01899999985471</v>
      </c>
      <c r="O2203" s="1">
        <f t="shared" si="271"/>
        <v>52</v>
      </c>
      <c r="P2203" s="1" t="str">
        <f t="shared" si="273"/>
        <v>180.018999999855,52</v>
      </c>
      <c r="Q2203" s="6" t="s">
        <v>10</v>
      </c>
      <c r="R2203" s="1">
        <v>90</v>
      </c>
      <c r="S2203" s="1">
        <v>2.5</v>
      </c>
      <c r="T2203" s="1" t="str">
        <f t="shared" si="272"/>
        <v>-text 180.018999999855,52 2.5 90 1.075</v>
      </c>
    </row>
    <row r="2204" spans="1:20" x14ac:dyDescent="0.35">
      <c r="A2204" s="1">
        <v>294200</v>
      </c>
      <c r="B2204" s="7">
        <v>1183689.2</v>
      </c>
      <c r="C2204" s="2">
        <v>268.303</v>
      </c>
      <c r="D2204" s="9">
        <v>269.36099999999999</v>
      </c>
      <c r="E2204" s="9">
        <v>1.0580000000000001</v>
      </c>
      <c r="F2204" s="2">
        <v>267.63099999999997</v>
      </c>
      <c r="G2204" s="2">
        <v>268.64800000000002</v>
      </c>
      <c r="H2204" s="2">
        <v>1.0169999999999999</v>
      </c>
      <c r="I2204" s="2">
        <v>267.161</v>
      </c>
      <c r="J2204" s="2">
        <v>265.27</v>
      </c>
      <c r="K2204" s="15">
        <v>3.3780000000000001</v>
      </c>
      <c r="L2204" s="2">
        <v>12.86</v>
      </c>
      <c r="N2204" s="7">
        <f t="shared" si="270"/>
        <v>200.01899999985471</v>
      </c>
      <c r="O2204" s="1">
        <f t="shared" si="271"/>
        <v>52</v>
      </c>
      <c r="P2204" s="1" t="str">
        <f t="shared" si="273"/>
        <v>200.018999999855,52</v>
      </c>
      <c r="Q2204" s="6" t="s">
        <v>10</v>
      </c>
      <c r="R2204" s="1">
        <v>90</v>
      </c>
      <c r="S2204" s="1">
        <v>2.5</v>
      </c>
      <c r="T2204" s="1" t="str">
        <f t="shared" si="272"/>
        <v>-text 200.018999999855,52 2.5 90 1.058</v>
      </c>
    </row>
    <row r="2205" spans="1:20" x14ac:dyDescent="0.35">
      <c r="A2205" s="1">
        <v>294220</v>
      </c>
      <c r="B2205" s="7">
        <v>1183709.2</v>
      </c>
      <c r="C2205" s="2">
        <v>268.327</v>
      </c>
      <c r="D2205" s="9">
        <v>269.36099999999999</v>
      </c>
      <c r="E2205" s="9">
        <v>1.034</v>
      </c>
      <c r="F2205" s="2">
        <v>267.65499999999997</v>
      </c>
      <c r="G2205" s="2">
        <v>268.64800000000002</v>
      </c>
      <c r="H2205" s="2">
        <v>0.99299999999999999</v>
      </c>
      <c r="I2205" s="2">
        <v>267.22000000000003</v>
      </c>
      <c r="J2205" s="2">
        <v>265.28199999999998</v>
      </c>
      <c r="K2205" s="15">
        <v>3.3660000000000001</v>
      </c>
      <c r="L2205" s="2">
        <v>12.852</v>
      </c>
      <c r="N2205" s="7">
        <f t="shared" si="270"/>
        <v>220.01899999985471</v>
      </c>
      <c r="O2205" s="1">
        <f t="shared" si="271"/>
        <v>52</v>
      </c>
      <c r="P2205" s="1" t="str">
        <f t="shared" si="273"/>
        <v>220.018999999855,52</v>
      </c>
      <c r="Q2205" s="6" t="s">
        <v>10</v>
      </c>
      <c r="R2205" s="1">
        <v>90</v>
      </c>
      <c r="S2205" s="1">
        <v>2.5</v>
      </c>
      <c r="T2205" s="1" t="str">
        <f t="shared" si="272"/>
        <v>-text 220.018999999855,52 2.5 90 1.034</v>
      </c>
    </row>
    <row r="2206" spans="1:20" x14ac:dyDescent="0.35">
      <c r="A2206" s="1">
        <v>294240</v>
      </c>
      <c r="B2206" s="7">
        <v>1183729.2</v>
      </c>
      <c r="C2206" s="2">
        <v>268.34699999999998</v>
      </c>
      <c r="D2206" s="9">
        <v>269.36099999999999</v>
      </c>
      <c r="E2206" s="9">
        <v>1.014</v>
      </c>
      <c r="F2206" s="2">
        <v>267.67500000000001</v>
      </c>
      <c r="G2206" s="2">
        <v>268.64800000000002</v>
      </c>
      <c r="H2206" s="2">
        <v>0.97299999999999998</v>
      </c>
      <c r="I2206" s="2">
        <v>267.19</v>
      </c>
      <c r="J2206" s="2">
        <v>265.07499999999999</v>
      </c>
      <c r="K2206" s="15">
        <v>3.573</v>
      </c>
      <c r="L2206" s="2">
        <v>12.848000000000001</v>
      </c>
      <c r="N2206" s="7">
        <f t="shared" si="270"/>
        <v>240.01899999985471</v>
      </c>
      <c r="O2206" s="1">
        <f t="shared" si="271"/>
        <v>52</v>
      </c>
      <c r="P2206" s="1" t="str">
        <f t="shared" si="273"/>
        <v>240.018999999855,52</v>
      </c>
      <c r="Q2206" s="6" t="s">
        <v>10</v>
      </c>
      <c r="R2206" s="1">
        <v>90</v>
      </c>
      <c r="S2206" s="1">
        <v>2.5</v>
      </c>
      <c r="T2206" s="1" t="str">
        <f t="shared" si="272"/>
        <v>-text 240.018999999855,52 2.5 90 1.014</v>
      </c>
    </row>
    <row r="2207" spans="1:20" x14ac:dyDescent="0.35">
      <c r="A2207" s="1">
        <v>294260</v>
      </c>
      <c r="B2207" s="7">
        <v>1183749.2</v>
      </c>
      <c r="C2207" s="2">
        <v>268.36500000000001</v>
      </c>
      <c r="D2207" s="9">
        <v>269.36099999999999</v>
      </c>
      <c r="E2207" s="9">
        <v>0.996</v>
      </c>
      <c r="F2207" s="2">
        <v>267.69299999999998</v>
      </c>
      <c r="G2207" s="2">
        <v>268.64800000000002</v>
      </c>
      <c r="H2207" s="2">
        <v>0.95499999999999996</v>
      </c>
      <c r="I2207" s="2">
        <v>267.125</v>
      </c>
      <c r="J2207" s="2">
        <v>264.96800000000002</v>
      </c>
      <c r="K2207" s="15">
        <v>3.68</v>
      </c>
      <c r="L2207" s="2">
        <v>12.846</v>
      </c>
      <c r="N2207" s="7">
        <f t="shared" si="270"/>
        <v>260.01899999985471</v>
      </c>
      <c r="O2207" s="1">
        <f t="shared" si="271"/>
        <v>52</v>
      </c>
      <c r="P2207" s="1" t="str">
        <f t="shared" si="273"/>
        <v>260.018999999855,52</v>
      </c>
      <c r="Q2207" s="6" t="s">
        <v>10</v>
      </c>
      <c r="R2207" s="1">
        <v>90</v>
      </c>
      <c r="S2207" s="1">
        <v>2.5</v>
      </c>
      <c r="T2207" s="1" t="str">
        <f t="shared" si="272"/>
        <v>-text 260.018999999855,52 2.5 90 0.996</v>
      </c>
    </row>
    <row r="2208" spans="1:20" x14ac:dyDescent="0.35">
      <c r="A2208" s="1">
        <v>294280</v>
      </c>
      <c r="B2208" s="7">
        <v>1183769.2</v>
      </c>
      <c r="C2208" s="2">
        <v>268.37299999999999</v>
      </c>
      <c r="D2208" s="9">
        <v>269.36099999999999</v>
      </c>
      <c r="E2208" s="9">
        <v>0.98799999999999999</v>
      </c>
      <c r="F2208" s="2">
        <v>267.70100000000002</v>
      </c>
      <c r="G2208" s="2">
        <v>268.64800000000002</v>
      </c>
      <c r="H2208" s="2">
        <v>0.94699999999999995</v>
      </c>
      <c r="I2208" s="2">
        <v>267.07600000000002</v>
      </c>
      <c r="J2208" s="2">
        <v>264.952</v>
      </c>
      <c r="K2208" s="15">
        <v>3.6960000000000002</v>
      </c>
      <c r="L2208" s="2">
        <v>12.881</v>
      </c>
      <c r="N2208" s="7">
        <f t="shared" si="270"/>
        <v>280.01899999985471</v>
      </c>
      <c r="O2208" s="1">
        <f t="shared" si="271"/>
        <v>52</v>
      </c>
      <c r="P2208" s="1" t="str">
        <f t="shared" si="273"/>
        <v>280.018999999855,52</v>
      </c>
      <c r="Q2208" s="6" t="s">
        <v>10</v>
      </c>
      <c r="R2208" s="1">
        <v>90</v>
      </c>
      <c r="S2208" s="1">
        <v>2.5</v>
      </c>
      <c r="T2208" s="1" t="str">
        <f t="shared" si="272"/>
        <v>-text 280.018999999855,52 2.5 90 0.988</v>
      </c>
    </row>
    <row r="2209" spans="1:20" x14ac:dyDescent="0.35">
      <c r="A2209" s="1">
        <v>294300</v>
      </c>
      <c r="B2209" s="7">
        <v>1183789.2</v>
      </c>
      <c r="C2209" s="2">
        <v>268.37700000000001</v>
      </c>
      <c r="D2209" s="9">
        <v>269.36099999999999</v>
      </c>
      <c r="E2209" s="9">
        <v>0.98399999999999999</v>
      </c>
      <c r="F2209" s="2">
        <v>267.70499999999998</v>
      </c>
      <c r="G2209" s="2">
        <v>268.64800000000002</v>
      </c>
      <c r="H2209" s="2">
        <v>0.94299999999999995</v>
      </c>
      <c r="I2209" s="2">
        <v>267.06799999999998</v>
      </c>
      <c r="J2209" s="2">
        <v>264.858</v>
      </c>
      <c r="K2209" s="15">
        <v>3.79</v>
      </c>
      <c r="L2209" s="2">
        <v>12.925000000000001</v>
      </c>
      <c r="N2209" s="7">
        <f t="shared" si="270"/>
        <v>300.01899999985471</v>
      </c>
      <c r="O2209" s="1">
        <f t="shared" si="271"/>
        <v>52</v>
      </c>
      <c r="P2209" s="1" t="str">
        <f t="shared" si="273"/>
        <v>300.018999999855,52</v>
      </c>
      <c r="Q2209" s="6" t="s">
        <v>10</v>
      </c>
      <c r="R2209" s="1">
        <v>90</v>
      </c>
      <c r="S2209" s="1">
        <v>2.5</v>
      </c>
      <c r="T2209" s="1" t="str">
        <f t="shared" si="272"/>
        <v>-text 300.018999999855,52 2.5 90 0.984</v>
      </c>
    </row>
    <row r="2210" spans="1:20" x14ac:dyDescent="0.35">
      <c r="A2210" s="1">
        <v>294320</v>
      </c>
      <c r="B2210" s="7">
        <v>1183809.2</v>
      </c>
      <c r="C2210" s="2">
        <v>268.37799999999999</v>
      </c>
      <c r="D2210" s="9">
        <v>269.36099999999999</v>
      </c>
      <c r="E2210" s="9">
        <v>0.98299999999999998</v>
      </c>
      <c r="F2210" s="2">
        <v>267.70600000000002</v>
      </c>
      <c r="G2210" s="2">
        <v>268.64800000000002</v>
      </c>
      <c r="H2210" s="2">
        <v>0.94199999999999995</v>
      </c>
      <c r="I2210" s="2">
        <v>267.14100000000002</v>
      </c>
      <c r="J2210" s="2">
        <v>264.99</v>
      </c>
      <c r="K2210" s="15">
        <v>3.6579999999999999</v>
      </c>
      <c r="L2210" s="2">
        <v>12.906000000000001</v>
      </c>
      <c r="N2210" s="7">
        <f t="shared" si="270"/>
        <v>320.01899999985471</v>
      </c>
      <c r="O2210" s="1">
        <f t="shared" si="271"/>
        <v>52</v>
      </c>
      <c r="P2210" s="1" t="str">
        <f t="shared" si="273"/>
        <v>320.018999999855,52</v>
      </c>
      <c r="Q2210" s="6" t="s">
        <v>10</v>
      </c>
      <c r="R2210" s="1">
        <v>90</v>
      </c>
      <c r="S2210" s="1">
        <v>2.5</v>
      </c>
      <c r="T2210" s="1" t="str">
        <f t="shared" si="272"/>
        <v>-text 320.018999999855,52 2.5 90 0.983</v>
      </c>
    </row>
    <row r="2211" spans="1:20" x14ac:dyDescent="0.35">
      <c r="A2211" s="1">
        <v>294340</v>
      </c>
      <c r="B2211" s="7">
        <v>1183829.2</v>
      </c>
      <c r="C2211" s="2">
        <v>268.37799999999999</v>
      </c>
      <c r="D2211" s="9">
        <v>269.36099999999999</v>
      </c>
      <c r="E2211" s="9">
        <v>0.98299999999999998</v>
      </c>
      <c r="F2211" s="2">
        <v>267.70600000000002</v>
      </c>
      <c r="G2211" s="2">
        <v>268.64800000000002</v>
      </c>
      <c r="H2211" s="2">
        <v>0.94199999999999995</v>
      </c>
      <c r="I2211" s="2">
        <v>267.22800000000001</v>
      </c>
      <c r="J2211" s="2">
        <v>265.02199999999999</v>
      </c>
      <c r="K2211" s="15">
        <v>3.6259999999999999</v>
      </c>
      <c r="L2211" s="2">
        <v>12.879</v>
      </c>
      <c r="N2211" s="7">
        <f t="shared" si="270"/>
        <v>340.01899999985471</v>
      </c>
      <c r="O2211" s="1">
        <f t="shared" si="271"/>
        <v>52</v>
      </c>
      <c r="P2211" s="1" t="str">
        <f t="shared" si="273"/>
        <v>340.018999999855,52</v>
      </c>
      <c r="Q2211" s="6" t="s">
        <v>10</v>
      </c>
      <c r="R2211" s="1">
        <v>90</v>
      </c>
      <c r="S2211" s="1">
        <v>2.5</v>
      </c>
      <c r="T2211" s="1" t="str">
        <f t="shared" si="272"/>
        <v>-text 340.018999999855,52 2.5 90 0.983</v>
      </c>
    </row>
    <row r="2212" spans="1:20" x14ac:dyDescent="0.35">
      <c r="A2212" s="1">
        <v>294360</v>
      </c>
      <c r="B2212" s="7">
        <v>1183849.2</v>
      </c>
      <c r="C2212" s="2">
        <v>268.37900000000002</v>
      </c>
      <c r="D2212" s="9">
        <v>269.36099999999999</v>
      </c>
      <c r="E2212" s="9">
        <v>0.98199999999999998</v>
      </c>
      <c r="F2212" s="2">
        <v>267.70699999999999</v>
      </c>
      <c r="G2212" s="2">
        <v>268.64800000000002</v>
      </c>
      <c r="H2212" s="2">
        <v>0.94099999999999995</v>
      </c>
      <c r="I2212" s="2">
        <v>267.25</v>
      </c>
      <c r="J2212" s="2">
        <v>265.04000000000002</v>
      </c>
      <c r="K2212" s="15">
        <v>3.6080000000000001</v>
      </c>
      <c r="L2212" s="2">
        <v>12.88</v>
      </c>
      <c r="N2212" s="7">
        <f t="shared" si="270"/>
        <v>360.01899999985471</v>
      </c>
      <c r="O2212" s="1">
        <f t="shared" si="271"/>
        <v>52</v>
      </c>
      <c r="P2212" s="1" t="str">
        <f t="shared" si="273"/>
        <v>360.018999999855,52</v>
      </c>
      <c r="Q2212" s="6" t="s">
        <v>10</v>
      </c>
      <c r="R2212" s="1">
        <v>90</v>
      </c>
      <c r="S2212" s="1">
        <v>2.5</v>
      </c>
      <c r="T2212" s="1" t="str">
        <f t="shared" si="272"/>
        <v>-text 360.018999999855,52 2.5 90 0.982</v>
      </c>
    </row>
    <row r="2213" spans="1:20" x14ac:dyDescent="0.35">
      <c r="A2213" s="1">
        <v>294380</v>
      </c>
      <c r="B2213" s="7">
        <v>1183869.2</v>
      </c>
      <c r="C2213" s="2">
        <v>268.38</v>
      </c>
      <c r="D2213" s="9">
        <v>269.36099999999999</v>
      </c>
      <c r="E2213" s="9">
        <v>0.98099999999999998</v>
      </c>
      <c r="F2213" s="2">
        <v>267.70800000000003</v>
      </c>
      <c r="G2213" s="2">
        <v>268.64800000000002</v>
      </c>
      <c r="H2213" s="2">
        <v>0.94</v>
      </c>
      <c r="I2213" s="2">
        <v>267.22800000000001</v>
      </c>
      <c r="J2213" s="2">
        <v>265.06</v>
      </c>
      <c r="K2213" s="15">
        <v>3.5880000000000001</v>
      </c>
      <c r="L2213" s="2">
        <v>12.882</v>
      </c>
      <c r="N2213" s="7">
        <f t="shared" si="270"/>
        <v>380.01899999985471</v>
      </c>
      <c r="O2213" s="1">
        <f t="shared" si="271"/>
        <v>52</v>
      </c>
      <c r="P2213" s="1" t="str">
        <f t="shared" si="273"/>
        <v>380.018999999855,52</v>
      </c>
      <c r="Q2213" s="6" t="s">
        <v>10</v>
      </c>
      <c r="R2213" s="1">
        <v>90</v>
      </c>
      <c r="S2213" s="1">
        <v>2.5</v>
      </c>
      <c r="T2213" s="1" t="str">
        <f t="shared" si="272"/>
        <v>-text 380.018999999855,52 2.5 90 0.981</v>
      </c>
    </row>
    <row r="2214" spans="1:20" x14ac:dyDescent="0.35">
      <c r="A2214" s="1">
        <v>294400</v>
      </c>
      <c r="B2214" s="7">
        <v>1183889.2</v>
      </c>
      <c r="C2214" s="2">
        <v>268.38099999999997</v>
      </c>
      <c r="D2214" s="9">
        <v>269.36099999999999</v>
      </c>
      <c r="E2214" s="9">
        <v>0.98</v>
      </c>
      <c r="F2214" s="2">
        <v>267.709</v>
      </c>
      <c r="G2214" s="2">
        <v>268.64800000000002</v>
      </c>
      <c r="H2214" s="2">
        <v>0.93899999999999995</v>
      </c>
      <c r="I2214" s="2">
        <v>267.10199999999998</v>
      </c>
      <c r="J2214" s="2">
        <v>265.096</v>
      </c>
      <c r="K2214" s="15">
        <v>3.552</v>
      </c>
      <c r="L2214" s="2">
        <v>12.877000000000001</v>
      </c>
      <c r="N2214" s="7">
        <f t="shared" si="270"/>
        <v>400.01899999985471</v>
      </c>
      <c r="O2214" s="1">
        <f t="shared" si="271"/>
        <v>52</v>
      </c>
      <c r="P2214" s="1" t="str">
        <f t="shared" si="273"/>
        <v>400.018999999855,52</v>
      </c>
      <c r="Q2214" s="6" t="s">
        <v>10</v>
      </c>
      <c r="R2214" s="1">
        <v>90</v>
      </c>
      <c r="S2214" s="1">
        <v>2.5</v>
      </c>
      <c r="T2214" s="1" t="str">
        <f t="shared" si="272"/>
        <v>-text 400.018999999855,52 2.5 90 0.98</v>
      </c>
    </row>
    <row r="2215" spans="1:20" x14ac:dyDescent="0.35">
      <c r="A2215" s="1">
        <v>294420</v>
      </c>
      <c r="B2215" s="7">
        <v>1183909.2</v>
      </c>
      <c r="C2215" s="2">
        <v>268.38200000000001</v>
      </c>
      <c r="D2215" s="9">
        <v>269.36099999999999</v>
      </c>
      <c r="E2215" s="9">
        <v>0.97899999999999998</v>
      </c>
      <c r="F2215" s="2">
        <v>267.70999999999998</v>
      </c>
      <c r="G2215" s="2">
        <v>268.64800000000002</v>
      </c>
      <c r="H2215" s="2">
        <v>0.93799999999999994</v>
      </c>
      <c r="I2215" s="2">
        <v>266.46600000000001</v>
      </c>
      <c r="J2215" s="2">
        <v>265.14699999999999</v>
      </c>
      <c r="K2215" s="15">
        <v>3.5009999999999999</v>
      </c>
      <c r="L2215" s="2">
        <v>12.881</v>
      </c>
      <c r="N2215" s="7">
        <f t="shared" si="270"/>
        <v>420.01899999985471</v>
      </c>
      <c r="O2215" s="1">
        <f t="shared" si="271"/>
        <v>52</v>
      </c>
      <c r="P2215" s="1" t="str">
        <f t="shared" si="273"/>
        <v>420.018999999855,52</v>
      </c>
      <c r="Q2215" s="6" t="s">
        <v>10</v>
      </c>
      <c r="R2215" s="1">
        <v>90</v>
      </c>
      <c r="S2215" s="1">
        <v>2.5</v>
      </c>
      <c r="T2215" s="1" t="str">
        <f t="shared" si="272"/>
        <v>-text 420.018999999855,52 2.5 90 0.979</v>
      </c>
    </row>
    <row r="2216" spans="1:20" x14ac:dyDescent="0.35">
      <c r="A2216" s="1">
        <v>294440</v>
      </c>
      <c r="B2216" s="7">
        <v>1183929.2</v>
      </c>
      <c r="C2216" s="2">
        <v>268.38099999999997</v>
      </c>
      <c r="D2216" s="9">
        <v>269.36099999999999</v>
      </c>
      <c r="E2216" s="9">
        <v>0.98</v>
      </c>
      <c r="F2216" s="2">
        <v>267.709</v>
      </c>
      <c r="G2216" s="2">
        <v>268.64800000000002</v>
      </c>
      <c r="H2216" s="2">
        <v>0.93899999999999995</v>
      </c>
      <c r="I2216" s="2">
        <v>265.37299999999999</v>
      </c>
      <c r="J2216" s="2">
        <v>265.06099999999998</v>
      </c>
      <c r="K2216" s="15">
        <v>3.5870000000000002</v>
      </c>
      <c r="L2216" s="2">
        <v>12.928000000000001</v>
      </c>
      <c r="N2216" s="7">
        <f t="shared" si="270"/>
        <v>440.01899999985471</v>
      </c>
      <c r="O2216" s="1">
        <f t="shared" si="271"/>
        <v>52</v>
      </c>
      <c r="P2216" s="1" t="str">
        <f t="shared" si="273"/>
        <v>440.018999999855,52</v>
      </c>
      <c r="Q2216" s="6" t="s">
        <v>10</v>
      </c>
      <c r="R2216" s="1">
        <v>90</v>
      </c>
      <c r="S2216" s="1">
        <v>2.5</v>
      </c>
      <c r="T2216" s="1" t="str">
        <f t="shared" si="272"/>
        <v>-text 440.018999999855,52 2.5 90 0.98</v>
      </c>
    </row>
    <row r="2217" spans="1:20" x14ac:dyDescent="0.35">
      <c r="A2217" s="1">
        <v>294460</v>
      </c>
      <c r="B2217" s="7">
        <v>1183949.2</v>
      </c>
      <c r="C2217" s="2">
        <v>268.38200000000001</v>
      </c>
      <c r="D2217" s="9">
        <v>269.36099999999999</v>
      </c>
      <c r="E2217" s="9">
        <v>0.97899999999999998</v>
      </c>
      <c r="F2217" s="2">
        <v>267.70999999999998</v>
      </c>
      <c r="G2217" s="2">
        <v>268.64800000000002</v>
      </c>
      <c r="H2217" s="2">
        <v>0.93799999999999994</v>
      </c>
      <c r="I2217" s="2">
        <v>265.36399999999998</v>
      </c>
      <c r="J2217" s="2">
        <v>265.07499999999999</v>
      </c>
      <c r="K2217" s="15">
        <v>3.573</v>
      </c>
      <c r="L2217" s="2">
        <v>12.973000000000001</v>
      </c>
      <c r="N2217" s="7">
        <f t="shared" si="270"/>
        <v>460.01899999985471</v>
      </c>
      <c r="O2217" s="1">
        <f t="shared" si="271"/>
        <v>52</v>
      </c>
      <c r="P2217" s="1" t="str">
        <f t="shared" si="273"/>
        <v>460.018999999855,52</v>
      </c>
      <c r="Q2217" s="6" t="s">
        <v>10</v>
      </c>
      <c r="R2217" s="1">
        <v>90</v>
      </c>
      <c r="S2217" s="1">
        <v>2.5</v>
      </c>
      <c r="T2217" s="1" t="str">
        <f t="shared" si="272"/>
        <v>-text 460.018999999855,52 2.5 90 0.979</v>
      </c>
    </row>
    <row r="2218" spans="1:20" x14ac:dyDescent="0.35">
      <c r="A2218" s="1">
        <v>294480</v>
      </c>
      <c r="B2218" s="7">
        <v>1183969.2</v>
      </c>
      <c r="C2218" s="2">
        <v>268.40699999999998</v>
      </c>
      <c r="D2218" s="9">
        <v>269.36099999999999</v>
      </c>
      <c r="E2218" s="9">
        <v>0.95399999999999996</v>
      </c>
      <c r="F2218" s="2">
        <v>267.73500000000001</v>
      </c>
      <c r="G2218" s="2">
        <v>268.64800000000002</v>
      </c>
      <c r="H2218" s="2">
        <v>0.91300000000000003</v>
      </c>
      <c r="I2218" s="2">
        <v>265.358</v>
      </c>
      <c r="J2218" s="2">
        <v>265.13499999999999</v>
      </c>
      <c r="K2218" s="15">
        <v>3.5129999999999999</v>
      </c>
      <c r="L2218" s="2">
        <v>12.997999999999999</v>
      </c>
      <c r="N2218" s="7">
        <f t="shared" si="270"/>
        <v>480.01899999985471</v>
      </c>
      <c r="O2218" s="1">
        <f t="shared" si="271"/>
        <v>52</v>
      </c>
      <c r="P2218" s="1" t="str">
        <f t="shared" si="273"/>
        <v>480.018999999855,52</v>
      </c>
      <c r="Q2218" s="6" t="s">
        <v>10</v>
      </c>
      <c r="R2218" s="1">
        <v>90</v>
      </c>
      <c r="S2218" s="1">
        <v>2.5</v>
      </c>
      <c r="T2218" s="1" t="str">
        <f t="shared" si="272"/>
        <v>-text 480.018999999855,52 2.5 90 0.954</v>
      </c>
    </row>
    <row r="2219" spans="1:20" x14ac:dyDescent="0.35">
      <c r="A2219" s="1">
        <v>294500</v>
      </c>
      <c r="B2219" s="7">
        <v>1183989.2</v>
      </c>
      <c r="C2219" s="2">
        <v>268.423</v>
      </c>
      <c r="D2219" s="9">
        <v>269.36099999999999</v>
      </c>
      <c r="E2219" s="9">
        <v>0.93799999999999994</v>
      </c>
      <c r="F2219" s="2">
        <v>267.75099999999998</v>
      </c>
      <c r="G2219" s="2">
        <v>268.64800000000002</v>
      </c>
      <c r="H2219" s="2">
        <v>0.89700000000000002</v>
      </c>
      <c r="I2219" s="2">
        <v>265.31299999999999</v>
      </c>
      <c r="J2219" s="2">
        <v>265.06799999999998</v>
      </c>
      <c r="K2219" s="15">
        <v>3.58</v>
      </c>
      <c r="L2219" s="2">
        <v>13.021000000000001</v>
      </c>
      <c r="N2219" s="7">
        <f>N2216+(B2219-B2216)</f>
        <v>500.01899999985471</v>
      </c>
      <c r="O2219" s="1">
        <f t="shared" si="271"/>
        <v>52</v>
      </c>
      <c r="P2219" s="1" t="str">
        <f t="shared" ref="P2219" si="274">CONCATENATE(N2219,",",O2219)</f>
        <v>500.018999999855,52</v>
      </c>
      <c r="Q2219" s="6" t="s">
        <v>10</v>
      </c>
      <c r="R2219" s="1">
        <v>90</v>
      </c>
      <c r="S2219" s="1">
        <v>2.5</v>
      </c>
      <c r="T2219" s="1" t="str">
        <f t="shared" si="272"/>
        <v>-text 500.018999999855,52 2.5 90 0.938</v>
      </c>
    </row>
    <row r="2220" spans="1:20" s="10" customFormat="1" x14ac:dyDescent="0.35">
      <c r="B2220" s="11"/>
      <c r="C2220" s="9"/>
      <c r="D2220" s="9"/>
      <c r="E2220" s="9"/>
      <c r="F2220" s="9"/>
      <c r="G2220" s="9"/>
      <c r="H2220" s="9"/>
      <c r="I2220" s="9"/>
      <c r="J2220" s="9"/>
      <c r="K2220" s="16"/>
      <c r="L2220" s="9"/>
      <c r="M2220" s="9"/>
      <c r="N2220" s="11"/>
      <c r="Q2220" s="12"/>
    </row>
    <row r="2221" spans="1:20" x14ac:dyDescent="0.35">
      <c r="A2221" s="1">
        <v>294500</v>
      </c>
      <c r="B2221" s="7">
        <v>1183989.2</v>
      </c>
      <c r="C2221" s="2">
        <v>268.423</v>
      </c>
      <c r="D2221" s="9">
        <v>269.36099999999999</v>
      </c>
      <c r="E2221" s="9">
        <v>0.93799999999999994</v>
      </c>
      <c r="F2221" s="2">
        <v>267.75099999999998</v>
      </c>
      <c r="G2221" s="2">
        <v>268.64800000000002</v>
      </c>
      <c r="H2221" s="2">
        <v>0.89700000000000002</v>
      </c>
      <c r="I2221" s="2">
        <v>265.31299999999999</v>
      </c>
      <c r="J2221" s="2">
        <v>265.06799999999998</v>
      </c>
      <c r="K2221" s="15">
        <v>3.58</v>
      </c>
      <c r="L2221" s="2">
        <v>13.021000000000001</v>
      </c>
      <c r="N2221" s="7">
        <v>0</v>
      </c>
      <c r="O2221" s="1">
        <f t="shared" ref="O2221:O2267" si="275">19+16+16+16+16+16+16+16</f>
        <v>131</v>
      </c>
      <c r="P2221" s="1" t="str">
        <f t="shared" si="273"/>
        <v>0,131</v>
      </c>
      <c r="Q2221" s="6" t="s">
        <v>10</v>
      </c>
      <c r="R2221" s="1">
        <v>90</v>
      </c>
      <c r="S2221" s="1">
        <v>2.5</v>
      </c>
      <c r="T2221" s="1" t="str">
        <f t="shared" ref="T2221:T2267" si="276">$Q2221&amp;" "&amp;$P2221&amp;" "&amp;$S2221&amp;" "&amp;$R2221&amp;" "&amp;$J2221</f>
        <v>-text 0,131 2.5 90 265.068</v>
      </c>
    </row>
    <row r="2222" spans="1:20" x14ac:dyDescent="0.35">
      <c r="A2222" s="1">
        <v>294520</v>
      </c>
      <c r="B2222" s="7">
        <v>1184009.2</v>
      </c>
      <c r="C2222" s="2">
        <v>268.37900000000002</v>
      </c>
      <c r="D2222" s="9">
        <v>269.36099999999999</v>
      </c>
      <c r="E2222" s="9">
        <v>0.98199999999999998</v>
      </c>
      <c r="F2222" s="2">
        <v>267.70699999999999</v>
      </c>
      <c r="G2222" s="2">
        <v>268.64800000000002</v>
      </c>
      <c r="H2222" s="2">
        <v>0.94099999999999995</v>
      </c>
      <c r="I2222" s="2">
        <v>265.589</v>
      </c>
      <c r="J2222" s="2">
        <v>265.29399999999998</v>
      </c>
      <c r="K2222" s="15">
        <v>3.3540000000000001</v>
      </c>
      <c r="L2222" s="2">
        <v>13.026</v>
      </c>
      <c r="N2222" s="7">
        <f t="shared" ref="N2222:N2245" si="277">N2221+(B2222-B2221)</f>
        <v>20</v>
      </c>
      <c r="O2222" s="1">
        <f t="shared" si="275"/>
        <v>131</v>
      </c>
      <c r="P2222" s="1" t="str">
        <f t="shared" si="273"/>
        <v>20,131</v>
      </c>
      <c r="Q2222" s="6" t="s">
        <v>10</v>
      </c>
      <c r="R2222" s="1">
        <v>90</v>
      </c>
      <c r="S2222" s="1">
        <v>2.5</v>
      </c>
      <c r="T2222" s="1" t="str">
        <f t="shared" si="276"/>
        <v>-text 20,131 2.5 90 265.294</v>
      </c>
    </row>
    <row r="2223" spans="1:20" x14ac:dyDescent="0.35">
      <c r="A2223" s="1">
        <v>294540</v>
      </c>
      <c r="B2223" s="7">
        <v>1184029.2</v>
      </c>
      <c r="C2223" s="2">
        <v>268.34300000000002</v>
      </c>
      <c r="D2223" s="9">
        <v>269.36099999999999</v>
      </c>
      <c r="E2223" s="9">
        <v>1.018</v>
      </c>
      <c r="F2223" s="2">
        <v>267.67099999999999</v>
      </c>
      <c r="G2223" s="2">
        <v>268.64800000000002</v>
      </c>
      <c r="H2223" s="2">
        <v>0.97699999999999998</v>
      </c>
      <c r="I2223" s="2">
        <v>267.202</v>
      </c>
      <c r="J2223" s="2">
        <v>265.84300000000002</v>
      </c>
      <c r="K2223" s="15">
        <v>2.8050000000000002</v>
      </c>
      <c r="L2223" s="2">
        <v>13.032999999999999</v>
      </c>
      <c r="N2223" s="7">
        <f t="shared" si="277"/>
        <v>40</v>
      </c>
      <c r="O2223" s="1">
        <f t="shared" si="275"/>
        <v>131</v>
      </c>
      <c r="P2223" s="1" t="str">
        <f t="shared" si="273"/>
        <v>40,131</v>
      </c>
      <c r="Q2223" s="6" t="s">
        <v>10</v>
      </c>
      <c r="R2223" s="1">
        <v>90</v>
      </c>
      <c r="S2223" s="1">
        <v>2.5</v>
      </c>
      <c r="T2223" s="1" t="str">
        <f t="shared" si="276"/>
        <v>-text 40,131 2.5 90 265.843</v>
      </c>
    </row>
    <row r="2224" spans="1:20" x14ac:dyDescent="0.35">
      <c r="A2224" s="1">
        <v>294560</v>
      </c>
      <c r="B2224" s="7">
        <v>1184049.2</v>
      </c>
      <c r="C2224" s="2">
        <v>268.34899999999999</v>
      </c>
      <c r="D2224" s="9">
        <v>269.36099999999999</v>
      </c>
      <c r="E2224" s="9">
        <v>1.012</v>
      </c>
      <c r="F2224" s="2">
        <v>267.67700000000002</v>
      </c>
      <c r="G2224" s="2">
        <v>268.64800000000002</v>
      </c>
      <c r="H2224" s="2">
        <v>0.97099999999999997</v>
      </c>
      <c r="I2224" s="2">
        <v>267.28199999999998</v>
      </c>
      <c r="J2224" s="2">
        <v>265.91500000000002</v>
      </c>
      <c r="K2224" s="15">
        <v>2.7330000000000001</v>
      </c>
      <c r="L2224" s="2">
        <v>13.051</v>
      </c>
      <c r="N2224" s="7">
        <f t="shared" si="277"/>
        <v>60</v>
      </c>
      <c r="O2224" s="1">
        <f t="shared" si="275"/>
        <v>131</v>
      </c>
      <c r="P2224" s="1" t="str">
        <f t="shared" si="273"/>
        <v>60,131</v>
      </c>
      <c r="Q2224" s="6" t="s">
        <v>10</v>
      </c>
      <c r="R2224" s="1">
        <v>90</v>
      </c>
      <c r="S2224" s="1">
        <v>2.5</v>
      </c>
      <c r="T2224" s="1" t="str">
        <f t="shared" si="276"/>
        <v>-text 60,131 2.5 90 265.915</v>
      </c>
    </row>
    <row r="2225" spans="1:20" x14ac:dyDescent="0.35">
      <c r="A2225" s="1">
        <v>294580</v>
      </c>
      <c r="B2225" s="7">
        <v>1184069.2</v>
      </c>
      <c r="C2225" s="2">
        <v>268.35300000000001</v>
      </c>
      <c r="D2225" s="9">
        <v>269.36099999999999</v>
      </c>
      <c r="E2225" s="9">
        <v>1.008</v>
      </c>
      <c r="F2225" s="2">
        <v>267.68099999999998</v>
      </c>
      <c r="G2225" s="2">
        <v>268.64800000000002</v>
      </c>
      <c r="H2225" s="2">
        <v>0.96699999999999997</v>
      </c>
      <c r="I2225" s="2">
        <v>267.14</v>
      </c>
      <c r="J2225" s="2">
        <v>265.64499999999998</v>
      </c>
      <c r="K2225" s="15">
        <v>3.0030000000000001</v>
      </c>
      <c r="L2225" s="2">
        <v>13.06</v>
      </c>
      <c r="N2225" s="7">
        <f t="shared" si="277"/>
        <v>80</v>
      </c>
      <c r="O2225" s="1">
        <f t="shared" si="275"/>
        <v>131</v>
      </c>
      <c r="P2225" s="1" t="str">
        <f t="shared" si="273"/>
        <v>80,131</v>
      </c>
      <c r="Q2225" s="6" t="s">
        <v>10</v>
      </c>
      <c r="R2225" s="1">
        <v>90</v>
      </c>
      <c r="S2225" s="1">
        <v>2.5</v>
      </c>
      <c r="T2225" s="1" t="str">
        <f t="shared" si="276"/>
        <v>-text 80,131 2.5 90 265.645</v>
      </c>
    </row>
    <row r="2226" spans="1:20" x14ac:dyDescent="0.35">
      <c r="A2226" s="1">
        <v>294600</v>
      </c>
      <c r="B2226" s="7">
        <v>1184089.2</v>
      </c>
      <c r="C2226" s="2">
        <v>268.34699999999998</v>
      </c>
      <c r="D2226" s="9">
        <v>269.36099999999999</v>
      </c>
      <c r="E2226" s="9">
        <v>1.014</v>
      </c>
      <c r="F2226" s="2">
        <v>267.67500000000001</v>
      </c>
      <c r="G2226" s="2">
        <v>268.64800000000002</v>
      </c>
      <c r="H2226" s="2">
        <v>0.97299999999999998</v>
      </c>
      <c r="I2226" s="2">
        <v>267.16699999999997</v>
      </c>
      <c r="J2226" s="2">
        <v>265.69099999999997</v>
      </c>
      <c r="K2226" s="15">
        <v>2.9569999999999999</v>
      </c>
      <c r="L2226" s="2">
        <v>13.039</v>
      </c>
      <c r="N2226" s="7">
        <f t="shared" si="277"/>
        <v>100</v>
      </c>
      <c r="O2226" s="1">
        <f t="shared" si="275"/>
        <v>131</v>
      </c>
      <c r="P2226" s="1" t="str">
        <f t="shared" si="273"/>
        <v>100,131</v>
      </c>
      <c r="Q2226" s="6" t="s">
        <v>10</v>
      </c>
      <c r="R2226" s="1">
        <v>90</v>
      </c>
      <c r="S2226" s="1">
        <v>2.5</v>
      </c>
      <c r="T2226" s="1" t="str">
        <f t="shared" si="276"/>
        <v>-text 100,131 2.5 90 265.691</v>
      </c>
    </row>
    <row r="2227" spans="1:20" x14ac:dyDescent="0.35">
      <c r="A2227" s="1">
        <v>294620</v>
      </c>
      <c r="B2227" s="7">
        <v>1184109.2</v>
      </c>
      <c r="C2227" s="2">
        <v>268.34199999999998</v>
      </c>
      <c r="D2227" s="9">
        <v>269.36099999999999</v>
      </c>
      <c r="E2227" s="9">
        <v>1.0189999999999999</v>
      </c>
      <c r="F2227" s="2">
        <v>267.67</v>
      </c>
      <c r="G2227" s="2">
        <v>268.64800000000002</v>
      </c>
      <c r="H2227" s="2">
        <v>0.97799999999999998</v>
      </c>
      <c r="I2227" s="2">
        <v>267.16300000000001</v>
      </c>
      <c r="J2227" s="2">
        <v>265.56900000000002</v>
      </c>
      <c r="K2227" s="15">
        <v>3.0790000000000002</v>
      </c>
      <c r="L2227" s="2">
        <v>13.022</v>
      </c>
      <c r="N2227" s="7">
        <f t="shared" si="277"/>
        <v>120</v>
      </c>
      <c r="O2227" s="1">
        <f t="shared" si="275"/>
        <v>131</v>
      </c>
      <c r="P2227" s="1" t="str">
        <f t="shared" si="273"/>
        <v>120,131</v>
      </c>
      <c r="Q2227" s="6" t="s">
        <v>10</v>
      </c>
      <c r="R2227" s="1">
        <v>90</v>
      </c>
      <c r="S2227" s="1">
        <v>2.5</v>
      </c>
      <c r="T2227" s="1" t="str">
        <f t="shared" si="276"/>
        <v>-text 120,131 2.5 90 265.569</v>
      </c>
    </row>
    <row r="2228" spans="1:20" x14ac:dyDescent="0.35">
      <c r="A2228" s="1">
        <v>294640</v>
      </c>
      <c r="B2228" s="7">
        <v>1184129.2</v>
      </c>
      <c r="C2228" s="2">
        <v>268.339</v>
      </c>
      <c r="D2228" s="9">
        <v>269.36099999999999</v>
      </c>
      <c r="E2228" s="9">
        <v>1.022</v>
      </c>
      <c r="F2228" s="2">
        <v>267.66699999999997</v>
      </c>
      <c r="G2228" s="2">
        <v>268.64800000000002</v>
      </c>
      <c r="H2228" s="2">
        <v>0.98099999999999998</v>
      </c>
      <c r="I2228" s="2">
        <v>267.16899999999998</v>
      </c>
      <c r="J2228" s="2">
        <v>265.47800000000001</v>
      </c>
      <c r="K2228" s="15">
        <v>3.17</v>
      </c>
      <c r="L2228" s="2">
        <v>13.009</v>
      </c>
      <c r="N2228" s="7">
        <f t="shared" si="277"/>
        <v>140</v>
      </c>
      <c r="O2228" s="1">
        <f t="shared" si="275"/>
        <v>131</v>
      </c>
      <c r="P2228" s="1" t="str">
        <f t="shared" si="273"/>
        <v>140,131</v>
      </c>
      <c r="Q2228" s="6" t="s">
        <v>10</v>
      </c>
      <c r="R2228" s="1">
        <v>90</v>
      </c>
      <c r="S2228" s="1">
        <v>2.5</v>
      </c>
      <c r="T2228" s="1" t="str">
        <f t="shared" si="276"/>
        <v>-text 140,131 2.5 90 265.478</v>
      </c>
    </row>
    <row r="2229" spans="1:20" x14ac:dyDescent="0.35">
      <c r="A2229" s="1">
        <v>294660</v>
      </c>
      <c r="B2229" s="7">
        <v>1184149.2</v>
      </c>
      <c r="C2229" s="2">
        <v>268.39600000000002</v>
      </c>
      <c r="D2229" s="9">
        <v>269.36099999999999</v>
      </c>
      <c r="E2229" s="9">
        <v>0.96499999999999997</v>
      </c>
      <c r="F2229" s="2">
        <v>267.72399999999999</v>
      </c>
      <c r="G2229" s="2">
        <v>268.64800000000002</v>
      </c>
      <c r="H2229" s="2">
        <v>0.92400000000000004</v>
      </c>
      <c r="I2229" s="2">
        <v>267.21100000000001</v>
      </c>
      <c r="J2229" s="2">
        <v>265.62099999999998</v>
      </c>
      <c r="K2229" s="15">
        <v>3.0270000000000001</v>
      </c>
      <c r="L2229" s="2">
        <v>13.029</v>
      </c>
      <c r="N2229" s="7">
        <f t="shared" si="277"/>
        <v>160</v>
      </c>
      <c r="O2229" s="1">
        <f t="shared" si="275"/>
        <v>131</v>
      </c>
      <c r="P2229" s="1" t="str">
        <f t="shared" si="273"/>
        <v>160,131</v>
      </c>
      <c r="Q2229" s="6" t="s">
        <v>10</v>
      </c>
      <c r="R2229" s="1">
        <v>90</v>
      </c>
      <c r="S2229" s="1">
        <v>2.5</v>
      </c>
      <c r="T2229" s="1" t="str">
        <f t="shared" si="276"/>
        <v>-text 160,131 2.5 90 265.621</v>
      </c>
    </row>
    <row r="2230" spans="1:20" x14ac:dyDescent="0.35">
      <c r="A2230" s="1">
        <v>294680</v>
      </c>
      <c r="B2230" s="7">
        <v>1184169.2</v>
      </c>
      <c r="C2230" s="2">
        <v>268.505</v>
      </c>
      <c r="D2230" s="9">
        <v>269.36099999999999</v>
      </c>
      <c r="E2230" s="9">
        <v>0.85599999999999998</v>
      </c>
      <c r="F2230" s="2">
        <v>267.83300000000003</v>
      </c>
      <c r="G2230" s="2">
        <v>268.64800000000002</v>
      </c>
      <c r="H2230" s="2">
        <v>0.81499999999999995</v>
      </c>
      <c r="I2230" s="2">
        <v>267.25700000000001</v>
      </c>
      <c r="J2230" s="2">
        <v>265.44299999999998</v>
      </c>
      <c r="K2230" s="15">
        <v>3.2050000000000001</v>
      </c>
      <c r="L2230" s="2">
        <v>13.077</v>
      </c>
      <c r="N2230" s="7">
        <f t="shared" si="277"/>
        <v>180</v>
      </c>
      <c r="O2230" s="1">
        <f t="shared" si="275"/>
        <v>131</v>
      </c>
      <c r="P2230" s="1" t="str">
        <f t="shared" si="273"/>
        <v>180,131</v>
      </c>
      <c r="Q2230" s="6" t="s">
        <v>10</v>
      </c>
      <c r="R2230" s="1">
        <v>90</v>
      </c>
      <c r="S2230" s="1">
        <v>2.5</v>
      </c>
      <c r="T2230" s="1" t="str">
        <f t="shared" si="276"/>
        <v>-text 180,131 2.5 90 265.443</v>
      </c>
    </row>
    <row r="2231" spans="1:20" x14ac:dyDescent="0.35">
      <c r="A2231" s="1">
        <v>294700</v>
      </c>
      <c r="B2231" s="7">
        <v>1184189.2</v>
      </c>
      <c r="C2231" s="2">
        <v>268.52300000000002</v>
      </c>
      <c r="D2231" s="9">
        <v>269.36099999999999</v>
      </c>
      <c r="E2231" s="9">
        <v>0.83799999999999997</v>
      </c>
      <c r="F2231" s="2">
        <v>267.851</v>
      </c>
      <c r="G2231" s="2">
        <v>268.64800000000002</v>
      </c>
      <c r="H2231" s="2">
        <v>0.79700000000000004</v>
      </c>
      <c r="I2231" s="2">
        <v>267.30700000000002</v>
      </c>
      <c r="J2231" s="2">
        <v>265.57799999999997</v>
      </c>
      <c r="K2231" s="15">
        <v>3.07</v>
      </c>
      <c r="L2231" s="2">
        <v>13.074</v>
      </c>
      <c r="N2231" s="7">
        <f t="shared" si="277"/>
        <v>200</v>
      </c>
      <c r="O2231" s="1">
        <f t="shared" si="275"/>
        <v>131</v>
      </c>
      <c r="P2231" s="1" t="str">
        <f t="shared" si="273"/>
        <v>200,131</v>
      </c>
      <c r="Q2231" s="6" t="s">
        <v>10</v>
      </c>
      <c r="R2231" s="1">
        <v>90</v>
      </c>
      <c r="S2231" s="1">
        <v>2.5</v>
      </c>
      <c r="T2231" s="1" t="str">
        <f t="shared" si="276"/>
        <v>-text 200,131 2.5 90 265.578</v>
      </c>
    </row>
    <row r="2232" spans="1:20" x14ac:dyDescent="0.35">
      <c r="A2232" s="1">
        <v>294720</v>
      </c>
      <c r="B2232" s="7">
        <v>1184209.2</v>
      </c>
      <c r="C2232" s="2">
        <v>268.53899999999999</v>
      </c>
      <c r="D2232" s="9">
        <v>269.36099999999999</v>
      </c>
      <c r="E2232" s="9">
        <v>0.82199999999999995</v>
      </c>
      <c r="F2232" s="2">
        <v>267.86700000000002</v>
      </c>
      <c r="G2232" s="2">
        <v>268.64800000000002</v>
      </c>
      <c r="H2232" s="2">
        <v>0.78100000000000003</v>
      </c>
      <c r="I2232" s="2">
        <v>267.41000000000003</v>
      </c>
      <c r="J2232" s="2">
        <v>265.65199999999999</v>
      </c>
      <c r="K2232" s="15">
        <v>2.996</v>
      </c>
      <c r="L2232" s="2">
        <v>13.071999999999999</v>
      </c>
      <c r="N2232" s="7">
        <f t="shared" si="277"/>
        <v>220</v>
      </c>
      <c r="O2232" s="1">
        <f t="shared" si="275"/>
        <v>131</v>
      </c>
      <c r="P2232" s="1" t="str">
        <f t="shared" si="273"/>
        <v>220,131</v>
      </c>
      <c r="Q2232" s="6" t="s">
        <v>10</v>
      </c>
      <c r="R2232" s="1">
        <v>90</v>
      </c>
      <c r="S2232" s="1">
        <v>2.5</v>
      </c>
      <c r="T2232" s="1" t="str">
        <f t="shared" si="276"/>
        <v>-text 220,131 2.5 90 265.652</v>
      </c>
    </row>
    <row r="2233" spans="1:20" x14ac:dyDescent="0.35">
      <c r="A2233" s="1">
        <v>294740</v>
      </c>
      <c r="B2233" s="7">
        <v>1184229.2</v>
      </c>
      <c r="C2233" s="2">
        <v>268.54000000000002</v>
      </c>
      <c r="D2233" s="9">
        <v>269.36099999999999</v>
      </c>
      <c r="E2233" s="9">
        <v>0.82099999999999995</v>
      </c>
      <c r="F2233" s="2">
        <v>267.86799999999999</v>
      </c>
      <c r="G2233" s="2">
        <v>268.64800000000002</v>
      </c>
      <c r="H2233" s="2">
        <v>0.78</v>
      </c>
      <c r="I2233" s="2">
        <v>267.49099999999999</v>
      </c>
      <c r="J2233" s="2">
        <v>265.637</v>
      </c>
      <c r="K2233" s="15">
        <v>3.0110000000000001</v>
      </c>
      <c r="L2233" s="2">
        <v>13.074</v>
      </c>
      <c r="N2233" s="7">
        <f t="shared" si="277"/>
        <v>240</v>
      </c>
      <c r="O2233" s="1">
        <f t="shared" si="275"/>
        <v>131</v>
      </c>
      <c r="P2233" s="1" t="str">
        <f t="shared" si="273"/>
        <v>240,131</v>
      </c>
      <c r="Q2233" s="6" t="s">
        <v>10</v>
      </c>
      <c r="R2233" s="1">
        <v>90</v>
      </c>
      <c r="S2233" s="1">
        <v>2.5</v>
      </c>
      <c r="T2233" s="1" t="str">
        <f t="shared" si="276"/>
        <v>-text 240,131 2.5 90 265.637</v>
      </c>
    </row>
    <row r="2234" spans="1:20" x14ac:dyDescent="0.35">
      <c r="A2234" s="1">
        <v>294760</v>
      </c>
      <c r="B2234" s="7">
        <v>1184249.2</v>
      </c>
      <c r="C2234" s="2">
        <v>268.54199999999997</v>
      </c>
      <c r="D2234" s="9">
        <v>269.36099999999999</v>
      </c>
      <c r="E2234" s="9">
        <v>0.81899999999999995</v>
      </c>
      <c r="F2234" s="2">
        <v>267.87</v>
      </c>
      <c r="G2234" s="2">
        <v>268.64800000000002</v>
      </c>
      <c r="H2234" s="2">
        <v>0.77800000000000002</v>
      </c>
      <c r="I2234" s="2">
        <v>267.52699999999999</v>
      </c>
      <c r="J2234" s="2">
        <v>265.59399999999999</v>
      </c>
      <c r="K2234" s="15">
        <v>3.0539999999999998</v>
      </c>
      <c r="L2234" s="2">
        <v>13.076000000000001</v>
      </c>
      <c r="N2234" s="7">
        <f t="shared" si="277"/>
        <v>260</v>
      </c>
      <c r="O2234" s="1">
        <f t="shared" si="275"/>
        <v>131</v>
      </c>
      <c r="P2234" s="1" t="str">
        <f t="shared" si="273"/>
        <v>260,131</v>
      </c>
      <c r="Q2234" s="6" t="s">
        <v>10</v>
      </c>
      <c r="R2234" s="1">
        <v>90</v>
      </c>
      <c r="S2234" s="1">
        <v>2.5</v>
      </c>
      <c r="T2234" s="1" t="str">
        <f t="shared" si="276"/>
        <v>-text 260,131 2.5 90 265.594</v>
      </c>
    </row>
    <row r="2235" spans="1:20" x14ac:dyDescent="0.35">
      <c r="A2235" s="1">
        <v>294780</v>
      </c>
      <c r="B2235" s="7">
        <v>1184269.2</v>
      </c>
      <c r="C2235" s="2">
        <v>268.53399999999999</v>
      </c>
      <c r="D2235" s="9">
        <v>269.36099999999999</v>
      </c>
      <c r="E2235" s="9">
        <v>0.82699999999999996</v>
      </c>
      <c r="F2235" s="2">
        <v>267.86200000000002</v>
      </c>
      <c r="G2235" s="2">
        <v>268.64800000000002</v>
      </c>
      <c r="H2235" s="2">
        <v>0.78600000000000003</v>
      </c>
      <c r="I2235" s="2">
        <v>267.44099999999997</v>
      </c>
      <c r="J2235" s="2">
        <v>265.58199999999999</v>
      </c>
      <c r="K2235" s="15">
        <v>3.0659999999999998</v>
      </c>
      <c r="L2235" s="2">
        <v>13.074999999999999</v>
      </c>
      <c r="N2235" s="7">
        <f t="shared" si="277"/>
        <v>280</v>
      </c>
      <c r="O2235" s="1">
        <f t="shared" si="275"/>
        <v>131</v>
      </c>
      <c r="P2235" s="1" t="str">
        <f t="shared" si="273"/>
        <v>280,131</v>
      </c>
      <c r="Q2235" s="6" t="s">
        <v>10</v>
      </c>
      <c r="R2235" s="1">
        <v>90</v>
      </c>
      <c r="S2235" s="1">
        <v>2.5</v>
      </c>
      <c r="T2235" s="1" t="str">
        <f t="shared" si="276"/>
        <v>-text 280,131 2.5 90 265.582</v>
      </c>
    </row>
    <row r="2236" spans="1:20" x14ac:dyDescent="0.35">
      <c r="A2236" s="1">
        <v>294800</v>
      </c>
      <c r="B2236" s="7">
        <v>1184289.2</v>
      </c>
      <c r="C2236" s="2">
        <v>268.52600000000001</v>
      </c>
      <c r="D2236" s="9">
        <v>269.36099999999999</v>
      </c>
      <c r="E2236" s="9">
        <v>0.83499999999999996</v>
      </c>
      <c r="F2236" s="2">
        <v>267.85399999999998</v>
      </c>
      <c r="G2236" s="2">
        <v>268.64800000000002</v>
      </c>
      <c r="H2236" s="2">
        <v>0.79400000000000004</v>
      </c>
      <c r="I2236" s="2">
        <v>267.34199999999998</v>
      </c>
      <c r="J2236" s="2">
        <v>265.64699999999999</v>
      </c>
      <c r="K2236" s="15">
        <v>3.0009999999999999</v>
      </c>
      <c r="L2236" s="2">
        <v>13.074999999999999</v>
      </c>
      <c r="N2236" s="7">
        <f t="shared" si="277"/>
        <v>300</v>
      </c>
      <c r="O2236" s="1">
        <f t="shared" si="275"/>
        <v>131</v>
      </c>
      <c r="P2236" s="1" t="str">
        <f t="shared" si="273"/>
        <v>300,131</v>
      </c>
      <c r="Q2236" s="6" t="s">
        <v>10</v>
      </c>
      <c r="R2236" s="1">
        <v>90</v>
      </c>
      <c r="S2236" s="1">
        <v>2.5</v>
      </c>
      <c r="T2236" s="1" t="str">
        <f t="shared" si="276"/>
        <v>-text 300,131 2.5 90 265.647</v>
      </c>
    </row>
    <row r="2237" spans="1:20" x14ac:dyDescent="0.35">
      <c r="A2237" s="1">
        <v>294820</v>
      </c>
      <c r="B2237" s="7">
        <v>1184309.2</v>
      </c>
      <c r="C2237" s="2">
        <v>268.52499999999998</v>
      </c>
      <c r="D2237" s="9">
        <v>269.36099999999999</v>
      </c>
      <c r="E2237" s="9">
        <v>0.83599999999999997</v>
      </c>
      <c r="F2237" s="2">
        <v>267.85300000000001</v>
      </c>
      <c r="G2237" s="2">
        <v>268.64800000000002</v>
      </c>
      <c r="H2237" s="2">
        <v>0.79500000000000004</v>
      </c>
      <c r="I2237" s="2">
        <v>267.33699999999999</v>
      </c>
      <c r="J2237" s="2">
        <v>265.56799999999998</v>
      </c>
      <c r="K2237" s="15">
        <v>3.08</v>
      </c>
      <c r="L2237" s="2">
        <v>13.089</v>
      </c>
      <c r="N2237" s="7">
        <f t="shared" si="277"/>
        <v>320</v>
      </c>
      <c r="O2237" s="1">
        <f t="shared" si="275"/>
        <v>131</v>
      </c>
      <c r="P2237" s="1" t="str">
        <f t="shared" si="273"/>
        <v>320,131</v>
      </c>
      <c r="Q2237" s="6" t="s">
        <v>10</v>
      </c>
      <c r="R2237" s="1">
        <v>90</v>
      </c>
      <c r="S2237" s="1">
        <v>2.5</v>
      </c>
      <c r="T2237" s="1" t="str">
        <f t="shared" si="276"/>
        <v>-text 320,131 2.5 90 265.568</v>
      </c>
    </row>
    <row r="2238" spans="1:20" x14ac:dyDescent="0.35">
      <c r="A2238" s="1">
        <v>294840</v>
      </c>
      <c r="B2238" s="7">
        <v>1184329.2</v>
      </c>
      <c r="C2238" s="2">
        <v>268.524</v>
      </c>
      <c r="D2238" s="9">
        <v>269.36099999999999</v>
      </c>
      <c r="E2238" s="9">
        <v>0.83699999999999997</v>
      </c>
      <c r="F2238" s="2">
        <v>267.85199999999998</v>
      </c>
      <c r="G2238" s="2">
        <v>268.64800000000002</v>
      </c>
      <c r="H2238" s="2">
        <v>0.79600000000000004</v>
      </c>
      <c r="I2238" s="2">
        <v>267.35599999999999</v>
      </c>
      <c r="J2238" s="2">
        <v>265.52</v>
      </c>
      <c r="K2238" s="15">
        <v>3.1280000000000001</v>
      </c>
      <c r="L2238" s="2">
        <v>13.105</v>
      </c>
      <c r="N2238" s="7">
        <f t="shared" si="277"/>
        <v>340</v>
      </c>
      <c r="O2238" s="1">
        <f t="shared" si="275"/>
        <v>131</v>
      </c>
      <c r="P2238" s="1" t="str">
        <f t="shared" si="273"/>
        <v>340,131</v>
      </c>
      <c r="Q2238" s="6" t="s">
        <v>10</v>
      </c>
      <c r="R2238" s="1">
        <v>90</v>
      </c>
      <c r="S2238" s="1">
        <v>2.5</v>
      </c>
      <c r="T2238" s="1" t="str">
        <f t="shared" si="276"/>
        <v>-text 340,131 2.5 90 265.52</v>
      </c>
    </row>
    <row r="2239" spans="1:20" x14ac:dyDescent="0.35">
      <c r="A2239" s="1">
        <v>294860</v>
      </c>
      <c r="B2239" s="7">
        <v>1184349.2</v>
      </c>
      <c r="C2239" s="2">
        <v>268.524</v>
      </c>
      <c r="D2239" s="9">
        <v>269.36099999999999</v>
      </c>
      <c r="E2239" s="9">
        <v>0.83699999999999997</v>
      </c>
      <c r="F2239" s="2">
        <v>267.85199999999998</v>
      </c>
      <c r="G2239" s="2">
        <v>268.64800000000002</v>
      </c>
      <c r="H2239" s="2">
        <v>0.79600000000000004</v>
      </c>
      <c r="I2239" s="2">
        <v>267.34399999999999</v>
      </c>
      <c r="J2239" s="2">
        <v>265.48099999999999</v>
      </c>
      <c r="K2239" s="15">
        <v>3.1669999999999998</v>
      </c>
      <c r="L2239" s="2">
        <v>13.137</v>
      </c>
      <c r="N2239" s="7">
        <f t="shared" si="277"/>
        <v>360</v>
      </c>
      <c r="O2239" s="1">
        <f t="shared" si="275"/>
        <v>131</v>
      </c>
      <c r="P2239" s="1" t="str">
        <f t="shared" si="273"/>
        <v>360,131</v>
      </c>
      <c r="Q2239" s="6" t="s">
        <v>10</v>
      </c>
      <c r="R2239" s="1">
        <v>90</v>
      </c>
      <c r="S2239" s="1">
        <v>2.5</v>
      </c>
      <c r="T2239" s="1" t="str">
        <f t="shared" si="276"/>
        <v>-text 360,131 2.5 90 265.481</v>
      </c>
    </row>
    <row r="2240" spans="1:20" x14ac:dyDescent="0.35">
      <c r="A2240" s="1">
        <v>294880</v>
      </c>
      <c r="B2240" s="7">
        <v>1184369.2</v>
      </c>
      <c r="C2240" s="2">
        <v>268.524</v>
      </c>
      <c r="D2240" s="9">
        <v>269.36099999999999</v>
      </c>
      <c r="E2240" s="9">
        <v>0.83699999999999997</v>
      </c>
      <c r="F2240" s="2">
        <v>267.85199999999998</v>
      </c>
      <c r="G2240" s="2">
        <v>268.64800000000002</v>
      </c>
      <c r="H2240" s="2">
        <v>0.79600000000000004</v>
      </c>
      <c r="I2240" s="2">
        <v>267.31700000000001</v>
      </c>
      <c r="J2240" s="2">
        <v>265.62299999999999</v>
      </c>
      <c r="K2240" s="15">
        <v>3.0249999999999999</v>
      </c>
      <c r="L2240" s="2">
        <v>13.173999999999999</v>
      </c>
      <c r="N2240" s="7">
        <f t="shared" si="277"/>
        <v>380</v>
      </c>
      <c r="O2240" s="1">
        <f t="shared" si="275"/>
        <v>131</v>
      </c>
      <c r="P2240" s="1" t="str">
        <f t="shared" si="273"/>
        <v>380,131</v>
      </c>
      <c r="Q2240" s="6" t="s">
        <v>10</v>
      </c>
      <c r="R2240" s="1">
        <v>90</v>
      </c>
      <c r="S2240" s="1">
        <v>2.5</v>
      </c>
      <c r="T2240" s="1" t="str">
        <f t="shared" si="276"/>
        <v>-text 380,131 2.5 90 265.623</v>
      </c>
    </row>
    <row r="2241" spans="1:20" x14ac:dyDescent="0.35">
      <c r="A2241" s="1">
        <v>294900</v>
      </c>
      <c r="B2241" s="7">
        <v>1184389.2</v>
      </c>
      <c r="C2241" s="2">
        <v>268.52800000000002</v>
      </c>
      <c r="D2241" s="9">
        <v>269.36099999999999</v>
      </c>
      <c r="E2241" s="9">
        <v>0.83299999999999996</v>
      </c>
      <c r="F2241" s="2">
        <v>267.85599999999999</v>
      </c>
      <c r="G2241" s="2">
        <v>268.64800000000002</v>
      </c>
      <c r="H2241" s="2">
        <v>0.79200000000000004</v>
      </c>
      <c r="I2241" s="2">
        <v>267.32499999999999</v>
      </c>
      <c r="J2241" s="2">
        <v>265.74700000000001</v>
      </c>
      <c r="K2241" s="15">
        <v>2.9009999999999998</v>
      </c>
      <c r="L2241" s="2">
        <v>13.17</v>
      </c>
      <c r="N2241" s="7">
        <f t="shared" si="277"/>
        <v>400</v>
      </c>
      <c r="O2241" s="1">
        <f t="shared" si="275"/>
        <v>131</v>
      </c>
      <c r="P2241" s="1" t="str">
        <f t="shared" si="273"/>
        <v>400,131</v>
      </c>
      <c r="Q2241" s="6" t="s">
        <v>10</v>
      </c>
      <c r="R2241" s="1">
        <v>90</v>
      </c>
      <c r="S2241" s="1">
        <v>2.5</v>
      </c>
      <c r="T2241" s="1" t="str">
        <f t="shared" si="276"/>
        <v>-text 400,131 2.5 90 265.747</v>
      </c>
    </row>
    <row r="2242" spans="1:20" x14ac:dyDescent="0.35">
      <c r="A2242" s="1">
        <v>294920</v>
      </c>
      <c r="B2242" s="7">
        <v>1184409.2</v>
      </c>
      <c r="C2242" s="2">
        <v>268.53399999999999</v>
      </c>
      <c r="D2242" s="9">
        <v>269.36099999999999</v>
      </c>
      <c r="E2242" s="9">
        <v>0.82699999999999996</v>
      </c>
      <c r="F2242" s="2">
        <v>267.86200000000002</v>
      </c>
      <c r="G2242" s="2">
        <v>268.64800000000002</v>
      </c>
      <c r="H2242" s="2">
        <v>0.78600000000000003</v>
      </c>
      <c r="I2242" s="2">
        <v>267.31200000000001</v>
      </c>
      <c r="J2242" s="2">
        <v>265.63299999999998</v>
      </c>
      <c r="K2242" s="15">
        <v>3.0150000000000001</v>
      </c>
      <c r="L2242" s="2">
        <v>13.148</v>
      </c>
      <c r="N2242" s="7">
        <f t="shared" si="277"/>
        <v>420</v>
      </c>
      <c r="O2242" s="1">
        <f t="shared" si="275"/>
        <v>131</v>
      </c>
      <c r="P2242" s="1" t="str">
        <f t="shared" si="273"/>
        <v>420,131</v>
      </c>
      <c r="Q2242" s="6" t="s">
        <v>10</v>
      </c>
      <c r="R2242" s="1">
        <v>90</v>
      </c>
      <c r="S2242" s="1">
        <v>2.5</v>
      </c>
      <c r="T2242" s="1" t="str">
        <f t="shared" si="276"/>
        <v>-text 420,131 2.5 90 265.633</v>
      </c>
    </row>
    <row r="2243" spans="1:20" x14ac:dyDescent="0.35">
      <c r="A2243" s="1">
        <v>294940</v>
      </c>
      <c r="B2243" s="7">
        <v>1184429.2</v>
      </c>
      <c r="C2243" s="2">
        <v>268.53199999999998</v>
      </c>
      <c r="D2243" s="9">
        <v>269.36099999999999</v>
      </c>
      <c r="E2243" s="9">
        <v>0.82899999999999996</v>
      </c>
      <c r="F2243" s="2">
        <v>267.86</v>
      </c>
      <c r="G2243" s="2">
        <v>268.64800000000002</v>
      </c>
      <c r="H2243" s="2">
        <v>0.78800000000000003</v>
      </c>
      <c r="I2243" s="2">
        <v>267.262</v>
      </c>
      <c r="J2243" s="2">
        <v>265.51600000000002</v>
      </c>
      <c r="K2243" s="15">
        <v>3.1320000000000001</v>
      </c>
      <c r="L2243" s="2">
        <v>13.132</v>
      </c>
      <c r="N2243" s="7">
        <f t="shared" si="277"/>
        <v>440</v>
      </c>
      <c r="O2243" s="1">
        <f t="shared" si="275"/>
        <v>131</v>
      </c>
      <c r="P2243" s="1" t="str">
        <f t="shared" si="273"/>
        <v>440,131</v>
      </c>
      <c r="Q2243" s="6" t="s">
        <v>10</v>
      </c>
      <c r="R2243" s="1">
        <v>90</v>
      </c>
      <c r="S2243" s="1">
        <v>2.5</v>
      </c>
      <c r="T2243" s="1" t="str">
        <f t="shared" si="276"/>
        <v>-text 440,131 2.5 90 265.516</v>
      </c>
    </row>
    <row r="2244" spans="1:20" x14ac:dyDescent="0.35">
      <c r="A2244" s="1">
        <v>294960</v>
      </c>
      <c r="B2244" s="7">
        <v>1184449.2</v>
      </c>
      <c r="C2244" s="2">
        <v>268.52499999999998</v>
      </c>
      <c r="D2244" s="9">
        <v>269.36099999999999</v>
      </c>
      <c r="E2244" s="9">
        <v>0.83599999999999997</v>
      </c>
      <c r="F2244" s="2">
        <v>267.85300000000001</v>
      </c>
      <c r="G2244" s="2">
        <v>268.64800000000002</v>
      </c>
      <c r="H2244" s="2">
        <v>0.79500000000000004</v>
      </c>
      <c r="I2244" s="2">
        <v>267.20299999999997</v>
      </c>
      <c r="J2244" s="2">
        <v>265.57499999999999</v>
      </c>
      <c r="K2244" s="15">
        <v>3.073</v>
      </c>
      <c r="L2244" s="2">
        <v>13.119</v>
      </c>
      <c r="N2244" s="7">
        <f t="shared" si="277"/>
        <v>460</v>
      </c>
      <c r="O2244" s="1">
        <f t="shared" si="275"/>
        <v>131</v>
      </c>
      <c r="P2244" s="1" t="str">
        <f t="shared" si="273"/>
        <v>460,131</v>
      </c>
      <c r="Q2244" s="6" t="s">
        <v>10</v>
      </c>
      <c r="R2244" s="1">
        <v>90</v>
      </c>
      <c r="S2244" s="1">
        <v>2.5</v>
      </c>
      <c r="T2244" s="1" t="str">
        <f t="shared" si="276"/>
        <v>-text 460,131 2.5 90 265.575</v>
      </c>
    </row>
    <row r="2245" spans="1:20" x14ac:dyDescent="0.35">
      <c r="A2245" s="1">
        <v>294980</v>
      </c>
      <c r="B2245" s="7">
        <v>1184469.2</v>
      </c>
      <c r="C2245" s="2">
        <v>268.51900000000001</v>
      </c>
      <c r="D2245" s="9">
        <v>269.36099999999999</v>
      </c>
      <c r="E2245" s="9">
        <v>0.84199999999999997</v>
      </c>
      <c r="F2245" s="2">
        <v>267.84699999999998</v>
      </c>
      <c r="G2245" s="2">
        <v>268.64800000000002</v>
      </c>
      <c r="H2245" s="2">
        <v>0.80100000000000005</v>
      </c>
      <c r="I2245" s="2">
        <v>267.14800000000002</v>
      </c>
      <c r="J2245" s="2">
        <v>265.62900000000002</v>
      </c>
      <c r="K2245" s="15">
        <v>3.0190000000000001</v>
      </c>
      <c r="L2245" s="2">
        <v>13.108000000000001</v>
      </c>
      <c r="N2245" s="7">
        <f t="shared" si="277"/>
        <v>480</v>
      </c>
      <c r="O2245" s="1">
        <f t="shared" si="275"/>
        <v>131</v>
      </c>
      <c r="P2245" s="1" t="str">
        <f t="shared" si="273"/>
        <v>480,131</v>
      </c>
      <c r="Q2245" s="6" t="s">
        <v>10</v>
      </c>
      <c r="R2245" s="1">
        <v>90</v>
      </c>
      <c r="S2245" s="1">
        <v>2.5</v>
      </c>
      <c r="T2245" s="1" t="str">
        <f t="shared" si="276"/>
        <v>-text 480,131 2.5 90 265.629</v>
      </c>
    </row>
    <row r="2246" spans="1:20" x14ac:dyDescent="0.35">
      <c r="A2246" s="1">
        <v>295000</v>
      </c>
      <c r="B2246" s="7">
        <v>1184489.2</v>
      </c>
      <c r="C2246" s="2">
        <v>268.51900000000001</v>
      </c>
      <c r="D2246" s="9">
        <v>269.36099999999999</v>
      </c>
      <c r="E2246" s="9">
        <v>0.84199999999999997</v>
      </c>
      <c r="F2246" s="2">
        <v>267.84699999999998</v>
      </c>
      <c r="G2246" s="2">
        <v>268.64800000000002</v>
      </c>
      <c r="H2246" s="2">
        <v>0.80100000000000005</v>
      </c>
      <c r="I2246" s="2">
        <v>267.13200000000001</v>
      </c>
      <c r="J2246" s="2">
        <v>265.62400000000002</v>
      </c>
      <c r="K2246" s="15">
        <v>3.024</v>
      </c>
      <c r="L2246" s="2">
        <v>13.124000000000001</v>
      </c>
      <c r="N2246" s="7">
        <f>N2243+(B2246-B2243)</f>
        <v>500</v>
      </c>
      <c r="O2246" s="1">
        <f t="shared" si="275"/>
        <v>131</v>
      </c>
      <c r="P2246" s="1" t="str">
        <f t="shared" ref="P2246" si="278">CONCATENATE(N2246,",",O2246)</f>
        <v>500,131</v>
      </c>
      <c r="Q2246" s="6" t="s">
        <v>10</v>
      </c>
      <c r="R2246" s="1">
        <v>90</v>
      </c>
      <c r="S2246" s="1">
        <v>2.5</v>
      </c>
      <c r="T2246" s="1" t="str">
        <f t="shared" si="276"/>
        <v>-text 500,131 2.5 90 265.624</v>
      </c>
    </row>
    <row r="2247" spans="1:20" s="10" customFormat="1" x14ac:dyDescent="0.35">
      <c r="B2247" s="11"/>
      <c r="C2247" s="9"/>
      <c r="D2247" s="9"/>
      <c r="E2247" s="9"/>
      <c r="F2247" s="9"/>
      <c r="G2247" s="9"/>
      <c r="H2247" s="9"/>
      <c r="I2247" s="9"/>
      <c r="J2247" s="9"/>
      <c r="K2247" s="16"/>
      <c r="L2247" s="9"/>
      <c r="M2247" s="9"/>
      <c r="N2247" s="11"/>
      <c r="Q2247" s="12"/>
    </row>
    <row r="2248" spans="1:20" x14ac:dyDescent="0.35">
      <c r="A2248" s="1">
        <v>295000</v>
      </c>
      <c r="B2248" s="7">
        <v>1184489.2</v>
      </c>
      <c r="C2248" s="2">
        <v>268.51900000000001</v>
      </c>
      <c r="D2248" s="9">
        <v>269.36099999999999</v>
      </c>
      <c r="E2248" s="9">
        <v>0.84199999999999997</v>
      </c>
      <c r="F2248" s="2">
        <v>267.84699999999998</v>
      </c>
      <c r="G2248" s="2">
        <v>268.64800000000002</v>
      </c>
      <c r="H2248" s="2">
        <v>0.80100000000000005</v>
      </c>
      <c r="I2248" s="2">
        <v>267.13200000000001</v>
      </c>
      <c r="J2248" s="2">
        <v>265.62400000000002</v>
      </c>
      <c r="K2248" s="15">
        <v>3.024</v>
      </c>
      <c r="L2248" s="2">
        <v>13.124000000000001</v>
      </c>
      <c r="N2248" s="7">
        <v>0</v>
      </c>
      <c r="O2248" s="1">
        <f t="shared" si="275"/>
        <v>131</v>
      </c>
      <c r="P2248" s="1" t="str">
        <f t="shared" si="273"/>
        <v>0,131</v>
      </c>
      <c r="Q2248" s="6" t="s">
        <v>10</v>
      </c>
      <c r="R2248" s="1">
        <v>90</v>
      </c>
      <c r="S2248" s="1">
        <v>2.5</v>
      </c>
      <c r="T2248" s="1" t="str">
        <f t="shared" si="276"/>
        <v>-text 0,131 2.5 90 265.624</v>
      </c>
    </row>
    <row r="2249" spans="1:20" x14ac:dyDescent="0.35">
      <c r="A2249" s="1">
        <v>295020</v>
      </c>
      <c r="B2249" s="7">
        <v>1184509.2</v>
      </c>
      <c r="C2249" s="2">
        <v>268.52100000000002</v>
      </c>
      <c r="D2249" s="9">
        <v>269.36099999999999</v>
      </c>
      <c r="E2249" s="9">
        <v>0.84</v>
      </c>
      <c r="F2249" s="2">
        <v>267.84899999999999</v>
      </c>
      <c r="G2249" s="2">
        <v>268.64800000000002</v>
      </c>
      <c r="H2249" s="2">
        <v>0.79900000000000004</v>
      </c>
      <c r="I2249" s="2">
        <v>267.13400000000001</v>
      </c>
      <c r="J2249" s="2">
        <v>265.59399999999999</v>
      </c>
      <c r="K2249" s="15">
        <v>3.0539999999999998</v>
      </c>
      <c r="L2249" s="2">
        <v>13.14</v>
      </c>
      <c r="N2249" s="7">
        <f t="shared" ref="N2249:N2272" si="279">N2248+(B2249-B2248)</f>
        <v>20</v>
      </c>
      <c r="O2249" s="1">
        <f t="shared" si="275"/>
        <v>131</v>
      </c>
      <c r="P2249" s="1" t="str">
        <f t="shared" si="273"/>
        <v>20,131</v>
      </c>
      <c r="Q2249" s="6" t="s">
        <v>10</v>
      </c>
      <c r="R2249" s="1">
        <v>90</v>
      </c>
      <c r="S2249" s="1">
        <v>2.5</v>
      </c>
      <c r="T2249" s="1" t="str">
        <f t="shared" si="276"/>
        <v>-text 20,131 2.5 90 265.594</v>
      </c>
    </row>
    <row r="2250" spans="1:20" x14ac:dyDescent="0.35">
      <c r="A2250" s="1">
        <v>295040</v>
      </c>
      <c r="B2250" s="7">
        <v>1184529.2</v>
      </c>
      <c r="C2250" s="2">
        <v>268.54599999999999</v>
      </c>
      <c r="D2250" s="9">
        <v>269.36099999999999</v>
      </c>
      <c r="E2250" s="9">
        <v>0.81499999999999995</v>
      </c>
      <c r="F2250" s="2">
        <v>267.87400000000002</v>
      </c>
      <c r="G2250" s="2">
        <v>268.64800000000002</v>
      </c>
      <c r="H2250" s="2">
        <v>0.77400000000000002</v>
      </c>
      <c r="I2250" s="2">
        <v>267.06200000000001</v>
      </c>
      <c r="J2250" s="2">
        <v>265.59100000000001</v>
      </c>
      <c r="K2250" s="15">
        <v>3.0569999999999999</v>
      </c>
      <c r="L2250" s="2">
        <v>13.147</v>
      </c>
      <c r="N2250" s="7">
        <f t="shared" si="279"/>
        <v>40</v>
      </c>
      <c r="O2250" s="1">
        <f t="shared" si="275"/>
        <v>131</v>
      </c>
      <c r="P2250" s="1" t="str">
        <f t="shared" si="273"/>
        <v>40,131</v>
      </c>
      <c r="Q2250" s="6" t="s">
        <v>10</v>
      </c>
      <c r="R2250" s="1">
        <v>90</v>
      </c>
      <c r="S2250" s="1">
        <v>2.5</v>
      </c>
      <c r="T2250" s="1" t="str">
        <f t="shared" si="276"/>
        <v>-text 40,131 2.5 90 265.591</v>
      </c>
    </row>
    <row r="2251" spans="1:20" x14ac:dyDescent="0.35">
      <c r="A2251" s="1">
        <v>295060</v>
      </c>
      <c r="B2251" s="7">
        <v>1184549.2</v>
      </c>
      <c r="C2251" s="2">
        <v>268.57100000000003</v>
      </c>
      <c r="D2251" s="9">
        <v>269.36099999999999</v>
      </c>
      <c r="E2251" s="9">
        <v>0.79</v>
      </c>
      <c r="F2251" s="2">
        <v>267.899</v>
      </c>
      <c r="G2251" s="2">
        <v>268.64800000000002</v>
      </c>
      <c r="H2251" s="2">
        <v>0.749</v>
      </c>
      <c r="I2251" s="2">
        <v>267.005</v>
      </c>
      <c r="J2251" s="2">
        <v>265.596</v>
      </c>
      <c r="K2251" s="15">
        <v>3.052</v>
      </c>
      <c r="L2251" s="2">
        <v>13.154</v>
      </c>
      <c r="N2251" s="7">
        <f t="shared" si="279"/>
        <v>60</v>
      </c>
      <c r="O2251" s="1">
        <f t="shared" si="275"/>
        <v>131</v>
      </c>
      <c r="P2251" s="1" t="str">
        <f t="shared" si="273"/>
        <v>60,131</v>
      </c>
      <c r="Q2251" s="6" t="s">
        <v>10</v>
      </c>
      <c r="R2251" s="1">
        <v>90</v>
      </c>
      <c r="S2251" s="1">
        <v>2.5</v>
      </c>
      <c r="T2251" s="1" t="str">
        <f t="shared" si="276"/>
        <v>-text 60,131 2.5 90 265.596</v>
      </c>
    </row>
    <row r="2252" spans="1:20" x14ac:dyDescent="0.35">
      <c r="A2252" s="1">
        <v>295080</v>
      </c>
      <c r="B2252" s="7">
        <v>1184569.2</v>
      </c>
      <c r="C2252" s="2">
        <v>268.55200000000002</v>
      </c>
      <c r="D2252" s="9">
        <v>269.36099999999999</v>
      </c>
      <c r="E2252" s="9">
        <v>0.80900000000000005</v>
      </c>
      <c r="F2252" s="2">
        <v>267.88</v>
      </c>
      <c r="G2252" s="2">
        <v>268.64800000000002</v>
      </c>
      <c r="H2252" s="2">
        <v>0.76800000000000002</v>
      </c>
      <c r="I2252" s="2">
        <v>267.03699999999998</v>
      </c>
      <c r="J2252" s="2">
        <v>265.59800000000001</v>
      </c>
      <c r="K2252" s="15">
        <v>3.05</v>
      </c>
      <c r="L2252" s="2">
        <v>13.164999999999999</v>
      </c>
      <c r="N2252" s="7">
        <f t="shared" si="279"/>
        <v>80</v>
      </c>
      <c r="O2252" s="1">
        <f t="shared" si="275"/>
        <v>131</v>
      </c>
      <c r="P2252" s="1" t="str">
        <f t="shared" si="273"/>
        <v>80,131</v>
      </c>
      <c r="Q2252" s="6" t="s">
        <v>10</v>
      </c>
      <c r="R2252" s="1">
        <v>90</v>
      </c>
      <c r="S2252" s="1">
        <v>2.5</v>
      </c>
      <c r="T2252" s="1" t="str">
        <f t="shared" si="276"/>
        <v>-text 80,131 2.5 90 265.598</v>
      </c>
    </row>
    <row r="2253" spans="1:20" x14ac:dyDescent="0.35">
      <c r="A2253" s="1">
        <v>295100</v>
      </c>
      <c r="B2253" s="7">
        <v>1184589.2</v>
      </c>
      <c r="C2253" s="2">
        <v>268.529</v>
      </c>
      <c r="D2253" s="9">
        <v>269.36099999999999</v>
      </c>
      <c r="E2253" s="9">
        <v>0.83199999999999996</v>
      </c>
      <c r="F2253" s="2">
        <v>267.85700000000003</v>
      </c>
      <c r="G2253" s="2">
        <v>268.64800000000002</v>
      </c>
      <c r="H2253" s="2">
        <v>0.79100000000000004</v>
      </c>
      <c r="I2253" s="2">
        <v>267.077</v>
      </c>
      <c r="J2253" s="2">
        <v>265.64299999999997</v>
      </c>
      <c r="K2253" s="15">
        <v>3.0049999999999999</v>
      </c>
      <c r="L2253" s="2">
        <v>13.177</v>
      </c>
      <c r="N2253" s="7">
        <f t="shared" si="279"/>
        <v>100</v>
      </c>
      <c r="O2253" s="1">
        <f t="shared" si="275"/>
        <v>131</v>
      </c>
      <c r="P2253" s="1" t="str">
        <f t="shared" si="273"/>
        <v>100,131</v>
      </c>
      <c r="Q2253" s="6" t="s">
        <v>10</v>
      </c>
      <c r="R2253" s="1">
        <v>90</v>
      </c>
      <c r="S2253" s="1">
        <v>2.5</v>
      </c>
      <c r="T2253" s="1" t="str">
        <f t="shared" si="276"/>
        <v>-text 100,131 2.5 90 265.643</v>
      </c>
    </row>
    <row r="2254" spans="1:20" x14ac:dyDescent="0.35">
      <c r="A2254" s="1">
        <v>295120</v>
      </c>
      <c r="B2254" s="7">
        <v>1184609.2</v>
      </c>
      <c r="C2254" s="2">
        <v>268.55200000000002</v>
      </c>
      <c r="D2254" s="9">
        <v>269.36099999999999</v>
      </c>
      <c r="E2254" s="9">
        <v>0.80900000000000005</v>
      </c>
      <c r="F2254" s="2">
        <v>267.88</v>
      </c>
      <c r="G2254" s="2">
        <v>268.64800000000002</v>
      </c>
      <c r="H2254" s="2">
        <v>0.76800000000000002</v>
      </c>
      <c r="I2254" s="2">
        <v>267.06200000000001</v>
      </c>
      <c r="J2254" s="2">
        <v>265.68200000000002</v>
      </c>
      <c r="K2254" s="15">
        <v>2.9660000000000002</v>
      </c>
      <c r="L2254" s="2">
        <v>13.177</v>
      </c>
      <c r="N2254" s="7">
        <f t="shared" si="279"/>
        <v>120</v>
      </c>
      <c r="O2254" s="1">
        <f t="shared" si="275"/>
        <v>131</v>
      </c>
      <c r="P2254" s="1" t="str">
        <f t="shared" si="273"/>
        <v>120,131</v>
      </c>
      <c r="Q2254" s="6" t="s">
        <v>10</v>
      </c>
      <c r="R2254" s="1">
        <v>90</v>
      </c>
      <c r="S2254" s="1">
        <v>2.5</v>
      </c>
      <c r="T2254" s="1" t="str">
        <f t="shared" si="276"/>
        <v>-text 120,131 2.5 90 265.682</v>
      </c>
    </row>
    <row r="2255" spans="1:20" x14ac:dyDescent="0.35">
      <c r="A2255" s="1">
        <v>295140</v>
      </c>
      <c r="B2255" s="7">
        <v>1184629.2</v>
      </c>
      <c r="C2255" s="2">
        <v>268.54700000000003</v>
      </c>
      <c r="D2255" s="9">
        <v>269.36099999999999</v>
      </c>
      <c r="E2255" s="9">
        <v>0.81399999999999995</v>
      </c>
      <c r="F2255" s="2">
        <v>267.875</v>
      </c>
      <c r="G2255" s="2">
        <v>268.64800000000002</v>
      </c>
      <c r="H2255" s="2">
        <v>0.77300000000000002</v>
      </c>
      <c r="I2255" s="2">
        <v>267.036</v>
      </c>
      <c r="J2255" s="2">
        <v>265.66300000000001</v>
      </c>
      <c r="K2255" s="15">
        <v>2.9849999999999999</v>
      </c>
      <c r="L2255" s="2">
        <v>13.162000000000001</v>
      </c>
      <c r="N2255" s="7">
        <f t="shared" si="279"/>
        <v>140</v>
      </c>
      <c r="O2255" s="1">
        <f t="shared" si="275"/>
        <v>131</v>
      </c>
      <c r="P2255" s="1" t="str">
        <f t="shared" si="273"/>
        <v>140,131</v>
      </c>
      <c r="Q2255" s="6" t="s">
        <v>10</v>
      </c>
      <c r="R2255" s="1">
        <v>90</v>
      </c>
      <c r="S2255" s="1">
        <v>2.5</v>
      </c>
      <c r="T2255" s="1" t="str">
        <f t="shared" si="276"/>
        <v>-text 140,131 2.5 90 265.663</v>
      </c>
    </row>
    <row r="2256" spans="1:20" x14ac:dyDescent="0.35">
      <c r="A2256" s="1">
        <v>295160</v>
      </c>
      <c r="B2256" s="7">
        <v>1184649.1000000001</v>
      </c>
      <c r="C2256" s="2">
        <v>268.54599999999999</v>
      </c>
      <c r="D2256" s="9">
        <v>269.36099999999999</v>
      </c>
      <c r="E2256" s="9">
        <v>0.81499999999999995</v>
      </c>
      <c r="F2256" s="2">
        <v>267.87400000000002</v>
      </c>
      <c r="G2256" s="2">
        <v>268.64800000000002</v>
      </c>
      <c r="H2256" s="2">
        <v>0.77400000000000002</v>
      </c>
      <c r="I2256" s="2">
        <v>266.935</v>
      </c>
      <c r="J2256" s="2">
        <v>265.74900000000002</v>
      </c>
      <c r="K2256" s="15">
        <v>2.899</v>
      </c>
      <c r="L2256" s="2">
        <v>13.092000000000001</v>
      </c>
      <c r="N2256" s="7">
        <f t="shared" si="279"/>
        <v>159.9000000001397</v>
      </c>
      <c r="O2256" s="1">
        <f t="shared" si="275"/>
        <v>131</v>
      </c>
      <c r="P2256" s="1" t="str">
        <f t="shared" si="273"/>
        <v>159.90000000014,131</v>
      </c>
      <c r="Q2256" s="6" t="s">
        <v>10</v>
      </c>
      <c r="R2256" s="1">
        <v>90</v>
      </c>
      <c r="S2256" s="1">
        <v>2.5</v>
      </c>
      <c r="T2256" s="1" t="str">
        <f t="shared" si="276"/>
        <v>-text 159.90000000014,131 2.5 90 265.749</v>
      </c>
    </row>
    <row r="2257" spans="1:20" x14ac:dyDescent="0.35">
      <c r="A2257" s="1">
        <v>295180</v>
      </c>
      <c r="B2257" s="7">
        <v>1184669.2</v>
      </c>
      <c r="C2257" s="2">
        <v>268.54899999999998</v>
      </c>
      <c r="D2257" s="9">
        <v>269.36099999999999</v>
      </c>
      <c r="E2257" s="9">
        <v>0.81200000000000006</v>
      </c>
      <c r="F2257" s="2">
        <v>267.87700000000001</v>
      </c>
      <c r="G2257" s="2">
        <v>268.64800000000002</v>
      </c>
      <c r="H2257" s="2">
        <v>0.77100000000000002</v>
      </c>
      <c r="I2257" s="2">
        <v>266.637</v>
      </c>
      <c r="J2257" s="2">
        <v>265.79899999999998</v>
      </c>
      <c r="K2257" s="15">
        <v>2.8490000000000002</v>
      </c>
      <c r="L2257" s="2">
        <v>12.978</v>
      </c>
      <c r="N2257" s="7">
        <f t="shared" si="279"/>
        <v>180</v>
      </c>
      <c r="O2257" s="1">
        <f t="shared" si="275"/>
        <v>131</v>
      </c>
      <c r="P2257" s="1" t="str">
        <f t="shared" si="273"/>
        <v>180,131</v>
      </c>
      <c r="Q2257" s="6" t="s">
        <v>10</v>
      </c>
      <c r="R2257" s="1">
        <v>90</v>
      </c>
      <c r="S2257" s="1">
        <v>2.5</v>
      </c>
      <c r="T2257" s="1" t="str">
        <f t="shared" si="276"/>
        <v>-text 180,131 2.5 90 265.799</v>
      </c>
    </row>
    <row r="2258" spans="1:20" x14ac:dyDescent="0.35">
      <c r="A2258" s="1">
        <v>295200</v>
      </c>
      <c r="B2258" s="7">
        <v>1184689.2</v>
      </c>
      <c r="C2258" s="2">
        <v>268.577</v>
      </c>
      <c r="D2258" s="9">
        <v>269.36099999999999</v>
      </c>
      <c r="E2258" s="9">
        <v>0.78400000000000003</v>
      </c>
      <c r="F2258" s="2">
        <v>267.90499999999997</v>
      </c>
      <c r="G2258" s="2">
        <v>268.64800000000002</v>
      </c>
      <c r="H2258" s="2">
        <v>0.74299999999999999</v>
      </c>
      <c r="I2258" s="2">
        <v>266.666</v>
      </c>
      <c r="J2258" s="2">
        <v>265.78199999999998</v>
      </c>
      <c r="K2258" s="15">
        <v>2.8660000000000001</v>
      </c>
      <c r="L2258" s="2">
        <v>13.071999999999999</v>
      </c>
      <c r="N2258" s="7">
        <f t="shared" si="279"/>
        <v>200</v>
      </c>
      <c r="O2258" s="1">
        <f t="shared" si="275"/>
        <v>131</v>
      </c>
      <c r="P2258" s="1" t="str">
        <f t="shared" si="273"/>
        <v>200,131</v>
      </c>
      <c r="Q2258" s="6" t="s">
        <v>10</v>
      </c>
      <c r="R2258" s="1">
        <v>90</v>
      </c>
      <c r="S2258" s="1">
        <v>2.5</v>
      </c>
      <c r="T2258" s="1" t="str">
        <f t="shared" si="276"/>
        <v>-text 200,131 2.5 90 265.782</v>
      </c>
    </row>
    <row r="2259" spans="1:20" x14ac:dyDescent="0.35">
      <c r="A2259" s="1">
        <v>295220</v>
      </c>
      <c r="B2259" s="7">
        <v>1184709.1000000001</v>
      </c>
      <c r="C2259" s="2">
        <v>268.62400000000002</v>
      </c>
      <c r="D2259" s="9">
        <v>269.36099999999999</v>
      </c>
      <c r="E2259" s="9">
        <v>0.73699999999999999</v>
      </c>
      <c r="F2259" s="2">
        <v>267.952</v>
      </c>
      <c r="G2259" s="2">
        <v>268.64800000000002</v>
      </c>
      <c r="H2259" s="2">
        <v>0.69599999999999995</v>
      </c>
      <c r="I2259" s="2">
        <v>267.07100000000003</v>
      </c>
      <c r="J2259" s="2">
        <v>265.77</v>
      </c>
      <c r="K2259" s="15">
        <v>2.8780000000000001</v>
      </c>
      <c r="L2259" s="2">
        <v>13.026</v>
      </c>
      <c r="N2259" s="7">
        <f t="shared" si="279"/>
        <v>219.9000000001397</v>
      </c>
      <c r="O2259" s="1">
        <f t="shared" si="275"/>
        <v>131</v>
      </c>
      <c r="P2259" s="1" t="str">
        <f t="shared" si="273"/>
        <v>219.90000000014,131</v>
      </c>
      <c r="Q2259" s="6" t="s">
        <v>10</v>
      </c>
      <c r="R2259" s="1">
        <v>90</v>
      </c>
      <c r="S2259" s="1">
        <v>2.5</v>
      </c>
      <c r="T2259" s="1" t="str">
        <f t="shared" si="276"/>
        <v>-text 219.90000000014,131 2.5 90 265.77</v>
      </c>
    </row>
    <row r="2260" spans="1:20" x14ac:dyDescent="0.35">
      <c r="A2260" s="1">
        <v>295240</v>
      </c>
      <c r="B2260" s="7">
        <v>1184729.2</v>
      </c>
      <c r="C2260" s="2">
        <v>268.68099999999998</v>
      </c>
      <c r="D2260" s="9">
        <v>269.36099999999999</v>
      </c>
      <c r="E2260" s="9">
        <v>0.68</v>
      </c>
      <c r="F2260" s="2">
        <v>268.00900000000001</v>
      </c>
      <c r="G2260" s="2">
        <v>268.64800000000002</v>
      </c>
      <c r="H2260" s="2">
        <v>0.63900000000000001</v>
      </c>
      <c r="I2260" s="2">
        <v>267.28500000000003</v>
      </c>
      <c r="J2260" s="2">
        <v>265.71100000000001</v>
      </c>
      <c r="K2260" s="15">
        <v>2.9369999999999998</v>
      </c>
      <c r="L2260" s="2">
        <v>12.917999999999999</v>
      </c>
      <c r="N2260" s="7">
        <f t="shared" si="279"/>
        <v>240</v>
      </c>
      <c r="O2260" s="1">
        <f t="shared" si="275"/>
        <v>131</v>
      </c>
      <c r="P2260" s="1" t="str">
        <f t="shared" si="273"/>
        <v>240,131</v>
      </c>
      <c r="Q2260" s="6" t="s">
        <v>10</v>
      </c>
      <c r="R2260" s="1">
        <v>90</v>
      </c>
      <c r="S2260" s="1">
        <v>2.5</v>
      </c>
      <c r="T2260" s="1" t="str">
        <f t="shared" si="276"/>
        <v>-text 240,131 2.5 90 265.711</v>
      </c>
    </row>
    <row r="2261" spans="1:20" x14ac:dyDescent="0.35">
      <c r="A2261" s="1">
        <v>295260</v>
      </c>
      <c r="B2261" s="7">
        <v>1184749.2</v>
      </c>
      <c r="C2261" s="2">
        <v>268.67899999999997</v>
      </c>
      <c r="D2261" s="9">
        <v>269.36099999999999</v>
      </c>
      <c r="E2261" s="9">
        <v>0.68200000000000005</v>
      </c>
      <c r="F2261" s="2">
        <v>268.00700000000001</v>
      </c>
      <c r="G2261" s="2">
        <v>268.64800000000002</v>
      </c>
      <c r="H2261" s="2">
        <v>0.64100000000000001</v>
      </c>
      <c r="I2261" s="2">
        <v>267.125</v>
      </c>
      <c r="J2261" s="2">
        <v>265.61399999999998</v>
      </c>
      <c r="K2261" s="15">
        <v>3.0339999999999998</v>
      </c>
      <c r="L2261" s="2">
        <v>12.896000000000001</v>
      </c>
      <c r="N2261" s="7">
        <f t="shared" si="279"/>
        <v>260</v>
      </c>
      <c r="O2261" s="1">
        <f t="shared" si="275"/>
        <v>131</v>
      </c>
      <c r="P2261" s="1" t="str">
        <f t="shared" si="273"/>
        <v>260,131</v>
      </c>
      <c r="Q2261" s="6" t="s">
        <v>10</v>
      </c>
      <c r="R2261" s="1">
        <v>90</v>
      </c>
      <c r="S2261" s="1">
        <v>2.5</v>
      </c>
      <c r="T2261" s="1" t="str">
        <f t="shared" si="276"/>
        <v>-text 260,131 2.5 90 265.614</v>
      </c>
    </row>
    <row r="2262" spans="1:20" x14ac:dyDescent="0.35">
      <c r="A2262" s="1">
        <v>295280</v>
      </c>
      <c r="B2262" s="7">
        <v>1184769.2</v>
      </c>
      <c r="C2262" s="2">
        <v>268.69299999999998</v>
      </c>
      <c r="D2262" s="9">
        <v>269.36099999999999</v>
      </c>
      <c r="E2262" s="9">
        <v>0.66800000000000004</v>
      </c>
      <c r="F2262" s="2">
        <v>268.02100000000002</v>
      </c>
      <c r="G2262" s="2">
        <v>268.64800000000002</v>
      </c>
      <c r="H2262" s="2">
        <v>0.627</v>
      </c>
      <c r="I2262" s="2">
        <v>266.95100000000002</v>
      </c>
      <c r="J2262" s="2">
        <v>265.60599999999999</v>
      </c>
      <c r="K2262" s="15">
        <v>3.0419999999999998</v>
      </c>
      <c r="L2262" s="2">
        <v>12.893000000000001</v>
      </c>
      <c r="N2262" s="7">
        <f t="shared" si="279"/>
        <v>280</v>
      </c>
      <c r="O2262" s="1">
        <f t="shared" si="275"/>
        <v>131</v>
      </c>
      <c r="P2262" s="1" t="str">
        <f t="shared" si="273"/>
        <v>280,131</v>
      </c>
      <c r="Q2262" s="6" t="s">
        <v>10</v>
      </c>
      <c r="R2262" s="1">
        <v>90</v>
      </c>
      <c r="S2262" s="1">
        <v>2.5</v>
      </c>
      <c r="T2262" s="1" t="str">
        <f t="shared" si="276"/>
        <v>-text 280,131 2.5 90 265.606</v>
      </c>
    </row>
    <row r="2263" spans="1:20" x14ac:dyDescent="0.35">
      <c r="A2263" s="1">
        <v>295300</v>
      </c>
      <c r="B2263" s="7">
        <v>1184789.2</v>
      </c>
      <c r="C2263" s="2">
        <v>268.75</v>
      </c>
      <c r="D2263" s="9">
        <v>269.36099999999999</v>
      </c>
      <c r="E2263" s="9">
        <v>0.61099999999999999</v>
      </c>
      <c r="F2263" s="2">
        <v>268.07799999999997</v>
      </c>
      <c r="G2263" s="2">
        <v>268.64800000000002</v>
      </c>
      <c r="H2263" s="2">
        <v>0.56999999999999995</v>
      </c>
      <c r="I2263" s="2">
        <v>267.262</v>
      </c>
      <c r="J2263" s="2">
        <v>265.577</v>
      </c>
      <c r="K2263" s="15">
        <v>3.0710000000000002</v>
      </c>
      <c r="L2263" s="2">
        <v>12.938000000000001</v>
      </c>
      <c r="N2263" s="7">
        <f t="shared" si="279"/>
        <v>300</v>
      </c>
      <c r="O2263" s="1">
        <f t="shared" si="275"/>
        <v>131</v>
      </c>
      <c r="P2263" s="1" t="str">
        <f t="shared" si="273"/>
        <v>300,131</v>
      </c>
      <c r="Q2263" s="6" t="s">
        <v>10</v>
      </c>
      <c r="R2263" s="1">
        <v>90</v>
      </c>
      <c r="S2263" s="1">
        <v>2.5</v>
      </c>
      <c r="T2263" s="1" t="str">
        <f t="shared" si="276"/>
        <v>-text 300,131 2.5 90 265.577</v>
      </c>
    </row>
    <row r="2264" spans="1:20" x14ac:dyDescent="0.35">
      <c r="A2264" s="1">
        <v>295320</v>
      </c>
      <c r="B2264" s="7">
        <v>1184809.2</v>
      </c>
      <c r="C2264" s="2">
        <v>268.73899999999998</v>
      </c>
      <c r="D2264" s="9">
        <v>269.36099999999999</v>
      </c>
      <c r="E2264" s="9">
        <v>0.622</v>
      </c>
      <c r="F2264" s="2">
        <v>268.06700000000001</v>
      </c>
      <c r="G2264" s="2">
        <v>268.64800000000002</v>
      </c>
      <c r="H2264" s="2">
        <v>0.58099999999999996</v>
      </c>
      <c r="I2264" s="2">
        <v>267.26600000000002</v>
      </c>
      <c r="J2264" s="2">
        <v>265.65899999999999</v>
      </c>
      <c r="K2264" s="15">
        <v>2.9889999999999999</v>
      </c>
      <c r="L2264" s="2">
        <v>12.932</v>
      </c>
      <c r="N2264" s="7">
        <f t="shared" si="279"/>
        <v>320</v>
      </c>
      <c r="O2264" s="1">
        <f t="shared" si="275"/>
        <v>131</v>
      </c>
      <c r="P2264" s="1" t="str">
        <f t="shared" si="273"/>
        <v>320,131</v>
      </c>
      <c r="Q2264" s="6" t="s">
        <v>10</v>
      </c>
      <c r="R2264" s="1">
        <v>90</v>
      </c>
      <c r="S2264" s="1">
        <v>2.5</v>
      </c>
      <c r="T2264" s="1" t="str">
        <f t="shared" si="276"/>
        <v>-text 320,131 2.5 90 265.659</v>
      </c>
    </row>
    <row r="2265" spans="1:20" x14ac:dyDescent="0.35">
      <c r="A2265" s="1">
        <v>295340</v>
      </c>
      <c r="B2265" s="7">
        <v>1184829.2</v>
      </c>
      <c r="C2265" s="2">
        <v>268.71199999999999</v>
      </c>
      <c r="D2265" s="9">
        <v>269.36099999999999</v>
      </c>
      <c r="E2265" s="9">
        <v>0.64900000000000002</v>
      </c>
      <c r="F2265" s="2">
        <v>268.04000000000002</v>
      </c>
      <c r="G2265" s="2">
        <v>268.64800000000002</v>
      </c>
      <c r="H2265" s="2">
        <v>0.60799999999999998</v>
      </c>
      <c r="I2265" s="2">
        <v>267.16399999999999</v>
      </c>
      <c r="J2265" s="2">
        <v>265.65100000000001</v>
      </c>
      <c r="K2265" s="15">
        <v>2.9969999999999999</v>
      </c>
      <c r="L2265" s="2">
        <v>12.914</v>
      </c>
      <c r="N2265" s="7">
        <f t="shared" si="279"/>
        <v>340</v>
      </c>
      <c r="O2265" s="1">
        <f t="shared" si="275"/>
        <v>131</v>
      </c>
      <c r="P2265" s="1" t="str">
        <f t="shared" si="273"/>
        <v>340,131</v>
      </c>
      <c r="Q2265" s="6" t="s">
        <v>10</v>
      </c>
      <c r="R2265" s="1">
        <v>90</v>
      </c>
      <c r="S2265" s="1">
        <v>2.5</v>
      </c>
      <c r="T2265" s="1" t="str">
        <f t="shared" si="276"/>
        <v>-text 340,131 2.5 90 265.651</v>
      </c>
    </row>
    <row r="2266" spans="1:20" x14ac:dyDescent="0.35">
      <c r="A2266" s="1">
        <v>295360</v>
      </c>
      <c r="B2266" s="7">
        <v>1184849.2</v>
      </c>
      <c r="C2266" s="2">
        <v>268.70499999999998</v>
      </c>
      <c r="D2266" s="9">
        <v>269.36099999999999</v>
      </c>
      <c r="E2266" s="9">
        <v>0.65600000000000003</v>
      </c>
      <c r="F2266" s="2">
        <v>268.03300000000002</v>
      </c>
      <c r="G2266" s="2">
        <v>268.64800000000002</v>
      </c>
      <c r="H2266" s="2">
        <v>0.61499999999999999</v>
      </c>
      <c r="I2266" s="2">
        <v>267.14</v>
      </c>
      <c r="J2266" s="2">
        <v>265.79399999999998</v>
      </c>
      <c r="K2266" s="15">
        <v>2.8540000000000001</v>
      </c>
      <c r="L2266" s="2">
        <v>12.904999999999999</v>
      </c>
      <c r="N2266" s="7">
        <f t="shared" si="279"/>
        <v>360</v>
      </c>
      <c r="O2266" s="1">
        <f t="shared" si="275"/>
        <v>131</v>
      </c>
      <c r="P2266" s="1" t="str">
        <f t="shared" si="273"/>
        <v>360,131</v>
      </c>
      <c r="Q2266" s="6" t="s">
        <v>10</v>
      </c>
      <c r="R2266" s="1">
        <v>90</v>
      </c>
      <c r="S2266" s="1">
        <v>2.5</v>
      </c>
      <c r="T2266" s="1" t="str">
        <f t="shared" si="276"/>
        <v>-text 360,131 2.5 90 265.794</v>
      </c>
    </row>
    <row r="2267" spans="1:20" x14ac:dyDescent="0.35">
      <c r="A2267" s="1">
        <v>295380</v>
      </c>
      <c r="B2267" s="7">
        <v>1184869.2</v>
      </c>
      <c r="C2267" s="2">
        <v>268.70600000000002</v>
      </c>
      <c r="D2267" s="9">
        <v>269.36099999999999</v>
      </c>
      <c r="E2267" s="9">
        <v>0.65500000000000003</v>
      </c>
      <c r="F2267" s="2">
        <v>268.03399999999999</v>
      </c>
      <c r="G2267" s="2">
        <v>268.64800000000002</v>
      </c>
      <c r="H2267" s="2">
        <v>0.61399999999999999</v>
      </c>
      <c r="I2267" s="2">
        <v>267.34500000000003</v>
      </c>
      <c r="J2267" s="2">
        <v>265.91399999999999</v>
      </c>
      <c r="K2267" s="15">
        <v>2.734</v>
      </c>
      <c r="L2267" s="2">
        <v>12.9</v>
      </c>
      <c r="N2267" s="7">
        <f t="shared" si="279"/>
        <v>380</v>
      </c>
      <c r="O2267" s="1">
        <f t="shared" si="275"/>
        <v>131</v>
      </c>
      <c r="P2267" s="1" t="str">
        <f t="shared" si="273"/>
        <v>380,131</v>
      </c>
      <c r="Q2267" s="6" t="s">
        <v>10</v>
      </c>
      <c r="R2267" s="1">
        <v>90</v>
      </c>
      <c r="S2267" s="1">
        <v>2.5</v>
      </c>
      <c r="T2267" s="1" t="str">
        <f t="shared" si="276"/>
        <v>-text 380,131 2.5 90 265.914</v>
      </c>
    </row>
    <row r="2268" spans="1:20" x14ac:dyDescent="0.35">
      <c r="A2268" s="1">
        <v>295400</v>
      </c>
      <c r="B2268" s="7">
        <v>1184889.2</v>
      </c>
      <c r="C2268" s="2">
        <v>268.70100000000002</v>
      </c>
      <c r="D2268" s="9">
        <v>269.36099999999999</v>
      </c>
      <c r="E2268" s="9">
        <v>0.66</v>
      </c>
      <c r="F2268" s="2">
        <v>268.029</v>
      </c>
      <c r="G2268" s="2">
        <v>268.64800000000002</v>
      </c>
      <c r="H2268" s="2">
        <v>0.61899999999999999</v>
      </c>
      <c r="I2268" s="2">
        <v>267.30799999999999</v>
      </c>
      <c r="J2268" s="2">
        <v>265.84199999999998</v>
      </c>
      <c r="K2268" s="15">
        <v>2.806</v>
      </c>
      <c r="L2268" s="2">
        <v>12.896000000000001</v>
      </c>
      <c r="N2268" s="7">
        <f t="shared" si="279"/>
        <v>400</v>
      </c>
      <c r="O2268" s="1">
        <f t="shared" ref="O2268:O2337" si="280">19+16+16+16+16+16+16+16</f>
        <v>131</v>
      </c>
      <c r="P2268" s="1" t="str">
        <f t="shared" si="273"/>
        <v>400,131</v>
      </c>
      <c r="Q2268" s="6" t="s">
        <v>10</v>
      </c>
      <c r="R2268" s="1">
        <v>90</v>
      </c>
      <c r="S2268" s="1">
        <v>2.5</v>
      </c>
      <c r="T2268" s="1" t="str">
        <f t="shared" ref="T2268:T2337" si="281">$Q2268&amp;" "&amp;$P2268&amp;" "&amp;$S2268&amp;" "&amp;$R2268&amp;" "&amp;$J2268</f>
        <v>-text 400,131 2.5 90 265.842</v>
      </c>
    </row>
    <row r="2269" spans="1:20" x14ac:dyDescent="0.35">
      <c r="A2269" s="1">
        <v>295420</v>
      </c>
      <c r="B2269" s="7">
        <v>1184909.2</v>
      </c>
      <c r="C2269" s="2">
        <v>268.685</v>
      </c>
      <c r="D2269" s="9">
        <v>269.36099999999999</v>
      </c>
      <c r="E2269" s="9">
        <v>0.67600000000000005</v>
      </c>
      <c r="F2269" s="2">
        <v>268.01299999999998</v>
      </c>
      <c r="G2269" s="2">
        <v>268.64800000000002</v>
      </c>
      <c r="H2269" s="2">
        <v>0.63500000000000001</v>
      </c>
      <c r="I2269" s="2">
        <v>267.29300000000001</v>
      </c>
      <c r="J2269" s="2">
        <v>265.69</v>
      </c>
      <c r="K2269" s="15">
        <v>2.9580000000000002</v>
      </c>
      <c r="L2269" s="2">
        <v>12.885999999999999</v>
      </c>
      <c r="N2269" s="7">
        <f t="shared" si="279"/>
        <v>420</v>
      </c>
      <c r="O2269" s="1">
        <f t="shared" si="280"/>
        <v>131</v>
      </c>
      <c r="P2269" s="1" t="str">
        <f t="shared" si="273"/>
        <v>420,131</v>
      </c>
      <c r="Q2269" s="6" t="s">
        <v>10</v>
      </c>
      <c r="R2269" s="1">
        <v>90</v>
      </c>
      <c r="S2269" s="1">
        <v>2.5</v>
      </c>
      <c r="T2269" s="1" t="str">
        <f t="shared" si="281"/>
        <v>-text 420,131 2.5 90 265.69</v>
      </c>
    </row>
    <row r="2270" spans="1:20" x14ac:dyDescent="0.35">
      <c r="A2270" s="1">
        <v>295440</v>
      </c>
      <c r="B2270" s="7">
        <v>1184929.2</v>
      </c>
      <c r="C2270" s="2">
        <v>268.66399999999999</v>
      </c>
      <c r="D2270" s="9">
        <v>269.36099999999999</v>
      </c>
      <c r="E2270" s="9">
        <v>0.69699999999999995</v>
      </c>
      <c r="F2270" s="2">
        <v>267.99200000000002</v>
      </c>
      <c r="G2270" s="2">
        <v>268.64800000000002</v>
      </c>
      <c r="H2270" s="2">
        <v>0.65600000000000003</v>
      </c>
      <c r="I2270" s="2">
        <v>267.25400000000002</v>
      </c>
      <c r="J2270" s="2">
        <v>265.75299999999999</v>
      </c>
      <c r="K2270" s="15">
        <v>2.895</v>
      </c>
      <c r="L2270" s="2">
        <v>12.87</v>
      </c>
      <c r="N2270" s="7">
        <f t="shared" si="279"/>
        <v>440</v>
      </c>
      <c r="O2270" s="1">
        <f t="shared" si="280"/>
        <v>131</v>
      </c>
      <c r="P2270" s="1" t="str">
        <f t="shared" ref="P2270:P2339" si="282">CONCATENATE(N2270,",",O2270)</f>
        <v>440,131</v>
      </c>
      <c r="Q2270" s="6" t="s">
        <v>10</v>
      </c>
      <c r="R2270" s="1">
        <v>90</v>
      </c>
      <c r="S2270" s="1">
        <v>2.5</v>
      </c>
      <c r="T2270" s="1" t="str">
        <f t="shared" si="281"/>
        <v>-text 440,131 2.5 90 265.753</v>
      </c>
    </row>
    <row r="2271" spans="1:20" x14ac:dyDescent="0.35">
      <c r="A2271" s="1">
        <v>295460</v>
      </c>
      <c r="B2271" s="7">
        <v>1184949.2</v>
      </c>
      <c r="C2271" s="2">
        <v>268.64299999999997</v>
      </c>
      <c r="D2271" s="9">
        <v>269.36099999999999</v>
      </c>
      <c r="E2271" s="9">
        <v>0.71799999999999997</v>
      </c>
      <c r="F2271" s="2">
        <v>267.971</v>
      </c>
      <c r="G2271" s="2">
        <v>268.64800000000002</v>
      </c>
      <c r="H2271" s="2">
        <v>0.67700000000000005</v>
      </c>
      <c r="I2271" s="2">
        <v>267.18400000000003</v>
      </c>
      <c r="J2271" s="2">
        <v>265.95</v>
      </c>
      <c r="K2271" s="15">
        <v>2.698</v>
      </c>
      <c r="L2271" s="2">
        <v>12.853</v>
      </c>
      <c r="N2271" s="7">
        <f t="shared" si="279"/>
        <v>460</v>
      </c>
      <c r="O2271" s="1">
        <f t="shared" si="280"/>
        <v>131</v>
      </c>
      <c r="P2271" s="1" t="str">
        <f t="shared" si="282"/>
        <v>460,131</v>
      </c>
      <c r="Q2271" s="6" t="s">
        <v>10</v>
      </c>
      <c r="R2271" s="1">
        <v>90</v>
      </c>
      <c r="S2271" s="1">
        <v>2.5</v>
      </c>
      <c r="T2271" s="1" t="str">
        <f t="shared" si="281"/>
        <v>-text 460,131 2.5 90 265.95</v>
      </c>
    </row>
    <row r="2272" spans="1:20" x14ac:dyDescent="0.35">
      <c r="A2272" s="1">
        <v>295480</v>
      </c>
      <c r="B2272" s="7">
        <v>1184969.1000000001</v>
      </c>
      <c r="C2272" s="2">
        <v>268.62299999999999</v>
      </c>
      <c r="D2272" s="9">
        <v>269.36099999999999</v>
      </c>
      <c r="E2272" s="9">
        <v>0.73799999999999999</v>
      </c>
      <c r="F2272" s="2">
        <v>267.95100000000002</v>
      </c>
      <c r="G2272" s="2">
        <v>268.64800000000002</v>
      </c>
      <c r="H2272" s="2">
        <v>0.69699999999999995</v>
      </c>
      <c r="I2272" s="2">
        <v>267.06200000000001</v>
      </c>
      <c r="J2272" s="2">
        <v>266.02999999999997</v>
      </c>
      <c r="K2272" s="15">
        <v>2.6179999999999999</v>
      </c>
      <c r="L2272" s="2">
        <v>12.82</v>
      </c>
      <c r="N2272" s="7">
        <f t="shared" si="279"/>
        <v>479.9000000001397</v>
      </c>
      <c r="O2272" s="1">
        <f t="shared" si="280"/>
        <v>131</v>
      </c>
      <c r="P2272" s="1" t="str">
        <f t="shared" si="282"/>
        <v>479.90000000014,131</v>
      </c>
      <c r="Q2272" s="6" t="s">
        <v>10</v>
      </c>
      <c r="R2272" s="1">
        <v>90</v>
      </c>
      <c r="S2272" s="1">
        <v>2.5</v>
      </c>
      <c r="T2272" s="1" t="str">
        <f t="shared" si="281"/>
        <v>-text 479.90000000014,131 2.5 90 266.03</v>
      </c>
    </row>
    <row r="2273" spans="1:20" x14ac:dyDescent="0.35">
      <c r="A2273" s="1">
        <v>295500</v>
      </c>
      <c r="B2273" s="7">
        <v>1184989.2</v>
      </c>
      <c r="C2273" s="2">
        <v>268.642</v>
      </c>
      <c r="D2273" s="9">
        <v>269.36099999999999</v>
      </c>
      <c r="E2273" s="9">
        <v>0.71899999999999997</v>
      </c>
      <c r="F2273" s="2">
        <v>267.97000000000003</v>
      </c>
      <c r="G2273" s="2">
        <v>268.64800000000002</v>
      </c>
      <c r="H2273" s="2">
        <v>0.67800000000000005</v>
      </c>
      <c r="I2273" s="2">
        <v>267.15499999999997</v>
      </c>
      <c r="J2273" s="2">
        <v>266.09699999999998</v>
      </c>
      <c r="K2273" s="15">
        <v>2.5510000000000002</v>
      </c>
      <c r="L2273" s="2">
        <v>12.756</v>
      </c>
      <c r="N2273" s="7">
        <f>N2270+(B2273-B2270)</f>
        <v>500</v>
      </c>
      <c r="O2273" s="1">
        <f t="shared" si="280"/>
        <v>131</v>
      </c>
      <c r="P2273" s="1" t="str">
        <f t="shared" ref="P2273" si="283">CONCATENATE(N2273,",",O2273)</f>
        <v>500,131</v>
      </c>
      <c r="Q2273" s="6" t="s">
        <v>10</v>
      </c>
      <c r="R2273" s="1">
        <v>90</v>
      </c>
      <c r="S2273" s="1">
        <v>2.5</v>
      </c>
      <c r="T2273" s="1" t="str">
        <f t="shared" si="281"/>
        <v>-text 500,131 2.5 90 266.097</v>
      </c>
    </row>
    <row r="2274" spans="1:20" s="10" customFormat="1" x14ac:dyDescent="0.35">
      <c r="B2274" s="11"/>
      <c r="C2274" s="9"/>
      <c r="D2274" s="9"/>
      <c r="E2274" s="9"/>
      <c r="F2274" s="9"/>
      <c r="G2274" s="9"/>
      <c r="H2274" s="9"/>
      <c r="I2274" s="9"/>
      <c r="J2274" s="9"/>
      <c r="K2274" s="16"/>
      <c r="L2274" s="9"/>
      <c r="M2274" s="9"/>
      <c r="N2274" s="11"/>
      <c r="Q2274" s="12"/>
    </row>
    <row r="2275" spans="1:20" x14ac:dyDescent="0.35">
      <c r="A2275" s="1">
        <v>295500</v>
      </c>
      <c r="B2275" s="7">
        <v>1184989.2</v>
      </c>
      <c r="C2275" s="2">
        <v>268.642</v>
      </c>
      <c r="D2275" s="9">
        <v>269.36099999999999</v>
      </c>
      <c r="E2275" s="9">
        <v>0.71899999999999997</v>
      </c>
      <c r="F2275" s="2">
        <v>267.97000000000003</v>
      </c>
      <c r="G2275" s="2">
        <v>268.64800000000002</v>
      </c>
      <c r="H2275" s="2">
        <v>0.67800000000000005</v>
      </c>
      <c r="I2275" s="2">
        <v>267.15499999999997</v>
      </c>
      <c r="J2275" s="2">
        <v>266.09699999999998</v>
      </c>
      <c r="K2275" s="15">
        <v>2.5510000000000002</v>
      </c>
      <c r="L2275" s="2">
        <v>12.756</v>
      </c>
      <c r="N2275" s="7">
        <v>0</v>
      </c>
      <c r="O2275" s="1">
        <f t="shared" si="280"/>
        <v>131</v>
      </c>
      <c r="P2275" s="1" t="str">
        <f t="shared" si="282"/>
        <v>0,131</v>
      </c>
      <c r="Q2275" s="6" t="s">
        <v>10</v>
      </c>
      <c r="R2275" s="1">
        <v>90</v>
      </c>
      <c r="S2275" s="1">
        <v>2.5</v>
      </c>
      <c r="T2275" s="1" t="str">
        <f t="shared" si="281"/>
        <v>-text 0,131 2.5 90 266.097</v>
      </c>
    </row>
    <row r="2276" spans="1:20" x14ac:dyDescent="0.35">
      <c r="A2276" s="1">
        <v>295520</v>
      </c>
      <c r="B2276" s="7">
        <v>1185009.2</v>
      </c>
      <c r="C2276" s="2">
        <v>268.66199999999998</v>
      </c>
      <c r="D2276" s="9">
        <v>269.36099999999999</v>
      </c>
      <c r="E2276" s="9">
        <v>0.69899999999999995</v>
      </c>
      <c r="F2276" s="2">
        <v>267.99</v>
      </c>
      <c r="G2276" s="2">
        <v>268.64800000000002</v>
      </c>
      <c r="H2276" s="2">
        <v>0.65800000000000003</v>
      </c>
      <c r="I2276" s="2">
        <v>267.26499999999999</v>
      </c>
      <c r="J2276" s="2">
        <v>266.22000000000003</v>
      </c>
      <c r="K2276" s="15">
        <v>2.4279999999999999</v>
      </c>
      <c r="L2276" s="2">
        <v>12.696999999999999</v>
      </c>
      <c r="N2276" s="7">
        <f t="shared" ref="N2276:N2299" si="284">N2275+(B2276-B2275)</f>
        <v>20</v>
      </c>
      <c r="O2276" s="1">
        <f t="shared" si="280"/>
        <v>131</v>
      </c>
      <c r="P2276" s="1" t="str">
        <f t="shared" si="282"/>
        <v>20,131</v>
      </c>
      <c r="Q2276" s="6" t="s">
        <v>10</v>
      </c>
      <c r="R2276" s="1">
        <v>90</v>
      </c>
      <c r="S2276" s="1">
        <v>2.5</v>
      </c>
      <c r="T2276" s="1" t="str">
        <f t="shared" si="281"/>
        <v>-text 20,131 2.5 90 266.22</v>
      </c>
    </row>
    <row r="2277" spans="1:20" x14ac:dyDescent="0.35">
      <c r="A2277" s="1">
        <v>295540</v>
      </c>
      <c r="B2277" s="7">
        <v>1185029.2</v>
      </c>
      <c r="C2277" s="2">
        <v>268.66300000000001</v>
      </c>
      <c r="D2277" s="9">
        <v>269.36099999999999</v>
      </c>
      <c r="E2277" s="9">
        <v>0.69799999999999995</v>
      </c>
      <c r="F2277" s="2">
        <v>267.99099999999999</v>
      </c>
      <c r="G2277" s="2">
        <v>268.64800000000002</v>
      </c>
      <c r="H2277" s="2">
        <v>0.65700000000000003</v>
      </c>
      <c r="I2277" s="2">
        <v>267.26</v>
      </c>
      <c r="J2277" s="2">
        <v>266.21899999999999</v>
      </c>
      <c r="K2277" s="15">
        <v>2.4289999999999998</v>
      </c>
      <c r="L2277" s="2">
        <v>12.709</v>
      </c>
      <c r="N2277" s="7">
        <f t="shared" si="284"/>
        <v>40</v>
      </c>
      <c r="O2277" s="1">
        <f t="shared" si="280"/>
        <v>131</v>
      </c>
      <c r="P2277" s="1" t="str">
        <f t="shared" si="282"/>
        <v>40,131</v>
      </c>
      <c r="Q2277" s="6" t="s">
        <v>10</v>
      </c>
      <c r="R2277" s="1">
        <v>90</v>
      </c>
      <c r="S2277" s="1">
        <v>2.5</v>
      </c>
      <c r="T2277" s="1" t="str">
        <f t="shared" si="281"/>
        <v>-text 40,131 2.5 90 266.219</v>
      </c>
    </row>
    <row r="2278" spans="1:20" x14ac:dyDescent="0.35">
      <c r="A2278" s="1">
        <v>295560</v>
      </c>
      <c r="B2278" s="7">
        <v>1185049.2</v>
      </c>
      <c r="C2278" s="2">
        <v>268.65499999999997</v>
      </c>
      <c r="D2278" s="9">
        <v>269.36099999999999</v>
      </c>
      <c r="E2278" s="9">
        <v>0.70599999999999996</v>
      </c>
      <c r="F2278" s="2">
        <v>267.983</v>
      </c>
      <c r="G2278" s="2">
        <v>268.64800000000002</v>
      </c>
      <c r="H2278" s="2">
        <v>0.66500000000000004</v>
      </c>
      <c r="I2278" s="2">
        <v>267.24700000000001</v>
      </c>
      <c r="J2278" s="2">
        <v>266.10500000000002</v>
      </c>
      <c r="K2278" s="15">
        <v>2.5430000000000001</v>
      </c>
      <c r="L2278" s="2">
        <v>12.715999999999999</v>
      </c>
      <c r="N2278" s="7">
        <f t="shared" si="284"/>
        <v>60</v>
      </c>
      <c r="O2278" s="1">
        <f t="shared" si="280"/>
        <v>131</v>
      </c>
      <c r="P2278" s="1" t="str">
        <f t="shared" si="282"/>
        <v>60,131</v>
      </c>
      <c r="Q2278" s="6" t="s">
        <v>10</v>
      </c>
      <c r="R2278" s="1">
        <v>90</v>
      </c>
      <c r="S2278" s="1">
        <v>2.5</v>
      </c>
      <c r="T2278" s="1" t="str">
        <f t="shared" si="281"/>
        <v>-text 60,131 2.5 90 266.105</v>
      </c>
    </row>
    <row r="2279" spans="1:20" x14ac:dyDescent="0.35">
      <c r="A2279" s="1">
        <v>295580</v>
      </c>
      <c r="B2279" s="7">
        <v>1185069.2</v>
      </c>
      <c r="C2279" s="2">
        <v>268.63600000000002</v>
      </c>
      <c r="D2279" s="9">
        <v>269.36099999999999</v>
      </c>
      <c r="E2279" s="9">
        <v>0.72499999999999998</v>
      </c>
      <c r="F2279" s="2">
        <v>267.964</v>
      </c>
      <c r="G2279" s="2">
        <v>268.64800000000002</v>
      </c>
      <c r="H2279" s="2">
        <v>0.68400000000000005</v>
      </c>
      <c r="I2279" s="2">
        <v>267.23099999999999</v>
      </c>
      <c r="J2279" s="2">
        <v>265.875</v>
      </c>
      <c r="K2279" s="15">
        <v>2.7730000000000001</v>
      </c>
      <c r="L2279" s="2">
        <v>12.717000000000001</v>
      </c>
      <c r="N2279" s="7">
        <f t="shared" si="284"/>
        <v>80</v>
      </c>
      <c r="O2279" s="1">
        <f t="shared" si="280"/>
        <v>131</v>
      </c>
      <c r="P2279" s="1" t="str">
        <f t="shared" si="282"/>
        <v>80,131</v>
      </c>
      <c r="Q2279" s="6" t="s">
        <v>10</v>
      </c>
      <c r="R2279" s="1">
        <v>90</v>
      </c>
      <c r="S2279" s="1">
        <v>2.5</v>
      </c>
      <c r="T2279" s="1" t="str">
        <f t="shared" si="281"/>
        <v>-text 80,131 2.5 90 265.875</v>
      </c>
    </row>
    <row r="2280" spans="1:20" x14ac:dyDescent="0.35">
      <c r="A2280" s="1">
        <v>295600</v>
      </c>
      <c r="B2280" s="7">
        <v>1185089.2</v>
      </c>
      <c r="C2280" s="2">
        <v>268.60899999999998</v>
      </c>
      <c r="D2280" s="9">
        <v>269.36099999999999</v>
      </c>
      <c r="E2280" s="9">
        <v>0.752</v>
      </c>
      <c r="F2280" s="2">
        <v>267.93700000000001</v>
      </c>
      <c r="G2280" s="2">
        <v>268.64800000000002</v>
      </c>
      <c r="H2280" s="2">
        <v>0.71099999999999997</v>
      </c>
      <c r="I2280" s="2">
        <v>267.27199999999999</v>
      </c>
      <c r="J2280" s="2">
        <v>265.64299999999997</v>
      </c>
      <c r="K2280" s="15">
        <v>3.0049999999999999</v>
      </c>
      <c r="L2280" s="2">
        <v>12.718</v>
      </c>
      <c r="N2280" s="7">
        <f t="shared" si="284"/>
        <v>100</v>
      </c>
      <c r="O2280" s="1">
        <f t="shared" si="280"/>
        <v>131</v>
      </c>
      <c r="P2280" s="1" t="str">
        <f t="shared" si="282"/>
        <v>100,131</v>
      </c>
      <c r="Q2280" s="6" t="s">
        <v>10</v>
      </c>
      <c r="R2280" s="1">
        <v>90</v>
      </c>
      <c r="S2280" s="1">
        <v>2.5</v>
      </c>
      <c r="T2280" s="1" t="str">
        <f t="shared" si="281"/>
        <v>-text 100,131 2.5 90 265.643</v>
      </c>
    </row>
    <row r="2281" spans="1:20" x14ac:dyDescent="0.35">
      <c r="A2281" s="1">
        <v>295620</v>
      </c>
      <c r="B2281" s="7">
        <v>1185109.2</v>
      </c>
      <c r="C2281" s="2">
        <v>268.58100000000002</v>
      </c>
      <c r="D2281" s="9">
        <v>269.36099999999999</v>
      </c>
      <c r="E2281" s="9">
        <v>0.78</v>
      </c>
      <c r="F2281" s="2">
        <v>267.90899999999999</v>
      </c>
      <c r="G2281" s="2">
        <v>268.64800000000002</v>
      </c>
      <c r="H2281" s="2">
        <v>0.73899999999999999</v>
      </c>
      <c r="I2281" s="2">
        <v>267.31900000000002</v>
      </c>
      <c r="J2281" s="2">
        <v>265.67599999999999</v>
      </c>
      <c r="K2281" s="15">
        <v>2.972</v>
      </c>
      <c r="L2281" s="2">
        <v>12.72</v>
      </c>
      <c r="N2281" s="7">
        <f t="shared" si="284"/>
        <v>120</v>
      </c>
      <c r="O2281" s="1">
        <f t="shared" si="280"/>
        <v>131</v>
      </c>
      <c r="P2281" s="1" t="str">
        <f t="shared" si="282"/>
        <v>120,131</v>
      </c>
      <c r="Q2281" s="6" t="s">
        <v>10</v>
      </c>
      <c r="R2281" s="1">
        <v>90</v>
      </c>
      <c r="S2281" s="1">
        <v>2.5</v>
      </c>
      <c r="T2281" s="1" t="str">
        <f t="shared" si="281"/>
        <v>-text 120,131 2.5 90 265.676</v>
      </c>
    </row>
    <row r="2282" spans="1:20" x14ac:dyDescent="0.35">
      <c r="A2282" s="1">
        <v>295640</v>
      </c>
      <c r="B2282" s="7">
        <v>1185129.2</v>
      </c>
      <c r="C2282" s="2">
        <v>268.60300000000001</v>
      </c>
      <c r="D2282" s="9">
        <v>269.36099999999999</v>
      </c>
      <c r="E2282" s="9">
        <v>0.75800000000000001</v>
      </c>
      <c r="F2282" s="2">
        <v>267.93099999999998</v>
      </c>
      <c r="G2282" s="2">
        <v>268.64800000000002</v>
      </c>
      <c r="H2282" s="2">
        <v>0.71699999999999997</v>
      </c>
      <c r="I2282" s="2">
        <v>267.30399999999997</v>
      </c>
      <c r="J2282" s="2">
        <v>265.72000000000003</v>
      </c>
      <c r="K2282" s="15">
        <v>2.9279999999999999</v>
      </c>
      <c r="L2282" s="2">
        <v>12.725</v>
      </c>
      <c r="N2282" s="7">
        <f t="shared" si="284"/>
        <v>140</v>
      </c>
      <c r="O2282" s="1">
        <f t="shared" si="280"/>
        <v>131</v>
      </c>
      <c r="P2282" s="1" t="str">
        <f t="shared" si="282"/>
        <v>140,131</v>
      </c>
      <c r="Q2282" s="6" t="s">
        <v>10</v>
      </c>
      <c r="R2282" s="1">
        <v>90</v>
      </c>
      <c r="S2282" s="1">
        <v>2.5</v>
      </c>
      <c r="T2282" s="1" t="str">
        <f t="shared" si="281"/>
        <v>-text 140,131 2.5 90 265.72</v>
      </c>
    </row>
    <row r="2283" spans="1:20" x14ac:dyDescent="0.35">
      <c r="A2283" s="1">
        <v>295660</v>
      </c>
      <c r="B2283" s="7">
        <v>1185149.2</v>
      </c>
      <c r="C2283" s="2">
        <v>268.62</v>
      </c>
      <c r="D2283" s="9">
        <v>269.36099999999999</v>
      </c>
      <c r="E2283" s="9">
        <v>0.74099999999999999</v>
      </c>
      <c r="F2283" s="2">
        <v>267.94799999999998</v>
      </c>
      <c r="G2283" s="2">
        <v>268.64800000000002</v>
      </c>
      <c r="H2283" s="2">
        <v>0.7</v>
      </c>
      <c r="I2283" s="2">
        <v>267.27</v>
      </c>
      <c r="J2283" s="2">
        <v>265.81</v>
      </c>
      <c r="K2283" s="15">
        <v>2.8380000000000001</v>
      </c>
      <c r="L2283" s="2">
        <v>12.727</v>
      </c>
      <c r="N2283" s="7">
        <f t="shared" si="284"/>
        <v>160</v>
      </c>
      <c r="O2283" s="1">
        <f t="shared" si="280"/>
        <v>131</v>
      </c>
      <c r="P2283" s="1" t="str">
        <f t="shared" si="282"/>
        <v>160,131</v>
      </c>
      <c r="Q2283" s="6" t="s">
        <v>10</v>
      </c>
      <c r="R2283" s="1">
        <v>90</v>
      </c>
      <c r="S2283" s="1">
        <v>2.5</v>
      </c>
      <c r="T2283" s="1" t="str">
        <f t="shared" si="281"/>
        <v>-text 160,131 2.5 90 265.81</v>
      </c>
    </row>
    <row r="2284" spans="1:20" x14ac:dyDescent="0.35">
      <c r="A2284" s="1">
        <v>295680</v>
      </c>
      <c r="B2284" s="7">
        <v>1185169.2</v>
      </c>
      <c r="C2284" s="2">
        <v>268.61799999999999</v>
      </c>
      <c r="D2284" s="9">
        <v>269.36099999999999</v>
      </c>
      <c r="E2284" s="9">
        <v>0.74299999999999999</v>
      </c>
      <c r="F2284" s="2">
        <v>267.94600000000003</v>
      </c>
      <c r="G2284" s="2">
        <v>268.64800000000002</v>
      </c>
      <c r="H2284" s="2">
        <v>0.70199999999999996</v>
      </c>
      <c r="I2284" s="2">
        <v>267.29899999999998</v>
      </c>
      <c r="J2284" s="2">
        <v>265.88799999999998</v>
      </c>
      <c r="K2284" s="15">
        <v>2.76</v>
      </c>
      <c r="L2284" s="2">
        <v>12.72</v>
      </c>
      <c r="N2284" s="7">
        <f t="shared" si="284"/>
        <v>180</v>
      </c>
      <c r="O2284" s="1">
        <f t="shared" si="280"/>
        <v>131</v>
      </c>
      <c r="P2284" s="1" t="str">
        <f t="shared" si="282"/>
        <v>180,131</v>
      </c>
      <c r="Q2284" s="6" t="s">
        <v>10</v>
      </c>
      <c r="R2284" s="1">
        <v>90</v>
      </c>
      <c r="S2284" s="1">
        <v>2.5</v>
      </c>
      <c r="T2284" s="1" t="str">
        <f t="shared" si="281"/>
        <v>-text 180,131 2.5 90 265.888</v>
      </c>
    </row>
    <row r="2285" spans="1:20" x14ac:dyDescent="0.35">
      <c r="A2285" s="1">
        <v>295700</v>
      </c>
      <c r="B2285" s="7">
        <v>1185189.2</v>
      </c>
      <c r="C2285" s="2">
        <v>268.61799999999999</v>
      </c>
      <c r="D2285" s="9">
        <v>269.36099999999999</v>
      </c>
      <c r="E2285" s="9">
        <v>0.74299999999999999</v>
      </c>
      <c r="F2285" s="2">
        <v>267.94600000000003</v>
      </c>
      <c r="G2285" s="2">
        <v>268.64800000000002</v>
      </c>
      <c r="H2285" s="2">
        <v>0.70199999999999996</v>
      </c>
      <c r="I2285" s="2">
        <v>267.31700000000001</v>
      </c>
      <c r="J2285" s="2">
        <v>265.90499999999997</v>
      </c>
      <c r="K2285" s="15">
        <v>2.7429999999999999</v>
      </c>
      <c r="L2285" s="2">
        <v>12.72</v>
      </c>
      <c r="N2285" s="7">
        <f t="shared" si="284"/>
        <v>200</v>
      </c>
      <c r="O2285" s="1">
        <f t="shared" si="280"/>
        <v>131</v>
      </c>
      <c r="P2285" s="1" t="str">
        <f t="shared" si="282"/>
        <v>200,131</v>
      </c>
      <c r="Q2285" s="6" t="s">
        <v>10</v>
      </c>
      <c r="R2285" s="1">
        <v>90</v>
      </c>
      <c r="S2285" s="1">
        <v>2.5</v>
      </c>
      <c r="T2285" s="1" t="str">
        <f t="shared" si="281"/>
        <v>-text 200,131 2.5 90 265.905</v>
      </c>
    </row>
    <row r="2286" spans="1:20" x14ac:dyDescent="0.35">
      <c r="A2286" s="1">
        <v>295720</v>
      </c>
      <c r="B2286" s="7">
        <v>1185209.2</v>
      </c>
      <c r="C2286" s="2">
        <v>268.62</v>
      </c>
      <c r="D2286" s="9">
        <v>269.36099999999999</v>
      </c>
      <c r="E2286" s="9">
        <v>0.74099999999999999</v>
      </c>
      <c r="F2286" s="2">
        <v>267.94799999999998</v>
      </c>
      <c r="G2286" s="2">
        <v>268.64800000000002</v>
      </c>
      <c r="H2286" s="2">
        <v>0.7</v>
      </c>
      <c r="I2286" s="2">
        <v>267.33499999999998</v>
      </c>
      <c r="J2286" s="2">
        <v>265.928</v>
      </c>
      <c r="K2286" s="15">
        <v>2.72</v>
      </c>
      <c r="L2286" s="2">
        <v>12.731999999999999</v>
      </c>
      <c r="N2286" s="7">
        <f t="shared" si="284"/>
        <v>220</v>
      </c>
      <c r="O2286" s="1">
        <f t="shared" si="280"/>
        <v>131</v>
      </c>
      <c r="P2286" s="1" t="str">
        <f t="shared" si="282"/>
        <v>220,131</v>
      </c>
      <c r="Q2286" s="6" t="s">
        <v>10</v>
      </c>
      <c r="R2286" s="1">
        <v>90</v>
      </c>
      <c r="S2286" s="1">
        <v>2.5</v>
      </c>
      <c r="T2286" s="1" t="str">
        <f t="shared" si="281"/>
        <v>-text 220,131 2.5 90 265.928</v>
      </c>
    </row>
    <row r="2287" spans="1:20" x14ac:dyDescent="0.35">
      <c r="A2287" s="1">
        <v>295740</v>
      </c>
      <c r="B2287" s="7">
        <v>1185229.2</v>
      </c>
      <c r="C2287" s="2">
        <v>268.553</v>
      </c>
      <c r="D2287" s="9">
        <v>269.36099999999999</v>
      </c>
      <c r="E2287" s="9">
        <v>0.80800000000000005</v>
      </c>
      <c r="F2287" s="2">
        <v>267.88099999999997</v>
      </c>
      <c r="G2287" s="2">
        <v>268.64800000000002</v>
      </c>
      <c r="H2287" s="2">
        <v>0.76700000000000002</v>
      </c>
      <c r="I2287" s="2">
        <v>267.43099999999998</v>
      </c>
      <c r="J2287" s="2">
        <v>265.92500000000001</v>
      </c>
      <c r="K2287" s="15">
        <v>2.7229999999999999</v>
      </c>
      <c r="L2287" s="2">
        <v>12.795</v>
      </c>
      <c r="N2287" s="7">
        <f t="shared" si="284"/>
        <v>240</v>
      </c>
      <c r="O2287" s="1">
        <f t="shared" si="280"/>
        <v>131</v>
      </c>
      <c r="P2287" s="1" t="str">
        <f t="shared" si="282"/>
        <v>240,131</v>
      </c>
      <c r="Q2287" s="6" t="s">
        <v>10</v>
      </c>
      <c r="R2287" s="1">
        <v>90</v>
      </c>
      <c r="S2287" s="1">
        <v>2.5</v>
      </c>
      <c r="T2287" s="1" t="str">
        <f t="shared" si="281"/>
        <v>-text 240,131 2.5 90 265.925</v>
      </c>
    </row>
    <row r="2288" spans="1:20" x14ac:dyDescent="0.35">
      <c r="A2288" s="1">
        <v>295760</v>
      </c>
      <c r="B2288" s="7">
        <v>1185249.1000000001</v>
      </c>
      <c r="C2288" s="2">
        <v>268.50900000000001</v>
      </c>
      <c r="D2288" s="9">
        <v>269.36099999999999</v>
      </c>
      <c r="E2288" s="9">
        <v>0.85199999999999998</v>
      </c>
      <c r="F2288" s="2">
        <v>267.83699999999999</v>
      </c>
      <c r="G2288" s="2">
        <v>268.64800000000002</v>
      </c>
      <c r="H2288" s="2">
        <v>0.81100000000000005</v>
      </c>
      <c r="I2288" s="2">
        <v>267.52600000000001</v>
      </c>
      <c r="J2288" s="2">
        <v>266.48200000000003</v>
      </c>
      <c r="K2288" s="15">
        <v>2.1659999999999999</v>
      </c>
      <c r="L2288" s="2">
        <v>12.835000000000001</v>
      </c>
      <c r="N2288" s="7">
        <f t="shared" si="284"/>
        <v>259.9000000001397</v>
      </c>
      <c r="O2288" s="1">
        <f t="shared" si="280"/>
        <v>131</v>
      </c>
      <c r="P2288" s="1" t="str">
        <f t="shared" si="282"/>
        <v>259.90000000014,131</v>
      </c>
      <c r="Q2288" s="6" t="s">
        <v>10</v>
      </c>
      <c r="R2288" s="1">
        <v>90</v>
      </c>
      <c r="S2288" s="1">
        <v>2.5</v>
      </c>
      <c r="T2288" s="1" t="str">
        <f t="shared" si="281"/>
        <v>-text 259.90000000014,131 2.5 90 266.482</v>
      </c>
    </row>
    <row r="2289" spans="1:20" x14ac:dyDescent="0.35">
      <c r="A2289" s="1">
        <v>295780</v>
      </c>
      <c r="B2289" s="7">
        <v>1185269.1000000001</v>
      </c>
      <c r="C2289" s="2">
        <v>268.55900000000003</v>
      </c>
      <c r="D2289" s="9">
        <v>269.34500000000003</v>
      </c>
      <c r="E2289" s="9">
        <v>0.78600000000000003</v>
      </c>
      <c r="F2289" s="2">
        <v>267.887</v>
      </c>
      <c r="G2289" s="2">
        <v>268.63200000000001</v>
      </c>
      <c r="H2289" s="2">
        <v>0.745</v>
      </c>
      <c r="I2289" s="2">
        <v>267.48099999999999</v>
      </c>
      <c r="J2289" s="2">
        <v>266.31200000000001</v>
      </c>
      <c r="K2289" s="15">
        <v>2.3199999999999998</v>
      </c>
      <c r="L2289" s="2">
        <v>12.788</v>
      </c>
      <c r="N2289" s="7">
        <f t="shared" si="284"/>
        <v>279.9000000001397</v>
      </c>
      <c r="O2289" s="1">
        <f t="shared" si="280"/>
        <v>131</v>
      </c>
      <c r="P2289" s="1" t="str">
        <f t="shared" si="282"/>
        <v>279.90000000014,131</v>
      </c>
      <c r="Q2289" s="6" t="s">
        <v>10</v>
      </c>
      <c r="R2289" s="1">
        <v>90</v>
      </c>
      <c r="S2289" s="1">
        <v>2.5</v>
      </c>
      <c r="T2289" s="1" t="str">
        <f t="shared" si="281"/>
        <v>-text 279.90000000014,131 2.5 90 266.312</v>
      </c>
    </row>
    <row r="2290" spans="1:20" x14ac:dyDescent="0.35">
      <c r="A2290" s="1">
        <v>295800</v>
      </c>
      <c r="B2290" s="7">
        <v>1185289.2</v>
      </c>
      <c r="C2290" s="2">
        <v>268.58999999999997</v>
      </c>
      <c r="D2290" s="9">
        <v>269.327</v>
      </c>
      <c r="E2290" s="9">
        <v>0.73699999999999999</v>
      </c>
      <c r="F2290" s="2">
        <v>267.91800000000001</v>
      </c>
      <c r="G2290" s="2">
        <v>268.61399999999998</v>
      </c>
      <c r="H2290" s="2">
        <v>0.69599999999999995</v>
      </c>
      <c r="I2290" s="2">
        <v>267.44499999999999</v>
      </c>
      <c r="J2290" s="2">
        <v>266</v>
      </c>
      <c r="K2290" s="15">
        <v>2.6139999999999999</v>
      </c>
      <c r="L2290" s="2">
        <v>12.762</v>
      </c>
      <c r="N2290" s="7">
        <f t="shared" si="284"/>
        <v>300</v>
      </c>
      <c r="O2290" s="1">
        <f t="shared" si="280"/>
        <v>131</v>
      </c>
      <c r="P2290" s="1" t="str">
        <f t="shared" si="282"/>
        <v>300,131</v>
      </c>
      <c r="Q2290" s="6" t="s">
        <v>10</v>
      </c>
      <c r="R2290" s="1">
        <v>90</v>
      </c>
      <c r="S2290" s="1">
        <v>2.5</v>
      </c>
      <c r="T2290" s="1" t="str">
        <f t="shared" si="281"/>
        <v>-text 300,131 2.5 90 266</v>
      </c>
    </row>
    <row r="2291" spans="1:20" x14ac:dyDescent="0.35">
      <c r="A2291" s="1">
        <v>295820</v>
      </c>
      <c r="B2291" s="7">
        <v>1185309.2</v>
      </c>
      <c r="C2291" s="2">
        <v>268.59899999999999</v>
      </c>
      <c r="D2291" s="9">
        <v>269.30900000000003</v>
      </c>
      <c r="E2291" s="9">
        <v>0.71</v>
      </c>
      <c r="F2291" s="2">
        <v>267.92700000000002</v>
      </c>
      <c r="G2291" s="2">
        <v>268.596</v>
      </c>
      <c r="H2291" s="2">
        <v>0.66900000000000004</v>
      </c>
      <c r="I2291" s="2">
        <v>267.54399999999998</v>
      </c>
      <c r="J2291" s="2">
        <v>266.31200000000001</v>
      </c>
      <c r="K2291" s="15">
        <v>2.2839999999999998</v>
      </c>
      <c r="L2291" s="2">
        <v>12.76</v>
      </c>
      <c r="N2291" s="7">
        <f t="shared" si="284"/>
        <v>320</v>
      </c>
      <c r="O2291" s="1">
        <f t="shared" si="280"/>
        <v>131</v>
      </c>
      <c r="P2291" s="1" t="str">
        <f t="shared" si="282"/>
        <v>320,131</v>
      </c>
      <c r="Q2291" s="6" t="s">
        <v>10</v>
      </c>
      <c r="R2291" s="1">
        <v>90</v>
      </c>
      <c r="S2291" s="1">
        <v>2.5</v>
      </c>
      <c r="T2291" s="1" t="str">
        <f t="shared" si="281"/>
        <v>-text 320,131 2.5 90 266.312</v>
      </c>
    </row>
    <row r="2292" spans="1:20" x14ac:dyDescent="0.35">
      <c r="A2292" s="1">
        <v>295840</v>
      </c>
      <c r="B2292" s="7">
        <v>1185329.2</v>
      </c>
      <c r="C2292" s="2">
        <v>268.60700000000003</v>
      </c>
      <c r="D2292" s="9">
        <v>269.291</v>
      </c>
      <c r="E2292" s="9">
        <v>0.68400000000000005</v>
      </c>
      <c r="F2292" s="2">
        <v>267.935</v>
      </c>
      <c r="G2292" s="2">
        <v>268.57799999999997</v>
      </c>
      <c r="H2292" s="2">
        <v>0.64300000000000002</v>
      </c>
      <c r="I2292" s="2">
        <v>267.56599999999997</v>
      </c>
      <c r="J2292" s="2">
        <v>266.47300000000001</v>
      </c>
      <c r="K2292" s="15">
        <v>2.105</v>
      </c>
      <c r="L2292" s="2">
        <v>12.760999999999999</v>
      </c>
      <c r="N2292" s="7">
        <f t="shared" si="284"/>
        <v>340</v>
      </c>
      <c r="O2292" s="1">
        <f t="shared" si="280"/>
        <v>131</v>
      </c>
      <c r="P2292" s="1" t="str">
        <f t="shared" si="282"/>
        <v>340,131</v>
      </c>
      <c r="Q2292" s="6" t="s">
        <v>10</v>
      </c>
      <c r="R2292" s="1">
        <v>90</v>
      </c>
      <c r="S2292" s="1">
        <v>2.5</v>
      </c>
      <c r="T2292" s="1" t="str">
        <f t="shared" si="281"/>
        <v>-text 340,131 2.5 90 266.473</v>
      </c>
    </row>
    <row r="2293" spans="1:20" x14ac:dyDescent="0.35">
      <c r="A2293" s="1">
        <v>295860</v>
      </c>
      <c r="B2293" s="7">
        <v>1185349.2</v>
      </c>
      <c r="C2293" s="2">
        <v>268.61500000000001</v>
      </c>
      <c r="D2293" s="9">
        <v>269.27300000000002</v>
      </c>
      <c r="E2293" s="9">
        <v>0.65900000000000003</v>
      </c>
      <c r="F2293" s="2">
        <v>267.94299999999998</v>
      </c>
      <c r="G2293" s="2">
        <v>268.56</v>
      </c>
      <c r="H2293" s="2">
        <v>0.61799999999999999</v>
      </c>
      <c r="I2293" s="2">
        <v>267.48700000000002</v>
      </c>
      <c r="J2293" s="2">
        <v>266.238</v>
      </c>
      <c r="K2293" s="15">
        <v>2.323</v>
      </c>
      <c r="L2293" s="2">
        <v>12.763</v>
      </c>
      <c r="N2293" s="7">
        <f t="shared" si="284"/>
        <v>360</v>
      </c>
      <c r="O2293" s="1">
        <f t="shared" si="280"/>
        <v>131</v>
      </c>
      <c r="P2293" s="1" t="str">
        <f t="shared" si="282"/>
        <v>360,131</v>
      </c>
      <c r="Q2293" s="6" t="s">
        <v>10</v>
      </c>
      <c r="R2293" s="1">
        <v>90</v>
      </c>
      <c r="S2293" s="1">
        <v>2.5</v>
      </c>
      <c r="T2293" s="1" t="str">
        <f t="shared" si="281"/>
        <v>-text 360,131 2.5 90 266.238</v>
      </c>
    </row>
    <row r="2294" spans="1:20" x14ac:dyDescent="0.35">
      <c r="A2294" s="1">
        <v>295880</v>
      </c>
      <c r="B2294" s="7">
        <v>1185369.2</v>
      </c>
      <c r="C2294" s="2">
        <v>268.61</v>
      </c>
      <c r="D2294" s="9">
        <v>269.25599999999997</v>
      </c>
      <c r="E2294" s="9">
        <v>0.64500000000000002</v>
      </c>
      <c r="F2294" s="2">
        <v>267.93799999999999</v>
      </c>
      <c r="G2294" s="2">
        <v>268.54300000000001</v>
      </c>
      <c r="H2294" s="2">
        <v>0.60399999999999998</v>
      </c>
      <c r="I2294" s="2">
        <v>267.44</v>
      </c>
      <c r="J2294" s="2">
        <v>266.14499999999998</v>
      </c>
      <c r="K2294" s="15">
        <v>2.3969999999999998</v>
      </c>
      <c r="L2294" s="2">
        <v>12.759</v>
      </c>
      <c r="N2294" s="7">
        <f t="shared" si="284"/>
        <v>380</v>
      </c>
      <c r="O2294" s="1">
        <f t="shared" si="280"/>
        <v>131</v>
      </c>
      <c r="P2294" s="1" t="str">
        <f t="shared" si="282"/>
        <v>380,131</v>
      </c>
      <c r="Q2294" s="6" t="s">
        <v>10</v>
      </c>
      <c r="R2294" s="1">
        <v>90</v>
      </c>
      <c r="S2294" s="1">
        <v>2.5</v>
      </c>
      <c r="T2294" s="1" t="str">
        <f t="shared" si="281"/>
        <v>-text 380,131 2.5 90 266.145</v>
      </c>
    </row>
    <row r="2295" spans="1:20" x14ac:dyDescent="0.35">
      <c r="A2295" s="1">
        <v>295900</v>
      </c>
      <c r="B2295" s="7">
        <v>1185389.2</v>
      </c>
      <c r="C2295" s="2">
        <v>268.608</v>
      </c>
      <c r="D2295" s="9">
        <v>269.238</v>
      </c>
      <c r="E2295" s="9">
        <v>0.629</v>
      </c>
      <c r="F2295" s="2">
        <v>267.93599999999998</v>
      </c>
      <c r="G2295" s="2">
        <v>268.52499999999998</v>
      </c>
      <c r="H2295" s="2">
        <v>0.58799999999999997</v>
      </c>
      <c r="I2295" s="2">
        <v>267.42599999999999</v>
      </c>
      <c r="J2295" s="2">
        <v>266.17099999999999</v>
      </c>
      <c r="K2295" s="15">
        <v>2.3530000000000002</v>
      </c>
      <c r="L2295" s="2">
        <v>12.754</v>
      </c>
      <c r="N2295" s="7">
        <f t="shared" si="284"/>
        <v>400</v>
      </c>
      <c r="O2295" s="1">
        <f t="shared" si="280"/>
        <v>131</v>
      </c>
      <c r="P2295" s="1" t="str">
        <f t="shared" si="282"/>
        <v>400,131</v>
      </c>
      <c r="Q2295" s="6" t="s">
        <v>10</v>
      </c>
      <c r="R2295" s="1">
        <v>90</v>
      </c>
      <c r="S2295" s="1">
        <v>2.5</v>
      </c>
      <c r="T2295" s="1" t="str">
        <f t="shared" si="281"/>
        <v>-text 400,131 2.5 90 266.171</v>
      </c>
    </row>
    <row r="2296" spans="1:20" x14ac:dyDescent="0.35">
      <c r="A2296" s="1">
        <v>295920</v>
      </c>
      <c r="B2296" s="7">
        <v>1185409.2</v>
      </c>
      <c r="C2296" s="2">
        <v>268.613</v>
      </c>
      <c r="D2296" s="9">
        <v>269.22000000000003</v>
      </c>
      <c r="E2296" s="9">
        <v>0.60699999999999998</v>
      </c>
      <c r="F2296" s="2">
        <v>267.94099999999997</v>
      </c>
      <c r="G2296" s="2">
        <v>268.50700000000001</v>
      </c>
      <c r="H2296" s="2">
        <v>0.56599999999999995</v>
      </c>
      <c r="I2296" s="2">
        <v>267.39600000000002</v>
      </c>
      <c r="J2296" s="2">
        <v>266.10899999999998</v>
      </c>
      <c r="K2296" s="15">
        <v>2.3980000000000001</v>
      </c>
      <c r="L2296" s="2">
        <v>12.743</v>
      </c>
      <c r="N2296" s="7">
        <f t="shared" si="284"/>
        <v>420</v>
      </c>
      <c r="O2296" s="1">
        <f t="shared" si="280"/>
        <v>131</v>
      </c>
      <c r="P2296" s="1" t="str">
        <f t="shared" si="282"/>
        <v>420,131</v>
      </c>
      <c r="Q2296" s="6" t="s">
        <v>10</v>
      </c>
      <c r="R2296" s="1">
        <v>90</v>
      </c>
      <c r="S2296" s="1">
        <v>2.5</v>
      </c>
      <c r="T2296" s="1" t="str">
        <f t="shared" si="281"/>
        <v>-text 420,131 2.5 90 266.109</v>
      </c>
    </row>
    <row r="2297" spans="1:20" x14ac:dyDescent="0.35">
      <c r="A2297" s="1">
        <v>295940</v>
      </c>
      <c r="B2297" s="7">
        <v>1185429.2</v>
      </c>
      <c r="C2297" s="2">
        <v>268.61</v>
      </c>
      <c r="D2297" s="9">
        <v>269.202</v>
      </c>
      <c r="E2297" s="9">
        <v>0.59199999999999997</v>
      </c>
      <c r="F2297" s="2">
        <v>267.93799999999999</v>
      </c>
      <c r="G2297" s="2">
        <v>268.48899999999998</v>
      </c>
      <c r="H2297" s="2">
        <v>0.55100000000000005</v>
      </c>
      <c r="I2297" s="2">
        <v>267.35000000000002</v>
      </c>
      <c r="J2297" s="2">
        <v>266.08800000000002</v>
      </c>
      <c r="K2297" s="15">
        <v>2.4009999999999998</v>
      </c>
      <c r="L2297" s="2">
        <v>12.747</v>
      </c>
      <c r="N2297" s="7">
        <f t="shared" si="284"/>
        <v>440</v>
      </c>
      <c r="O2297" s="1">
        <f t="shared" si="280"/>
        <v>131</v>
      </c>
      <c r="P2297" s="1" t="str">
        <f t="shared" si="282"/>
        <v>440,131</v>
      </c>
      <c r="Q2297" s="6" t="s">
        <v>10</v>
      </c>
      <c r="R2297" s="1">
        <v>90</v>
      </c>
      <c r="S2297" s="1">
        <v>2.5</v>
      </c>
      <c r="T2297" s="1" t="str">
        <f t="shared" si="281"/>
        <v>-text 440,131 2.5 90 266.088</v>
      </c>
    </row>
    <row r="2298" spans="1:20" x14ac:dyDescent="0.35">
      <c r="A2298" s="1">
        <v>295960</v>
      </c>
      <c r="B2298" s="7">
        <v>1185449.2</v>
      </c>
      <c r="C2298" s="2">
        <v>268.60599999999999</v>
      </c>
      <c r="D2298" s="9">
        <v>269.18400000000003</v>
      </c>
      <c r="E2298" s="9">
        <v>0.57799999999999996</v>
      </c>
      <c r="F2298" s="2">
        <v>267.93400000000003</v>
      </c>
      <c r="G2298" s="2">
        <v>268.471</v>
      </c>
      <c r="H2298" s="2">
        <v>0.53700000000000003</v>
      </c>
      <c r="I2298" s="2">
        <v>267.33600000000001</v>
      </c>
      <c r="J2298" s="2">
        <v>266.24400000000003</v>
      </c>
      <c r="K2298" s="15">
        <v>2.2269999999999999</v>
      </c>
      <c r="L2298" s="2">
        <v>12.76</v>
      </c>
      <c r="N2298" s="7">
        <f t="shared" si="284"/>
        <v>460</v>
      </c>
      <c r="O2298" s="1">
        <f t="shared" si="280"/>
        <v>131</v>
      </c>
      <c r="P2298" s="1" t="str">
        <f t="shared" si="282"/>
        <v>460,131</v>
      </c>
      <c r="Q2298" s="6" t="s">
        <v>10</v>
      </c>
      <c r="R2298" s="1">
        <v>90</v>
      </c>
      <c r="S2298" s="1">
        <v>2.5</v>
      </c>
      <c r="T2298" s="1" t="str">
        <f t="shared" si="281"/>
        <v>-text 460,131 2.5 90 266.244</v>
      </c>
    </row>
    <row r="2299" spans="1:20" x14ac:dyDescent="0.35">
      <c r="A2299" s="1">
        <v>295980</v>
      </c>
      <c r="B2299" s="7">
        <v>1185469.2</v>
      </c>
      <c r="C2299" s="2">
        <v>268.64600000000002</v>
      </c>
      <c r="D2299" s="9">
        <v>269.166</v>
      </c>
      <c r="E2299" s="9">
        <v>0.52</v>
      </c>
      <c r="F2299" s="2">
        <v>267.97399999999999</v>
      </c>
      <c r="G2299" s="2">
        <v>268.45299999999997</v>
      </c>
      <c r="H2299" s="2">
        <v>0.47899999999999998</v>
      </c>
      <c r="I2299" s="2">
        <v>267.41899999999998</v>
      </c>
      <c r="J2299" s="2">
        <v>266.23500000000001</v>
      </c>
      <c r="K2299" s="15">
        <v>2.218</v>
      </c>
      <c r="L2299" s="2">
        <v>12.76</v>
      </c>
      <c r="N2299" s="7">
        <f t="shared" si="284"/>
        <v>480</v>
      </c>
      <c r="O2299" s="1">
        <f t="shared" si="280"/>
        <v>131</v>
      </c>
      <c r="P2299" s="1" t="str">
        <f t="shared" si="282"/>
        <v>480,131</v>
      </c>
      <c r="Q2299" s="6" t="s">
        <v>10</v>
      </c>
      <c r="R2299" s="1">
        <v>90</v>
      </c>
      <c r="S2299" s="1">
        <v>2.5</v>
      </c>
      <c r="T2299" s="1" t="str">
        <f t="shared" si="281"/>
        <v>-text 480,131 2.5 90 266.235</v>
      </c>
    </row>
    <row r="2300" spans="1:20" x14ac:dyDescent="0.35">
      <c r="A2300" s="1">
        <v>296000</v>
      </c>
      <c r="B2300" s="7">
        <v>1185489.2</v>
      </c>
      <c r="C2300" s="2">
        <v>268.63799999999998</v>
      </c>
      <c r="D2300" s="9">
        <v>269.14800000000002</v>
      </c>
      <c r="E2300" s="9">
        <v>0.51100000000000001</v>
      </c>
      <c r="F2300" s="2">
        <v>267.96600000000001</v>
      </c>
      <c r="G2300" s="2">
        <v>268.435</v>
      </c>
      <c r="H2300" s="2">
        <v>0.47</v>
      </c>
      <c r="I2300" s="2">
        <v>267.42500000000001</v>
      </c>
      <c r="J2300" s="2">
        <v>266.18599999999998</v>
      </c>
      <c r="K2300" s="15">
        <v>2.2490000000000001</v>
      </c>
      <c r="L2300" s="2">
        <v>12.760999999999999</v>
      </c>
      <c r="N2300" s="7">
        <f>N2297+(B2300-B2297)</f>
        <v>500</v>
      </c>
      <c r="O2300" s="1">
        <f t="shared" si="280"/>
        <v>131</v>
      </c>
      <c r="P2300" s="1" t="str">
        <f t="shared" ref="P2300" si="285">CONCATENATE(N2300,",",O2300)</f>
        <v>500,131</v>
      </c>
      <c r="Q2300" s="6" t="s">
        <v>10</v>
      </c>
      <c r="R2300" s="1">
        <v>90</v>
      </c>
      <c r="S2300" s="1">
        <v>2.5</v>
      </c>
      <c r="T2300" s="1" t="str">
        <f t="shared" si="281"/>
        <v>-text 500,131 2.5 90 266.186</v>
      </c>
    </row>
    <row r="2301" spans="1:20" s="10" customFormat="1" x14ac:dyDescent="0.35">
      <c r="B2301" s="11"/>
      <c r="C2301" s="9"/>
      <c r="D2301" s="9"/>
      <c r="E2301" s="9"/>
      <c r="F2301" s="9"/>
      <c r="G2301" s="9"/>
      <c r="H2301" s="9"/>
      <c r="I2301" s="9"/>
      <c r="J2301" s="9"/>
      <c r="K2301" s="16"/>
      <c r="L2301" s="9"/>
      <c r="M2301" s="9"/>
      <c r="N2301" s="11"/>
      <c r="Q2301" s="12"/>
    </row>
    <row r="2302" spans="1:20" x14ac:dyDescent="0.35">
      <c r="A2302" s="1">
        <v>296000</v>
      </c>
      <c r="B2302" s="7">
        <v>1185489.2</v>
      </c>
      <c r="C2302" s="2">
        <v>268.63799999999998</v>
      </c>
      <c r="D2302" s="9">
        <v>269.14800000000002</v>
      </c>
      <c r="E2302" s="9">
        <v>0.51100000000000001</v>
      </c>
      <c r="F2302" s="2">
        <v>267.96600000000001</v>
      </c>
      <c r="G2302" s="2">
        <v>268.435</v>
      </c>
      <c r="H2302" s="2">
        <v>0.47</v>
      </c>
      <c r="I2302" s="2">
        <v>267.42500000000001</v>
      </c>
      <c r="J2302" s="2">
        <v>266.18599999999998</v>
      </c>
      <c r="K2302" s="15">
        <v>2.2490000000000001</v>
      </c>
      <c r="L2302" s="2">
        <v>12.760999999999999</v>
      </c>
      <c r="N2302" s="7">
        <v>0</v>
      </c>
      <c r="O2302" s="1">
        <f t="shared" si="280"/>
        <v>131</v>
      </c>
      <c r="P2302" s="1" t="str">
        <f t="shared" si="282"/>
        <v>0,131</v>
      </c>
      <c r="Q2302" s="6" t="s">
        <v>10</v>
      </c>
      <c r="R2302" s="1">
        <v>90</v>
      </c>
      <c r="S2302" s="1">
        <v>2.5</v>
      </c>
      <c r="T2302" s="1" t="str">
        <f t="shared" si="281"/>
        <v>-text 0,131 2.5 90 266.186</v>
      </c>
    </row>
    <row r="2303" spans="1:20" x14ac:dyDescent="0.35">
      <c r="A2303" s="1">
        <v>296020</v>
      </c>
      <c r="B2303" s="7">
        <v>1185509.2</v>
      </c>
      <c r="C2303" s="2">
        <v>268.601</v>
      </c>
      <c r="D2303" s="9">
        <v>269.13099999999997</v>
      </c>
      <c r="E2303" s="9">
        <v>0.53</v>
      </c>
      <c r="F2303" s="2">
        <v>267.92899999999997</v>
      </c>
      <c r="G2303" s="2">
        <v>268.41800000000001</v>
      </c>
      <c r="H2303" s="2">
        <v>0.48899999999999999</v>
      </c>
      <c r="I2303" s="2">
        <v>267.35199999999998</v>
      </c>
      <c r="J2303" s="2">
        <v>266.27600000000001</v>
      </c>
      <c r="K2303" s="15">
        <v>2.141</v>
      </c>
      <c r="L2303" s="2">
        <v>12.763999999999999</v>
      </c>
      <c r="N2303" s="7">
        <f t="shared" ref="N2303:N2326" si="286">N2302+(B2303-B2302)</f>
        <v>20</v>
      </c>
      <c r="O2303" s="1">
        <f t="shared" si="280"/>
        <v>131</v>
      </c>
      <c r="P2303" s="1" t="str">
        <f t="shared" si="282"/>
        <v>20,131</v>
      </c>
      <c r="Q2303" s="6" t="s">
        <v>10</v>
      </c>
      <c r="R2303" s="1">
        <v>90</v>
      </c>
      <c r="S2303" s="1">
        <v>2.5</v>
      </c>
      <c r="T2303" s="1" t="str">
        <f t="shared" si="281"/>
        <v>-text 20,131 2.5 90 266.276</v>
      </c>
    </row>
    <row r="2304" spans="1:20" x14ac:dyDescent="0.35">
      <c r="A2304" s="1">
        <v>296040</v>
      </c>
      <c r="B2304" s="7">
        <v>1185529.2</v>
      </c>
      <c r="C2304" s="2">
        <v>268.56299999999999</v>
      </c>
      <c r="D2304" s="9">
        <v>269.113</v>
      </c>
      <c r="E2304" s="9">
        <v>0.54900000000000004</v>
      </c>
      <c r="F2304" s="2">
        <v>267.89100000000002</v>
      </c>
      <c r="G2304" s="2">
        <v>268.39999999999998</v>
      </c>
      <c r="H2304" s="2">
        <v>0.50800000000000001</v>
      </c>
      <c r="I2304" s="2">
        <v>267.29899999999998</v>
      </c>
      <c r="J2304" s="2">
        <v>266.25900000000001</v>
      </c>
      <c r="K2304" s="15">
        <v>2.141</v>
      </c>
      <c r="L2304" s="2">
        <v>12.766999999999999</v>
      </c>
      <c r="N2304" s="7">
        <f t="shared" si="286"/>
        <v>40</v>
      </c>
      <c r="O2304" s="1">
        <f t="shared" si="280"/>
        <v>131</v>
      </c>
      <c r="P2304" s="1" t="str">
        <f t="shared" si="282"/>
        <v>40,131</v>
      </c>
      <c r="Q2304" s="6" t="s">
        <v>10</v>
      </c>
      <c r="R2304" s="1">
        <v>90</v>
      </c>
      <c r="S2304" s="1">
        <v>2.5</v>
      </c>
      <c r="T2304" s="1" t="str">
        <f t="shared" si="281"/>
        <v>-text 40,131 2.5 90 266.259</v>
      </c>
    </row>
    <row r="2305" spans="1:20" x14ac:dyDescent="0.35">
      <c r="A2305" s="1">
        <v>296060</v>
      </c>
      <c r="B2305" s="7">
        <v>1185549.2</v>
      </c>
      <c r="C2305" s="2">
        <v>268.52600000000001</v>
      </c>
      <c r="D2305" s="9">
        <v>269.09500000000003</v>
      </c>
      <c r="E2305" s="9">
        <v>0.56799999999999995</v>
      </c>
      <c r="F2305" s="2">
        <v>267.85399999999998</v>
      </c>
      <c r="G2305" s="2">
        <v>268.38200000000001</v>
      </c>
      <c r="H2305" s="2">
        <v>0.52700000000000002</v>
      </c>
      <c r="I2305" s="2">
        <v>267.32400000000001</v>
      </c>
      <c r="J2305" s="2">
        <v>266.21699999999998</v>
      </c>
      <c r="K2305" s="15">
        <v>2.1640000000000001</v>
      </c>
      <c r="L2305" s="2">
        <v>12.771000000000001</v>
      </c>
      <c r="N2305" s="7">
        <f t="shared" si="286"/>
        <v>60</v>
      </c>
      <c r="O2305" s="1">
        <f t="shared" si="280"/>
        <v>131</v>
      </c>
      <c r="P2305" s="1" t="str">
        <f t="shared" si="282"/>
        <v>60,131</v>
      </c>
      <c r="Q2305" s="6" t="s">
        <v>10</v>
      </c>
      <c r="R2305" s="1">
        <v>90</v>
      </c>
      <c r="S2305" s="1">
        <v>2.5</v>
      </c>
      <c r="T2305" s="1" t="str">
        <f t="shared" si="281"/>
        <v>-text 60,131 2.5 90 266.217</v>
      </c>
    </row>
    <row r="2306" spans="1:20" x14ac:dyDescent="0.35">
      <c r="A2306" s="1">
        <v>296080</v>
      </c>
      <c r="B2306" s="7">
        <v>1185569.2</v>
      </c>
      <c r="C2306" s="2">
        <v>268.52499999999998</v>
      </c>
      <c r="D2306" s="9">
        <v>269.077</v>
      </c>
      <c r="E2306" s="9">
        <v>0.55200000000000005</v>
      </c>
      <c r="F2306" s="2">
        <v>267.85300000000001</v>
      </c>
      <c r="G2306" s="2">
        <v>268.36399999999998</v>
      </c>
      <c r="H2306" s="2">
        <v>0.51100000000000001</v>
      </c>
      <c r="I2306" s="2">
        <v>267.291</v>
      </c>
      <c r="J2306" s="2">
        <v>266.32799999999997</v>
      </c>
      <c r="K2306" s="15">
        <v>2.036</v>
      </c>
      <c r="L2306" s="2">
        <v>12.750999999999999</v>
      </c>
      <c r="N2306" s="7">
        <f t="shared" si="286"/>
        <v>80</v>
      </c>
      <c r="O2306" s="1">
        <f t="shared" si="280"/>
        <v>131</v>
      </c>
      <c r="P2306" s="1" t="str">
        <f t="shared" si="282"/>
        <v>80,131</v>
      </c>
      <c r="Q2306" s="6" t="s">
        <v>10</v>
      </c>
      <c r="R2306" s="1">
        <v>90</v>
      </c>
      <c r="S2306" s="1">
        <v>2.5</v>
      </c>
      <c r="T2306" s="1" t="str">
        <f t="shared" si="281"/>
        <v>-text 80,131 2.5 90 266.328</v>
      </c>
    </row>
    <row r="2307" spans="1:20" x14ac:dyDescent="0.35">
      <c r="A2307" s="1">
        <v>296100</v>
      </c>
      <c r="B2307" s="7">
        <v>1185589.2</v>
      </c>
      <c r="C2307" s="2">
        <v>268.53300000000002</v>
      </c>
      <c r="D2307" s="9">
        <v>269.05900000000003</v>
      </c>
      <c r="E2307" s="9">
        <v>0.52600000000000002</v>
      </c>
      <c r="F2307" s="2">
        <v>267.86099999999999</v>
      </c>
      <c r="G2307" s="2">
        <v>268.346</v>
      </c>
      <c r="H2307" s="2">
        <v>0.48499999999999999</v>
      </c>
      <c r="I2307" s="2">
        <v>267.23899999999998</v>
      </c>
      <c r="J2307" s="2">
        <v>266.43099999999998</v>
      </c>
      <c r="K2307" s="15">
        <v>1.915</v>
      </c>
      <c r="L2307" s="2">
        <v>12.738</v>
      </c>
      <c r="N2307" s="7">
        <f t="shared" si="286"/>
        <v>100</v>
      </c>
      <c r="O2307" s="1">
        <f t="shared" si="280"/>
        <v>131</v>
      </c>
      <c r="P2307" s="1" t="str">
        <f t="shared" si="282"/>
        <v>100,131</v>
      </c>
      <c r="Q2307" s="6" t="s">
        <v>10</v>
      </c>
      <c r="R2307" s="1">
        <v>90</v>
      </c>
      <c r="S2307" s="1">
        <v>2.5</v>
      </c>
      <c r="T2307" s="1" t="str">
        <f t="shared" si="281"/>
        <v>-text 100,131 2.5 90 266.431</v>
      </c>
    </row>
    <row r="2308" spans="1:20" x14ac:dyDescent="0.35">
      <c r="A2308" s="1">
        <v>296120</v>
      </c>
      <c r="B2308" s="7">
        <v>1185609.2</v>
      </c>
      <c r="C2308" s="2">
        <v>268.54300000000001</v>
      </c>
      <c r="D2308" s="9">
        <v>269.041</v>
      </c>
      <c r="E2308" s="9">
        <v>0.499</v>
      </c>
      <c r="F2308" s="2">
        <v>267.87099999999998</v>
      </c>
      <c r="G2308" s="2">
        <v>268.32799999999997</v>
      </c>
      <c r="H2308" s="2">
        <v>0.45800000000000002</v>
      </c>
      <c r="I2308" s="2">
        <v>267.30099999999999</v>
      </c>
      <c r="J2308" s="2">
        <v>266.44900000000001</v>
      </c>
      <c r="K2308" s="15">
        <v>1.879</v>
      </c>
      <c r="L2308" s="2">
        <v>12.74</v>
      </c>
      <c r="N2308" s="7">
        <f t="shared" si="286"/>
        <v>120</v>
      </c>
      <c r="O2308" s="1">
        <f t="shared" si="280"/>
        <v>131</v>
      </c>
      <c r="P2308" s="1" t="str">
        <f t="shared" si="282"/>
        <v>120,131</v>
      </c>
      <c r="Q2308" s="6" t="s">
        <v>10</v>
      </c>
      <c r="R2308" s="1">
        <v>90</v>
      </c>
      <c r="S2308" s="1">
        <v>2.5</v>
      </c>
      <c r="T2308" s="1" t="str">
        <f t="shared" si="281"/>
        <v>-text 120,131 2.5 90 266.449</v>
      </c>
    </row>
    <row r="2309" spans="1:20" x14ac:dyDescent="0.35">
      <c r="A2309" s="1">
        <v>296140</v>
      </c>
      <c r="B2309" s="7">
        <v>1185629.2</v>
      </c>
      <c r="C2309" s="2">
        <v>268.55</v>
      </c>
      <c r="D2309" s="9">
        <v>269.02300000000002</v>
      </c>
      <c r="E2309" s="9">
        <v>0.47399999999999998</v>
      </c>
      <c r="F2309" s="2">
        <v>267.87799999999999</v>
      </c>
      <c r="G2309" s="2">
        <v>268.31</v>
      </c>
      <c r="H2309" s="2">
        <v>0.433</v>
      </c>
      <c r="I2309" s="2">
        <v>267.33999999999997</v>
      </c>
      <c r="J2309" s="2">
        <v>266.49099999999999</v>
      </c>
      <c r="K2309" s="15">
        <v>1.82</v>
      </c>
      <c r="L2309" s="2">
        <v>12.738</v>
      </c>
      <c r="N2309" s="7">
        <f t="shared" si="286"/>
        <v>140</v>
      </c>
      <c r="O2309" s="1">
        <f t="shared" si="280"/>
        <v>131</v>
      </c>
      <c r="P2309" s="1" t="str">
        <f t="shared" si="282"/>
        <v>140,131</v>
      </c>
      <c r="Q2309" s="6" t="s">
        <v>10</v>
      </c>
      <c r="R2309" s="1">
        <v>90</v>
      </c>
      <c r="S2309" s="1">
        <v>2.5</v>
      </c>
      <c r="T2309" s="1" t="str">
        <f t="shared" si="281"/>
        <v>-text 140,131 2.5 90 266.491</v>
      </c>
    </row>
    <row r="2310" spans="1:20" x14ac:dyDescent="0.35">
      <c r="A2310" s="1">
        <v>296160</v>
      </c>
      <c r="B2310" s="7">
        <v>1185649.2</v>
      </c>
      <c r="C2310" s="2">
        <v>268.553</v>
      </c>
      <c r="D2310" s="9">
        <v>269.00599999999997</v>
      </c>
      <c r="E2310" s="9">
        <v>0.45200000000000001</v>
      </c>
      <c r="F2310" s="2">
        <v>267.88099999999997</v>
      </c>
      <c r="G2310" s="2">
        <v>268.29300000000001</v>
      </c>
      <c r="H2310" s="2">
        <v>0.41099999999999998</v>
      </c>
      <c r="I2310" s="2">
        <v>267.33699999999999</v>
      </c>
      <c r="J2310" s="2">
        <v>266.47500000000002</v>
      </c>
      <c r="K2310" s="15">
        <v>1.8180000000000001</v>
      </c>
      <c r="L2310" s="2">
        <v>12.728</v>
      </c>
      <c r="N2310" s="7">
        <f t="shared" si="286"/>
        <v>160</v>
      </c>
      <c r="O2310" s="1">
        <f t="shared" si="280"/>
        <v>131</v>
      </c>
      <c r="P2310" s="1" t="str">
        <f t="shared" si="282"/>
        <v>160,131</v>
      </c>
      <c r="Q2310" s="6" t="s">
        <v>10</v>
      </c>
      <c r="R2310" s="1">
        <v>90</v>
      </c>
      <c r="S2310" s="1">
        <v>2.5</v>
      </c>
      <c r="T2310" s="1" t="str">
        <f t="shared" si="281"/>
        <v>-text 160,131 2.5 90 266.475</v>
      </c>
    </row>
    <row r="2311" spans="1:20" x14ac:dyDescent="0.35">
      <c r="A2311" s="1">
        <v>296180</v>
      </c>
      <c r="B2311" s="7">
        <v>1185669.2</v>
      </c>
      <c r="C2311" s="2">
        <v>268.57</v>
      </c>
      <c r="D2311" s="9">
        <v>268.988</v>
      </c>
      <c r="E2311" s="9">
        <v>0.41799999999999998</v>
      </c>
      <c r="F2311" s="2">
        <v>267.89800000000002</v>
      </c>
      <c r="G2311" s="2">
        <v>268.27499999999998</v>
      </c>
      <c r="H2311" s="2">
        <v>0.377</v>
      </c>
      <c r="I2311" s="2">
        <v>267.41399999999999</v>
      </c>
      <c r="J2311" s="2">
        <v>266.56299999999999</v>
      </c>
      <c r="K2311" s="15">
        <v>1.712</v>
      </c>
      <c r="L2311" s="2">
        <v>12.718999999999999</v>
      </c>
      <c r="N2311" s="7">
        <f t="shared" si="286"/>
        <v>180</v>
      </c>
      <c r="O2311" s="1">
        <f t="shared" si="280"/>
        <v>131</v>
      </c>
      <c r="P2311" s="1" t="str">
        <f t="shared" si="282"/>
        <v>180,131</v>
      </c>
      <c r="Q2311" s="6" t="s">
        <v>10</v>
      </c>
      <c r="R2311" s="1">
        <v>90</v>
      </c>
      <c r="S2311" s="1">
        <v>2.5</v>
      </c>
      <c r="T2311" s="1" t="str">
        <f t="shared" si="281"/>
        <v>-text 180,131 2.5 90 266.563</v>
      </c>
    </row>
    <row r="2312" spans="1:20" x14ac:dyDescent="0.35">
      <c r="A2312" s="1">
        <v>296200</v>
      </c>
      <c r="B2312" s="7">
        <v>1185689.2</v>
      </c>
      <c r="C2312" s="2">
        <v>268.596</v>
      </c>
      <c r="D2312" s="9">
        <v>268.97000000000003</v>
      </c>
      <c r="E2312" s="9">
        <v>0.374</v>
      </c>
      <c r="F2312" s="2">
        <v>267.92399999999998</v>
      </c>
      <c r="G2312" s="2">
        <v>268.25700000000001</v>
      </c>
      <c r="H2312" s="2">
        <v>0.33300000000000002</v>
      </c>
      <c r="I2312" s="2">
        <v>267.55799999999999</v>
      </c>
      <c r="J2312" s="2">
        <v>266.642</v>
      </c>
      <c r="K2312" s="15">
        <v>1.615</v>
      </c>
      <c r="L2312" s="2">
        <v>12.712</v>
      </c>
      <c r="N2312" s="7">
        <f t="shared" si="286"/>
        <v>200</v>
      </c>
      <c r="O2312" s="1">
        <f t="shared" si="280"/>
        <v>131</v>
      </c>
      <c r="P2312" s="1" t="str">
        <f t="shared" si="282"/>
        <v>200,131</v>
      </c>
      <c r="Q2312" s="6" t="s">
        <v>10</v>
      </c>
      <c r="R2312" s="1">
        <v>90</v>
      </c>
      <c r="S2312" s="1">
        <v>2.5</v>
      </c>
      <c r="T2312" s="1" t="str">
        <f t="shared" si="281"/>
        <v>-text 200,131 2.5 90 266.642</v>
      </c>
    </row>
    <row r="2313" spans="1:20" x14ac:dyDescent="0.35">
      <c r="A2313" s="1">
        <v>296220</v>
      </c>
      <c r="B2313" s="7">
        <v>1185709.2</v>
      </c>
      <c r="C2313" s="2">
        <v>268.59399999999999</v>
      </c>
      <c r="D2313" s="9">
        <v>268.952</v>
      </c>
      <c r="E2313" s="9">
        <v>0.35799999999999998</v>
      </c>
      <c r="F2313" s="2">
        <v>267.92200000000003</v>
      </c>
      <c r="G2313" s="2">
        <v>268.23899999999998</v>
      </c>
      <c r="H2313" s="2">
        <v>0.317</v>
      </c>
      <c r="I2313" s="2">
        <v>267.57299999999998</v>
      </c>
      <c r="J2313" s="2">
        <v>266.64600000000002</v>
      </c>
      <c r="K2313" s="15">
        <v>1.593</v>
      </c>
      <c r="L2313" s="2">
        <v>12.706</v>
      </c>
      <c r="N2313" s="7">
        <f t="shared" si="286"/>
        <v>220</v>
      </c>
      <c r="O2313" s="1">
        <f t="shared" si="280"/>
        <v>131</v>
      </c>
      <c r="P2313" s="1" t="str">
        <f t="shared" si="282"/>
        <v>220,131</v>
      </c>
      <c r="Q2313" s="6" t="s">
        <v>10</v>
      </c>
      <c r="R2313" s="1">
        <v>90</v>
      </c>
      <c r="S2313" s="1">
        <v>2.5</v>
      </c>
      <c r="T2313" s="1" t="str">
        <f t="shared" si="281"/>
        <v>-text 220,131 2.5 90 266.646</v>
      </c>
    </row>
    <row r="2314" spans="1:20" x14ac:dyDescent="0.35">
      <c r="A2314" s="1">
        <v>296240</v>
      </c>
      <c r="B2314" s="7">
        <v>1185729.3</v>
      </c>
      <c r="C2314" s="2">
        <v>268.58199999999999</v>
      </c>
      <c r="D2314" s="9">
        <v>268.93400000000003</v>
      </c>
      <c r="E2314" s="9">
        <v>0.35199999999999998</v>
      </c>
      <c r="F2314" s="2">
        <v>267.91000000000003</v>
      </c>
      <c r="G2314" s="2">
        <v>268.221</v>
      </c>
      <c r="H2314" s="2">
        <v>0.311</v>
      </c>
      <c r="I2314" s="2">
        <v>267.50799999999998</v>
      </c>
      <c r="J2314" s="2">
        <v>266.64600000000002</v>
      </c>
      <c r="K2314" s="15">
        <v>1.575</v>
      </c>
      <c r="L2314" s="2">
        <v>12.71</v>
      </c>
      <c r="N2314" s="7">
        <f t="shared" si="286"/>
        <v>240.10000000009313</v>
      </c>
      <c r="O2314" s="1">
        <f t="shared" si="280"/>
        <v>131</v>
      </c>
      <c r="P2314" s="1" t="str">
        <f t="shared" si="282"/>
        <v>240.100000000093,131</v>
      </c>
      <c r="Q2314" s="6" t="s">
        <v>10</v>
      </c>
      <c r="R2314" s="1">
        <v>90</v>
      </c>
      <c r="S2314" s="1">
        <v>2.5</v>
      </c>
      <c r="T2314" s="1" t="str">
        <f t="shared" si="281"/>
        <v>-text 240.100000000093,131 2.5 90 266.646</v>
      </c>
    </row>
    <row r="2315" spans="1:20" x14ac:dyDescent="0.35">
      <c r="A2315" s="1">
        <v>296260</v>
      </c>
      <c r="B2315" s="7">
        <v>1185749.3</v>
      </c>
      <c r="C2315" s="2">
        <v>268.54399999999998</v>
      </c>
      <c r="D2315" s="9">
        <v>268.916</v>
      </c>
      <c r="E2315" s="9">
        <v>0.372</v>
      </c>
      <c r="F2315" s="2">
        <v>267.87200000000001</v>
      </c>
      <c r="G2315" s="2">
        <v>268.20299999999997</v>
      </c>
      <c r="H2315" s="2">
        <v>0.33100000000000002</v>
      </c>
      <c r="I2315" s="2">
        <v>267.57799999999997</v>
      </c>
      <c r="J2315" s="2">
        <v>266.73500000000001</v>
      </c>
      <c r="K2315" s="15">
        <v>1.468</v>
      </c>
      <c r="L2315" s="2">
        <v>12.835000000000001</v>
      </c>
      <c r="N2315" s="7">
        <f t="shared" si="286"/>
        <v>260.10000000009313</v>
      </c>
      <c r="O2315" s="1">
        <f t="shared" si="280"/>
        <v>131</v>
      </c>
      <c r="P2315" s="1" t="str">
        <f t="shared" si="282"/>
        <v>260.100000000093,131</v>
      </c>
      <c r="Q2315" s="6" t="s">
        <v>10</v>
      </c>
      <c r="R2315" s="1">
        <v>90</v>
      </c>
      <c r="S2315" s="1">
        <v>2.5</v>
      </c>
      <c r="T2315" s="1" t="str">
        <f t="shared" si="281"/>
        <v>-text 260.100000000093,131 2.5 90 266.735</v>
      </c>
    </row>
    <row r="2316" spans="1:20" x14ac:dyDescent="0.35">
      <c r="A2316" s="1">
        <v>296280</v>
      </c>
      <c r="B2316" s="7">
        <v>1185769.2</v>
      </c>
      <c r="C2316" s="2">
        <v>268.52199999999999</v>
      </c>
      <c r="D2316" s="9">
        <v>268.89800000000002</v>
      </c>
      <c r="E2316" s="9">
        <v>0.376</v>
      </c>
      <c r="F2316" s="2">
        <v>267.85000000000002</v>
      </c>
      <c r="G2316" s="2">
        <v>268.185</v>
      </c>
      <c r="H2316" s="2">
        <v>0.33500000000000002</v>
      </c>
      <c r="I2316" s="2">
        <v>267.75700000000001</v>
      </c>
      <c r="J2316" s="2">
        <v>266.92500000000001</v>
      </c>
      <c r="K2316" s="15">
        <v>1.26</v>
      </c>
      <c r="L2316" s="2">
        <v>12.891999999999999</v>
      </c>
      <c r="N2316" s="7">
        <f t="shared" si="286"/>
        <v>280</v>
      </c>
      <c r="O2316" s="1">
        <f t="shared" si="280"/>
        <v>131</v>
      </c>
      <c r="P2316" s="1" t="str">
        <f t="shared" si="282"/>
        <v>280,131</v>
      </c>
      <c r="Q2316" s="6" t="s">
        <v>10</v>
      </c>
      <c r="R2316" s="1">
        <v>90</v>
      </c>
      <c r="S2316" s="1">
        <v>2.5</v>
      </c>
      <c r="T2316" s="1" t="str">
        <f t="shared" si="281"/>
        <v>-text 280,131 2.5 90 266.925</v>
      </c>
    </row>
    <row r="2317" spans="1:20" x14ac:dyDescent="0.35">
      <c r="A2317" s="1">
        <v>296300</v>
      </c>
      <c r="B2317" s="7">
        <v>1185789.2</v>
      </c>
      <c r="C2317" s="2">
        <v>268.51900000000001</v>
      </c>
      <c r="D2317" s="9">
        <v>268.88</v>
      </c>
      <c r="E2317" s="9">
        <v>0.36199999999999999</v>
      </c>
      <c r="F2317" s="2">
        <v>267.84699999999998</v>
      </c>
      <c r="G2317" s="2">
        <v>268.16699999999997</v>
      </c>
      <c r="H2317" s="2">
        <v>0.32100000000000001</v>
      </c>
      <c r="I2317" s="2">
        <v>267.64600000000002</v>
      </c>
      <c r="J2317" s="2">
        <v>266.92399999999998</v>
      </c>
      <c r="K2317" s="15">
        <v>1.2430000000000001</v>
      </c>
      <c r="L2317" s="2">
        <v>12.878</v>
      </c>
      <c r="N2317" s="7">
        <f t="shared" si="286"/>
        <v>300</v>
      </c>
      <c r="O2317" s="1">
        <f t="shared" si="280"/>
        <v>131</v>
      </c>
      <c r="P2317" s="1" t="str">
        <f t="shared" si="282"/>
        <v>300,131</v>
      </c>
      <c r="Q2317" s="6" t="s">
        <v>10</v>
      </c>
      <c r="R2317" s="1">
        <v>90</v>
      </c>
      <c r="S2317" s="1">
        <v>2.5</v>
      </c>
      <c r="T2317" s="1" t="str">
        <f t="shared" si="281"/>
        <v>-text 300,131 2.5 90 266.924</v>
      </c>
    </row>
    <row r="2318" spans="1:20" x14ac:dyDescent="0.35">
      <c r="A2318" s="1">
        <v>296320</v>
      </c>
      <c r="B2318" s="7">
        <v>1185809.2</v>
      </c>
      <c r="C2318" s="2">
        <v>268.50099999999998</v>
      </c>
      <c r="D2318" s="9">
        <v>268.863</v>
      </c>
      <c r="E2318" s="9">
        <v>0.36099999999999999</v>
      </c>
      <c r="F2318" s="2">
        <v>267.82900000000001</v>
      </c>
      <c r="G2318" s="2">
        <v>268.14999999999998</v>
      </c>
      <c r="H2318" s="2">
        <v>0.32</v>
      </c>
      <c r="I2318" s="2">
        <v>267.61</v>
      </c>
      <c r="J2318" s="2">
        <v>266.88600000000002</v>
      </c>
      <c r="K2318" s="15">
        <v>1.264</v>
      </c>
      <c r="L2318" s="2">
        <v>12.863</v>
      </c>
      <c r="N2318" s="7">
        <f t="shared" si="286"/>
        <v>320</v>
      </c>
      <c r="O2318" s="1">
        <f t="shared" si="280"/>
        <v>131</v>
      </c>
      <c r="P2318" s="1" t="str">
        <f t="shared" si="282"/>
        <v>320,131</v>
      </c>
      <c r="Q2318" s="6" t="s">
        <v>10</v>
      </c>
      <c r="R2318" s="1">
        <v>90</v>
      </c>
      <c r="S2318" s="1">
        <v>2.5</v>
      </c>
      <c r="T2318" s="1" t="str">
        <f t="shared" si="281"/>
        <v>-text 320,131 2.5 90 266.886</v>
      </c>
    </row>
    <row r="2319" spans="1:20" x14ac:dyDescent="0.35">
      <c r="A2319" s="1">
        <v>296340</v>
      </c>
      <c r="B2319" s="7">
        <v>1185829.2</v>
      </c>
      <c r="C2319" s="2">
        <v>268.47899999999998</v>
      </c>
      <c r="D2319" s="9">
        <v>268.84500000000003</v>
      </c>
      <c r="E2319" s="9">
        <v>0.36599999999999999</v>
      </c>
      <c r="F2319" s="2">
        <v>267.80700000000002</v>
      </c>
      <c r="G2319" s="2">
        <v>268.13200000000001</v>
      </c>
      <c r="H2319" s="2">
        <v>0.32500000000000001</v>
      </c>
      <c r="I2319" s="2">
        <v>267.61700000000002</v>
      </c>
      <c r="J2319" s="2">
        <v>266.93599999999998</v>
      </c>
      <c r="K2319" s="15">
        <v>1.196</v>
      </c>
      <c r="L2319" s="2">
        <v>12.848000000000001</v>
      </c>
      <c r="N2319" s="7">
        <f t="shared" si="286"/>
        <v>340</v>
      </c>
      <c r="O2319" s="1">
        <f t="shared" si="280"/>
        <v>131</v>
      </c>
      <c r="P2319" s="1" t="str">
        <f t="shared" si="282"/>
        <v>340,131</v>
      </c>
      <c r="Q2319" s="6" t="s">
        <v>10</v>
      </c>
      <c r="R2319" s="1">
        <v>90</v>
      </c>
      <c r="S2319" s="1">
        <v>2.5</v>
      </c>
      <c r="T2319" s="1" t="str">
        <f t="shared" si="281"/>
        <v>-text 340,131 2.5 90 266.936</v>
      </c>
    </row>
    <row r="2320" spans="1:20" x14ac:dyDescent="0.35">
      <c r="A2320" s="1">
        <v>296360</v>
      </c>
      <c r="B2320" s="7">
        <v>1185849.2</v>
      </c>
      <c r="C2320" s="2">
        <v>268.45499999999998</v>
      </c>
      <c r="D2320" s="9">
        <v>268.827</v>
      </c>
      <c r="E2320" s="9">
        <v>0.371</v>
      </c>
      <c r="F2320" s="2">
        <v>267.78300000000002</v>
      </c>
      <c r="G2320" s="2">
        <v>268.11399999999998</v>
      </c>
      <c r="H2320" s="2">
        <v>0.33</v>
      </c>
      <c r="I2320" s="2">
        <v>267.59399999999999</v>
      </c>
      <c r="J2320" s="2">
        <v>267.00799999999998</v>
      </c>
      <c r="K2320" s="15">
        <v>1.1060000000000001</v>
      </c>
      <c r="L2320" s="2">
        <v>12.83</v>
      </c>
      <c r="N2320" s="7">
        <f t="shared" si="286"/>
        <v>360</v>
      </c>
      <c r="O2320" s="1">
        <f t="shared" si="280"/>
        <v>131</v>
      </c>
      <c r="P2320" s="1" t="str">
        <f t="shared" si="282"/>
        <v>360,131</v>
      </c>
      <c r="Q2320" s="6" t="s">
        <v>10</v>
      </c>
      <c r="R2320" s="1">
        <v>90</v>
      </c>
      <c r="S2320" s="1">
        <v>2.5</v>
      </c>
      <c r="T2320" s="1" t="str">
        <f t="shared" si="281"/>
        <v>-text 360,131 2.5 90 267.008</v>
      </c>
    </row>
    <row r="2321" spans="1:20" x14ac:dyDescent="0.35">
      <c r="A2321" s="1">
        <v>296380</v>
      </c>
      <c r="B2321" s="7">
        <v>1185869.2</v>
      </c>
      <c r="C2321" s="2">
        <v>268.43299999999999</v>
      </c>
      <c r="D2321" s="9">
        <v>268.80900000000003</v>
      </c>
      <c r="E2321" s="9">
        <v>0.376</v>
      </c>
      <c r="F2321" s="2">
        <v>267.76100000000002</v>
      </c>
      <c r="G2321" s="2">
        <v>268.096</v>
      </c>
      <c r="H2321" s="2">
        <v>0.33500000000000002</v>
      </c>
      <c r="I2321" s="2">
        <v>267.56</v>
      </c>
      <c r="J2321" s="2">
        <v>267.11</v>
      </c>
      <c r="K2321" s="15">
        <v>0.98599999999999999</v>
      </c>
      <c r="L2321" s="2">
        <v>12.813000000000001</v>
      </c>
      <c r="N2321" s="7">
        <f t="shared" si="286"/>
        <v>380</v>
      </c>
      <c r="O2321" s="1">
        <f t="shared" si="280"/>
        <v>131</v>
      </c>
      <c r="P2321" s="1" t="str">
        <f t="shared" si="282"/>
        <v>380,131</v>
      </c>
      <c r="Q2321" s="6" t="s">
        <v>10</v>
      </c>
      <c r="R2321" s="1">
        <v>90</v>
      </c>
      <c r="S2321" s="1">
        <v>2.5</v>
      </c>
      <c r="T2321" s="1" t="str">
        <f t="shared" si="281"/>
        <v>-text 380,131 2.5 90 267.11</v>
      </c>
    </row>
    <row r="2322" spans="1:20" x14ac:dyDescent="0.35">
      <c r="A2322" s="1">
        <v>296400</v>
      </c>
      <c r="B2322" s="7">
        <v>1185889.2</v>
      </c>
      <c r="C2322" s="2">
        <v>268.41699999999997</v>
      </c>
      <c r="D2322" s="9">
        <v>268.791</v>
      </c>
      <c r="E2322" s="9">
        <v>0.374</v>
      </c>
      <c r="F2322" s="2">
        <v>267.745</v>
      </c>
      <c r="G2322" s="2">
        <v>268.07799999999997</v>
      </c>
      <c r="H2322" s="2">
        <v>0.33300000000000002</v>
      </c>
      <c r="I2322" s="2">
        <v>267.58199999999999</v>
      </c>
      <c r="J2322" s="2">
        <v>267.173</v>
      </c>
      <c r="K2322" s="15">
        <v>0.90500000000000003</v>
      </c>
      <c r="L2322" s="2">
        <v>12.811</v>
      </c>
      <c r="N2322" s="7">
        <f t="shared" si="286"/>
        <v>400</v>
      </c>
      <c r="O2322" s="1">
        <f t="shared" si="280"/>
        <v>131</v>
      </c>
      <c r="P2322" s="1" t="str">
        <f t="shared" si="282"/>
        <v>400,131</v>
      </c>
      <c r="Q2322" s="6" t="s">
        <v>10</v>
      </c>
      <c r="R2322" s="1">
        <v>90</v>
      </c>
      <c r="S2322" s="1">
        <v>2.5</v>
      </c>
      <c r="T2322" s="1" t="str">
        <f t="shared" si="281"/>
        <v>-text 400,131 2.5 90 267.173</v>
      </c>
    </row>
    <row r="2323" spans="1:20" x14ac:dyDescent="0.35">
      <c r="A2323" s="1">
        <v>296420</v>
      </c>
      <c r="B2323" s="7">
        <v>1185909.2</v>
      </c>
      <c r="C2323" s="2">
        <v>268.40199999999999</v>
      </c>
      <c r="D2323" s="9">
        <v>268.77300000000002</v>
      </c>
      <c r="E2323" s="9">
        <v>0.371</v>
      </c>
      <c r="F2323" s="2">
        <v>267.73</v>
      </c>
      <c r="G2323" s="2">
        <v>268.06</v>
      </c>
      <c r="H2323" s="2">
        <v>0.33</v>
      </c>
      <c r="I2323" s="2">
        <v>267.608</v>
      </c>
      <c r="J2323" s="2">
        <v>267.21800000000002</v>
      </c>
      <c r="K2323" s="15">
        <v>0.84199999999999997</v>
      </c>
      <c r="L2323" s="2">
        <v>12.805</v>
      </c>
      <c r="N2323" s="7">
        <f t="shared" si="286"/>
        <v>420</v>
      </c>
      <c r="O2323" s="1">
        <f t="shared" si="280"/>
        <v>131</v>
      </c>
      <c r="P2323" s="1" t="str">
        <f t="shared" si="282"/>
        <v>420,131</v>
      </c>
      <c r="Q2323" s="6" t="s">
        <v>10</v>
      </c>
      <c r="R2323" s="1">
        <v>90</v>
      </c>
      <c r="S2323" s="1">
        <v>2.5</v>
      </c>
      <c r="T2323" s="1" t="str">
        <f t="shared" si="281"/>
        <v>-text 420,131 2.5 90 267.218</v>
      </c>
    </row>
    <row r="2324" spans="1:20" x14ac:dyDescent="0.35">
      <c r="A2324" s="1">
        <v>296440</v>
      </c>
      <c r="B2324" s="7">
        <v>1185929.2</v>
      </c>
      <c r="C2324" s="2">
        <v>268.38900000000001</v>
      </c>
      <c r="D2324" s="9">
        <v>268.755</v>
      </c>
      <c r="E2324" s="9">
        <v>0.36699999999999999</v>
      </c>
      <c r="F2324" s="2">
        <v>267.71699999999998</v>
      </c>
      <c r="G2324" s="2">
        <v>268.04199999999997</v>
      </c>
      <c r="H2324" s="2">
        <v>0.32600000000000001</v>
      </c>
      <c r="I2324" s="2">
        <v>267.64699999999999</v>
      </c>
      <c r="J2324" s="2">
        <v>267.20999999999998</v>
      </c>
      <c r="K2324" s="15">
        <v>0.83299999999999996</v>
      </c>
      <c r="L2324" s="2">
        <v>12.789</v>
      </c>
      <c r="N2324" s="7">
        <f t="shared" si="286"/>
        <v>440</v>
      </c>
      <c r="O2324" s="1">
        <f t="shared" si="280"/>
        <v>131</v>
      </c>
      <c r="P2324" s="1" t="str">
        <f t="shared" si="282"/>
        <v>440,131</v>
      </c>
      <c r="Q2324" s="6" t="s">
        <v>10</v>
      </c>
      <c r="R2324" s="1">
        <v>90</v>
      </c>
      <c r="S2324" s="1">
        <v>2.5</v>
      </c>
      <c r="T2324" s="1" t="str">
        <f t="shared" si="281"/>
        <v>-text 440,131 2.5 90 267.21</v>
      </c>
    </row>
    <row r="2325" spans="1:20" x14ac:dyDescent="0.35">
      <c r="A2325" s="1">
        <v>296460</v>
      </c>
      <c r="B2325" s="7">
        <v>1185949.2</v>
      </c>
      <c r="C2325" s="2">
        <v>268.37400000000002</v>
      </c>
      <c r="D2325" s="9">
        <v>268.738</v>
      </c>
      <c r="E2325" s="9">
        <v>0.36299999999999999</v>
      </c>
      <c r="F2325" s="2">
        <v>267.702</v>
      </c>
      <c r="G2325" s="2">
        <v>268.02499999999998</v>
      </c>
      <c r="H2325" s="2">
        <v>0.32200000000000001</v>
      </c>
      <c r="I2325" s="2">
        <v>267.66199999999998</v>
      </c>
      <c r="J2325" s="2">
        <v>267.20499999999998</v>
      </c>
      <c r="K2325" s="15">
        <v>0.82</v>
      </c>
      <c r="L2325" s="2">
        <v>12.776</v>
      </c>
      <c r="N2325" s="7">
        <f t="shared" si="286"/>
        <v>460</v>
      </c>
      <c r="O2325" s="1">
        <f t="shared" si="280"/>
        <v>131</v>
      </c>
      <c r="P2325" s="1" t="str">
        <f t="shared" si="282"/>
        <v>460,131</v>
      </c>
      <c r="Q2325" s="6" t="s">
        <v>10</v>
      </c>
      <c r="R2325" s="1">
        <v>90</v>
      </c>
      <c r="S2325" s="1">
        <v>2.5</v>
      </c>
      <c r="T2325" s="1" t="str">
        <f t="shared" si="281"/>
        <v>-text 460,131 2.5 90 267.205</v>
      </c>
    </row>
    <row r="2326" spans="1:20" x14ac:dyDescent="0.35">
      <c r="A2326" s="1">
        <v>296480</v>
      </c>
      <c r="B2326" s="7">
        <v>1185969.2</v>
      </c>
      <c r="C2326" s="2">
        <v>268.35399999999998</v>
      </c>
      <c r="D2326" s="9">
        <v>268.72000000000003</v>
      </c>
      <c r="E2326" s="9">
        <v>0.36599999999999999</v>
      </c>
      <c r="F2326" s="2">
        <v>267.68200000000002</v>
      </c>
      <c r="G2326" s="2">
        <v>268.00700000000001</v>
      </c>
      <c r="H2326" s="2">
        <v>0.32500000000000001</v>
      </c>
      <c r="I2326" s="2">
        <v>267.637</v>
      </c>
      <c r="J2326" s="2">
        <v>267.17399999999998</v>
      </c>
      <c r="K2326" s="15">
        <v>0.83199999999999996</v>
      </c>
      <c r="L2326" s="2">
        <v>12.791</v>
      </c>
      <c r="N2326" s="7">
        <f t="shared" si="286"/>
        <v>480</v>
      </c>
      <c r="O2326" s="1">
        <f t="shared" si="280"/>
        <v>131</v>
      </c>
      <c r="P2326" s="1" t="str">
        <f t="shared" si="282"/>
        <v>480,131</v>
      </c>
      <c r="Q2326" s="6" t="s">
        <v>10</v>
      </c>
      <c r="R2326" s="1">
        <v>90</v>
      </c>
      <c r="S2326" s="1">
        <v>2.5</v>
      </c>
      <c r="T2326" s="1" t="str">
        <f t="shared" si="281"/>
        <v>-text 480,131 2.5 90 267.174</v>
      </c>
    </row>
    <row r="2327" spans="1:20" x14ac:dyDescent="0.35">
      <c r="A2327" s="1">
        <v>296500</v>
      </c>
      <c r="B2327" s="7">
        <v>1185989.1000000001</v>
      </c>
      <c r="C2327" s="2">
        <v>268.33999999999997</v>
      </c>
      <c r="D2327" s="9">
        <v>268.702</v>
      </c>
      <c r="E2327" s="9">
        <v>0.36199999999999999</v>
      </c>
      <c r="F2327" s="2">
        <v>267.66800000000001</v>
      </c>
      <c r="G2327" s="2">
        <v>267.98899999999998</v>
      </c>
      <c r="H2327" s="2">
        <v>0.32100000000000001</v>
      </c>
      <c r="I2327" s="2">
        <v>267.58300000000003</v>
      </c>
      <c r="J2327" s="2">
        <v>267.16800000000001</v>
      </c>
      <c r="K2327" s="15">
        <v>0.82099999999999995</v>
      </c>
      <c r="L2327" s="2">
        <v>12.792</v>
      </c>
      <c r="N2327" s="7">
        <f>N2324+(B2327-B2324)</f>
        <v>499.9000000001397</v>
      </c>
      <c r="O2327" s="1">
        <f t="shared" si="280"/>
        <v>131</v>
      </c>
      <c r="P2327" s="1" t="str">
        <f t="shared" ref="P2327" si="287">CONCATENATE(N2327,",",O2327)</f>
        <v>499.90000000014,131</v>
      </c>
      <c r="Q2327" s="6" t="s">
        <v>10</v>
      </c>
      <c r="R2327" s="1">
        <v>90</v>
      </c>
      <c r="S2327" s="1">
        <v>2.5</v>
      </c>
      <c r="T2327" s="1" t="str">
        <f t="shared" si="281"/>
        <v>-text 499.90000000014,131 2.5 90 267.168</v>
      </c>
    </row>
    <row r="2328" spans="1:20" s="10" customFormat="1" x14ac:dyDescent="0.35">
      <c r="B2328" s="11"/>
      <c r="C2328" s="9"/>
      <c r="D2328" s="9"/>
      <c r="E2328" s="9"/>
      <c r="F2328" s="9"/>
      <c r="G2328" s="9"/>
      <c r="H2328" s="9"/>
      <c r="I2328" s="9"/>
      <c r="J2328" s="9"/>
      <c r="K2328" s="16"/>
      <c r="L2328" s="9"/>
      <c r="M2328" s="9"/>
      <c r="N2328" s="11"/>
      <c r="Q2328" s="12"/>
    </row>
    <row r="2329" spans="1:20" x14ac:dyDescent="0.35">
      <c r="A2329" s="1">
        <v>296500</v>
      </c>
      <c r="B2329" s="7">
        <v>1185989.1000000001</v>
      </c>
      <c r="C2329" s="2">
        <v>268.33999999999997</v>
      </c>
      <c r="D2329" s="9">
        <v>268.702</v>
      </c>
      <c r="E2329" s="9">
        <v>0.36199999999999999</v>
      </c>
      <c r="F2329" s="2">
        <v>267.66800000000001</v>
      </c>
      <c r="G2329" s="2">
        <v>267.98899999999998</v>
      </c>
      <c r="H2329" s="2">
        <v>0.32100000000000001</v>
      </c>
      <c r="I2329" s="2">
        <v>267.58300000000003</v>
      </c>
      <c r="J2329" s="2">
        <v>267.16800000000001</v>
      </c>
      <c r="K2329" s="15">
        <v>0.82099999999999995</v>
      </c>
      <c r="L2329" s="2">
        <v>12.792</v>
      </c>
      <c r="N2329" s="7">
        <v>0</v>
      </c>
      <c r="O2329" s="1">
        <f t="shared" si="280"/>
        <v>131</v>
      </c>
      <c r="P2329" s="1" t="str">
        <f t="shared" si="282"/>
        <v>0,131</v>
      </c>
      <c r="Q2329" s="6" t="s">
        <v>10</v>
      </c>
      <c r="R2329" s="1">
        <v>90</v>
      </c>
      <c r="S2329" s="1">
        <v>2.5</v>
      </c>
      <c r="T2329" s="1" t="str">
        <f t="shared" si="281"/>
        <v>-text 0,131 2.5 90 267.168</v>
      </c>
    </row>
    <row r="2330" spans="1:20" x14ac:dyDescent="0.35">
      <c r="A2330" s="1">
        <v>296520</v>
      </c>
      <c r="B2330" s="7">
        <v>1186009.2</v>
      </c>
      <c r="C2330" s="2">
        <v>268.334</v>
      </c>
      <c r="D2330" s="9">
        <v>268.68400000000003</v>
      </c>
      <c r="E2330" s="9">
        <v>0.35</v>
      </c>
      <c r="F2330" s="2">
        <v>267.66199999999998</v>
      </c>
      <c r="G2330" s="2">
        <v>267.971</v>
      </c>
      <c r="H2330" s="2">
        <v>0.309</v>
      </c>
      <c r="I2330" s="2">
        <v>267.52100000000002</v>
      </c>
      <c r="J2330" s="2">
        <v>267.14699999999999</v>
      </c>
      <c r="K2330" s="15">
        <v>0.82399999999999995</v>
      </c>
      <c r="L2330" s="2">
        <v>12.776</v>
      </c>
      <c r="N2330" s="7">
        <f t="shared" ref="N2330:N2353" si="288">N2329+(B2330-B2329)</f>
        <v>20.099999999860302</v>
      </c>
      <c r="O2330" s="1">
        <f t="shared" si="280"/>
        <v>131</v>
      </c>
      <c r="P2330" s="1" t="str">
        <f t="shared" si="282"/>
        <v>20.0999999998603,131</v>
      </c>
      <c r="Q2330" s="6" t="s">
        <v>10</v>
      </c>
      <c r="R2330" s="1">
        <v>90</v>
      </c>
      <c r="S2330" s="1">
        <v>2.5</v>
      </c>
      <c r="T2330" s="1" t="str">
        <f t="shared" si="281"/>
        <v>-text 20.0999999998603,131 2.5 90 267.147</v>
      </c>
    </row>
    <row r="2331" spans="1:20" x14ac:dyDescent="0.35">
      <c r="A2331" s="1">
        <v>296540</v>
      </c>
      <c r="B2331" s="7">
        <v>1186029.2</v>
      </c>
      <c r="C2331" s="2">
        <v>268.327</v>
      </c>
      <c r="D2331" s="9">
        <v>268.666</v>
      </c>
      <c r="E2331" s="9">
        <v>0.33900000000000002</v>
      </c>
      <c r="F2331" s="2">
        <v>267.65499999999997</v>
      </c>
      <c r="G2331" s="2">
        <v>267.95299999999997</v>
      </c>
      <c r="H2331" s="2">
        <v>0.29799999999999999</v>
      </c>
      <c r="I2331" s="2">
        <v>267.51499999999999</v>
      </c>
      <c r="J2331" s="2">
        <v>267.08499999999998</v>
      </c>
      <c r="K2331" s="15">
        <v>0.86799999999999999</v>
      </c>
      <c r="L2331" s="2">
        <v>12.771000000000001</v>
      </c>
      <c r="N2331" s="7">
        <f t="shared" si="288"/>
        <v>40.099999999860302</v>
      </c>
      <c r="O2331" s="1">
        <f t="shared" si="280"/>
        <v>131</v>
      </c>
      <c r="P2331" s="1" t="str">
        <f t="shared" si="282"/>
        <v>40.0999999998603,131</v>
      </c>
      <c r="Q2331" s="6" t="s">
        <v>10</v>
      </c>
      <c r="R2331" s="1">
        <v>90</v>
      </c>
      <c r="S2331" s="1">
        <v>2.5</v>
      </c>
      <c r="T2331" s="1" t="str">
        <f t="shared" si="281"/>
        <v>-text 40.0999999998603,131 2.5 90 267.085</v>
      </c>
    </row>
    <row r="2332" spans="1:20" x14ac:dyDescent="0.35">
      <c r="A2332" s="1">
        <v>296560</v>
      </c>
      <c r="B2332" s="7">
        <v>1186049.2</v>
      </c>
      <c r="C2332" s="2">
        <v>268.33100000000002</v>
      </c>
      <c r="D2332" s="9">
        <v>268.64800000000002</v>
      </c>
      <c r="E2332" s="9">
        <v>0.317</v>
      </c>
      <c r="F2332" s="2">
        <v>267.65899999999999</v>
      </c>
      <c r="G2332" s="2">
        <v>267.935</v>
      </c>
      <c r="H2332" s="2">
        <v>0.27600000000000002</v>
      </c>
      <c r="I2332" s="2">
        <v>267.505</v>
      </c>
      <c r="J2332" s="2">
        <v>267.02499999999998</v>
      </c>
      <c r="K2332" s="15">
        <v>0.91100000000000003</v>
      </c>
      <c r="L2332" s="2">
        <v>12.768000000000001</v>
      </c>
      <c r="N2332" s="7">
        <f t="shared" si="288"/>
        <v>60.099999999860302</v>
      </c>
      <c r="O2332" s="1">
        <f t="shared" si="280"/>
        <v>131</v>
      </c>
      <c r="P2332" s="1" t="str">
        <f t="shared" si="282"/>
        <v>60.0999999998603,131</v>
      </c>
      <c r="Q2332" s="6" t="s">
        <v>10</v>
      </c>
      <c r="R2332" s="1">
        <v>90</v>
      </c>
      <c r="S2332" s="1">
        <v>2.5</v>
      </c>
      <c r="T2332" s="1" t="str">
        <f t="shared" si="281"/>
        <v>-text 60.0999999998603,131 2.5 90 267.025</v>
      </c>
    </row>
    <row r="2333" spans="1:20" x14ac:dyDescent="0.35">
      <c r="A2333" s="1">
        <v>296580</v>
      </c>
      <c r="B2333" s="7">
        <v>1186069.2</v>
      </c>
      <c r="C2333" s="2">
        <v>268.31799999999998</v>
      </c>
      <c r="D2333" s="9">
        <v>268.63</v>
      </c>
      <c r="E2333" s="9">
        <v>0.312</v>
      </c>
      <c r="F2333" s="2">
        <v>267.64600000000002</v>
      </c>
      <c r="G2333" s="2">
        <v>267.91699999999997</v>
      </c>
      <c r="H2333" s="2">
        <v>0.27100000000000002</v>
      </c>
      <c r="I2333" s="2">
        <v>267.47399999999999</v>
      </c>
      <c r="J2333" s="2">
        <v>266.85899999999998</v>
      </c>
      <c r="K2333" s="15">
        <v>1.0580000000000001</v>
      </c>
      <c r="L2333" s="2">
        <v>12.757</v>
      </c>
      <c r="N2333" s="7">
        <f t="shared" si="288"/>
        <v>80.099999999860302</v>
      </c>
      <c r="O2333" s="1">
        <f t="shared" si="280"/>
        <v>131</v>
      </c>
      <c r="P2333" s="1" t="str">
        <f t="shared" si="282"/>
        <v>80.0999999998603,131</v>
      </c>
      <c r="Q2333" s="6" t="s">
        <v>10</v>
      </c>
      <c r="R2333" s="1">
        <v>90</v>
      </c>
      <c r="S2333" s="1">
        <v>2.5</v>
      </c>
      <c r="T2333" s="1" t="str">
        <f t="shared" si="281"/>
        <v>-text 80.0999999998603,131 2.5 90 266.859</v>
      </c>
    </row>
    <row r="2334" spans="1:20" x14ac:dyDescent="0.35">
      <c r="A2334" s="1">
        <v>296600</v>
      </c>
      <c r="B2334" s="7">
        <v>1186089.2</v>
      </c>
      <c r="C2334" s="2">
        <v>268.30200000000002</v>
      </c>
      <c r="D2334" s="9">
        <v>268.613</v>
      </c>
      <c r="E2334" s="9">
        <v>0.311</v>
      </c>
      <c r="F2334" s="2">
        <v>267.63</v>
      </c>
      <c r="G2334" s="2">
        <v>267.89999999999998</v>
      </c>
      <c r="H2334" s="2">
        <v>0.27</v>
      </c>
      <c r="I2334" s="2">
        <v>267.38</v>
      </c>
      <c r="J2334" s="2">
        <v>266.84699999999998</v>
      </c>
      <c r="K2334" s="15">
        <v>1.052</v>
      </c>
      <c r="L2334" s="2">
        <v>12.746</v>
      </c>
      <c r="N2334" s="7">
        <f t="shared" si="288"/>
        <v>100.0999999998603</v>
      </c>
      <c r="O2334" s="1">
        <f t="shared" si="280"/>
        <v>131</v>
      </c>
      <c r="P2334" s="1" t="str">
        <f t="shared" si="282"/>
        <v>100.09999999986,131</v>
      </c>
      <c r="Q2334" s="6" t="s">
        <v>10</v>
      </c>
      <c r="R2334" s="1">
        <v>90</v>
      </c>
      <c r="S2334" s="1">
        <v>2.5</v>
      </c>
      <c r="T2334" s="1" t="str">
        <f t="shared" si="281"/>
        <v>-text 100.09999999986,131 2.5 90 266.847</v>
      </c>
    </row>
    <row r="2335" spans="1:20" x14ac:dyDescent="0.35">
      <c r="A2335" s="1">
        <v>296620</v>
      </c>
      <c r="B2335" s="7">
        <v>1186109.2</v>
      </c>
      <c r="C2335" s="2">
        <v>268.28100000000001</v>
      </c>
      <c r="D2335" s="9">
        <v>268.59500000000003</v>
      </c>
      <c r="E2335" s="9">
        <v>0.314</v>
      </c>
      <c r="F2335" s="2">
        <v>267.60899999999998</v>
      </c>
      <c r="G2335" s="2">
        <v>267.88200000000001</v>
      </c>
      <c r="H2335" s="2">
        <v>0.27300000000000002</v>
      </c>
      <c r="I2335" s="2">
        <v>267.22899999999998</v>
      </c>
      <c r="J2335" s="2">
        <v>266.77300000000002</v>
      </c>
      <c r="K2335" s="15">
        <v>1.109</v>
      </c>
      <c r="L2335" s="2">
        <v>12.734</v>
      </c>
      <c r="N2335" s="7">
        <f t="shared" si="288"/>
        <v>120.0999999998603</v>
      </c>
      <c r="O2335" s="1">
        <f t="shared" si="280"/>
        <v>131</v>
      </c>
      <c r="P2335" s="1" t="str">
        <f t="shared" si="282"/>
        <v>120.09999999986,131</v>
      </c>
      <c r="Q2335" s="6" t="s">
        <v>10</v>
      </c>
      <c r="R2335" s="1">
        <v>90</v>
      </c>
      <c r="S2335" s="1">
        <v>2.5</v>
      </c>
      <c r="T2335" s="1" t="str">
        <f t="shared" si="281"/>
        <v>-text 120.09999999986,131 2.5 90 266.773</v>
      </c>
    </row>
    <row r="2336" spans="1:20" x14ac:dyDescent="0.35">
      <c r="A2336" s="1">
        <v>296640</v>
      </c>
      <c r="B2336" s="7">
        <v>1186129.2</v>
      </c>
      <c r="C2336" s="2">
        <v>268.27600000000001</v>
      </c>
      <c r="D2336" s="9">
        <v>268.577</v>
      </c>
      <c r="E2336" s="9">
        <v>0.30099999999999999</v>
      </c>
      <c r="F2336" s="2">
        <v>267.60399999999998</v>
      </c>
      <c r="G2336" s="2">
        <v>267.86399999999998</v>
      </c>
      <c r="H2336" s="2">
        <v>0.26</v>
      </c>
      <c r="I2336" s="2">
        <v>267.25400000000002</v>
      </c>
      <c r="J2336" s="2">
        <v>266.57400000000001</v>
      </c>
      <c r="K2336" s="15">
        <v>1.29</v>
      </c>
      <c r="L2336" s="2">
        <v>12.723000000000001</v>
      </c>
      <c r="N2336" s="7">
        <f t="shared" si="288"/>
        <v>140.0999999998603</v>
      </c>
      <c r="O2336" s="1">
        <f t="shared" si="280"/>
        <v>131</v>
      </c>
      <c r="P2336" s="1" t="str">
        <f t="shared" si="282"/>
        <v>140.09999999986,131</v>
      </c>
      <c r="Q2336" s="6" t="s">
        <v>10</v>
      </c>
      <c r="R2336" s="1">
        <v>90</v>
      </c>
      <c r="S2336" s="1">
        <v>2.5</v>
      </c>
      <c r="T2336" s="1" t="str">
        <f t="shared" si="281"/>
        <v>-text 140.09999999986,131 2.5 90 266.574</v>
      </c>
    </row>
    <row r="2337" spans="1:20" x14ac:dyDescent="0.35">
      <c r="A2337" s="1">
        <v>296660</v>
      </c>
      <c r="B2337" s="7">
        <v>1186149.2</v>
      </c>
      <c r="C2337" s="2">
        <v>268.27600000000001</v>
      </c>
      <c r="D2337" s="9">
        <v>268.55900000000003</v>
      </c>
      <c r="E2337" s="9">
        <v>0.28299999999999997</v>
      </c>
      <c r="F2337" s="2">
        <v>267.60399999999998</v>
      </c>
      <c r="G2337" s="2">
        <v>267.846</v>
      </c>
      <c r="H2337" s="2">
        <v>0.24199999999999999</v>
      </c>
      <c r="I2337" s="2">
        <v>267.32499999999999</v>
      </c>
      <c r="J2337" s="2">
        <v>266.62299999999999</v>
      </c>
      <c r="K2337" s="15">
        <v>1.2230000000000001</v>
      </c>
      <c r="L2337" s="2">
        <v>12.714</v>
      </c>
      <c r="N2337" s="7">
        <f t="shared" si="288"/>
        <v>160.0999999998603</v>
      </c>
      <c r="O2337" s="1">
        <f t="shared" si="280"/>
        <v>131</v>
      </c>
      <c r="P2337" s="1" t="str">
        <f t="shared" si="282"/>
        <v>160.09999999986,131</v>
      </c>
      <c r="Q2337" s="6" t="s">
        <v>10</v>
      </c>
      <c r="R2337" s="1">
        <v>90</v>
      </c>
      <c r="S2337" s="1">
        <v>2.5</v>
      </c>
      <c r="T2337" s="1" t="str">
        <f t="shared" si="281"/>
        <v>-text 160.09999999986,131 2.5 90 266.623</v>
      </c>
    </row>
    <row r="2338" spans="1:20" x14ac:dyDescent="0.35">
      <c r="A2338" s="1">
        <v>296680</v>
      </c>
      <c r="B2338" s="7">
        <v>1186169.2</v>
      </c>
      <c r="C2338" s="2">
        <v>268.27699999999999</v>
      </c>
      <c r="D2338" s="9">
        <v>268.541</v>
      </c>
      <c r="E2338" s="9">
        <v>0.26400000000000001</v>
      </c>
      <c r="F2338" s="2">
        <v>267.60500000000002</v>
      </c>
      <c r="G2338" s="2">
        <v>267.82799999999997</v>
      </c>
      <c r="H2338" s="2">
        <v>0.223</v>
      </c>
      <c r="I2338" s="2">
        <v>267.19499999999999</v>
      </c>
      <c r="J2338" s="2">
        <v>266.71899999999999</v>
      </c>
      <c r="K2338" s="15">
        <v>1.109</v>
      </c>
      <c r="L2338" s="2">
        <v>12.715</v>
      </c>
      <c r="N2338" s="7">
        <f t="shared" si="288"/>
        <v>180.0999999998603</v>
      </c>
      <c r="O2338" s="1">
        <f t="shared" ref="O2338:O2381" si="289">19+16+16+16+16+16+16+16</f>
        <v>131</v>
      </c>
      <c r="P2338" s="1" t="str">
        <f t="shared" si="282"/>
        <v>180.09999999986,131</v>
      </c>
      <c r="Q2338" s="6" t="s">
        <v>10</v>
      </c>
      <c r="R2338" s="1">
        <v>90</v>
      </c>
      <c r="S2338" s="1">
        <v>2.5</v>
      </c>
      <c r="T2338" s="1" t="str">
        <f t="shared" ref="T2338:T2381" si="290">$Q2338&amp;" "&amp;$P2338&amp;" "&amp;$S2338&amp;" "&amp;$R2338&amp;" "&amp;$J2338</f>
        <v>-text 180.09999999986,131 2.5 90 266.719</v>
      </c>
    </row>
    <row r="2339" spans="1:20" x14ac:dyDescent="0.35">
      <c r="A2339" s="1">
        <v>296700</v>
      </c>
      <c r="B2339" s="7">
        <v>1186189.2</v>
      </c>
      <c r="C2339" s="2">
        <v>268.274</v>
      </c>
      <c r="D2339" s="9">
        <v>268.52300000000002</v>
      </c>
      <c r="E2339" s="9">
        <v>0.249</v>
      </c>
      <c r="F2339" s="2">
        <v>267.60199999999998</v>
      </c>
      <c r="G2339" s="2">
        <v>267.81</v>
      </c>
      <c r="H2339" s="2">
        <v>0.20799999999999999</v>
      </c>
      <c r="I2339" s="2">
        <v>267.18400000000003</v>
      </c>
      <c r="J2339" s="2">
        <v>266.68599999999998</v>
      </c>
      <c r="K2339" s="15">
        <v>1.125</v>
      </c>
      <c r="L2339" s="2">
        <v>12.701000000000001</v>
      </c>
      <c r="N2339" s="7">
        <f t="shared" si="288"/>
        <v>200.0999999998603</v>
      </c>
      <c r="O2339" s="1">
        <f t="shared" si="289"/>
        <v>131</v>
      </c>
      <c r="P2339" s="1" t="str">
        <f t="shared" si="282"/>
        <v>200.09999999986,131</v>
      </c>
      <c r="Q2339" s="6" t="s">
        <v>10</v>
      </c>
      <c r="R2339" s="1">
        <v>90</v>
      </c>
      <c r="S2339" s="1">
        <v>2.5</v>
      </c>
      <c r="T2339" s="1" t="str">
        <f t="shared" si="290"/>
        <v>-text 200.09999999986,131 2.5 90 266.686</v>
      </c>
    </row>
    <row r="2340" spans="1:20" x14ac:dyDescent="0.35">
      <c r="A2340" s="1">
        <v>296720</v>
      </c>
      <c r="B2340" s="7">
        <v>1186209.2</v>
      </c>
      <c r="C2340" s="2">
        <v>268.26799999999997</v>
      </c>
      <c r="D2340" s="9">
        <v>268.505</v>
      </c>
      <c r="E2340" s="9">
        <v>0.23799999999999999</v>
      </c>
      <c r="F2340" s="2">
        <v>267.596</v>
      </c>
      <c r="G2340" s="2">
        <v>267.79199999999997</v>
      </c>
      <c r="H2340" s="2">
        <v>0.19700000000000001</v>
      </c>
      <c r="I2340" s="2">
        <v>267.25099999999998</v>
      </c>
      <c r="J2340" s="2">
        <v>266.58100000000002</v>
      </c>
      <c r="K2340" s="15">
        <v>1.212</v>
      </c>
      <c r="L2340" s="2">
        <v>12.676</v>
      </c>
      <c r="N2340" s="7">
        <f t="shared" si="288"/>
        <v>220.0999999998603</v>
      </c>
      <c r="O2340" s="1">
        <f t="shared" si="289"/>
        <v>131</v>
      </c>
      <c r="P2340" s="1" t="str">
        <f t="shared" ref="P2340:P2381" si="291">CONCATENATE(N2340,",",O2340)</f>
        <v>220.09999999986,131</v>
      </c>
      <c r="Q2340" s="6" t="s">
        <v>10</v>
      </c>
      <c r="R2340" s="1">
        <v>90</v>
      </c>
      <c r="S2340" s="1">
        <v>2.5</v>
      </c>
      <c r="T2340" s="1" t="str">
        <f t="shared" si="290"/>
        <v>-text 220.09999999986,131 2.5 90 266.581</v>
      </c>
    </row>
    <row r="2341" spans="1:20" x14ac:dyDescent="0.35">
      <c r="A2341" s="1">
        <v>296740</v>
      </c>
      <c r="B2341" s="7">
        <v>1186229.2</v>
      </c>
      <c r="C2341" s="2">
        <v>268.28399999999999</v>
      </c>
      <c r="D2341" s="9">
        <v>268.488</v>
      </c>
      <c r="E2341" s="9">
        <v>0.20300000000000001</v>
      </c>
      <c r="F2341" s="2">
        <v>267.61200000000002</v>
      </c>
      <c r="G2341" s="2">
        <v>267.77499999999998</v>
      </c>
      <c r="H2341" s="2">
        <v>0.16200000000000001</v>
      </c>
      <c r="I2341" s="2">
        <v>267.25700000000001</v>
      </c>
      <c r="J2341" s="2">
        <v>266.69</v>
      </c>
      <c r="K2341" s="15">
        <v>1.085</v>
      </c>
      <c r="L2341" s="2">
        <v>12.667999999999999</v>
      </c>
      <c r="N2341" s="7">
        <f t="shared" si="288"/>
        <v>240.0999999998603</v>
      </c>
      <c r="O2341" s="1">
        <f t="shared" si="289"/>
        <v>131</v>
      </c>
      <c r="P2341" s="1" t="str">
        <f t="shared" si="291"/>
        <v>240.09999999986,131</v>
      </c>
      <c r="Q2341" s="6" t="s">
        <v>10</v>
      </c>
      <c r="R2341" s="1">
        <v>90</v>
      </c>
      <c r="S2341" s="1">
        <v>2.5</v>
      </c>
      <c r="T2341" s="1" t="str">
        <f t="shared" si="290"/>
        <v>-text 240.09999999986,131 2.5 90 266.69</v>
      </c>
    </row>
    <row r="2342" spans="1:20" x14ac:dyDescent="0.35">
      <c r="A2342" s="1">
        <v>296760</v>
      </c>
      <c r="B2342" s="7">
        <v>1186249.2</v>
      </c>
      <c r="C2342" s="2">
        <v>268.3</v>
      </c>
      <c r="D2342" s="9">
        <v>268.47000000000003</v>
      </c>
      <c r="E2342" s="9">
        <v>0.17</v>
      </c>
      <c r="F2342" s="2">
        <v>267.62799999999999</v>
      </c>
      <c r="G2342" s="2">
        <v>267.75700000000001</v>
      </c>
      <c r="H2342" s="2">
        <v>0.129</v>
      </c>
      <c r="I2342" s="2">
        <v>267.32100000000003</v>
      </c>
      <c r="J2342" s="2">
        <v>266.94900000000001</v>
      </c>
      <c r="K2342" s="15">
        <v>0.80700000000000005</v>
      </c>
      <c r="L2342" s="2">
        <v>12.659000000000001</v>
      </c>
      <c r="N2342" s="7">
        <f t="shared" si="288"/>
        <v>260.0999999998603</v>
      </c>
      <c r="O2342" s="1">
        <f t="shared" si="289"/>
        <v>131</v>
      </c>
      <c r="P2342" s="1" t="str">
        <f t="shared" si="291"/>
        <v>260.09999999986,131</v>
      </c>
      <c r="Q2342" s="6" t="s">
        <v>10</v>
      </c>
      <c r="R2342" s="1">
        <v>90</v>
      </c>
      <c r="S2342" s="1">
        <v>2.5</v>
      </c>
      <c r="T2342" s="1" t="str">
        <f t="shared" si="290"/>
        <v>-text 260.09999999986,131 2.5 90 266.949</v>
      </c>
    </row>
    <row r="2343" spans="1:20" x14ac:dyDescent="0.35">
      <c r="A2343" s="1">
        <v>296780</v>
      </c>
      <c r="B2343" s="7">
        <v>1186269.2</v>
      </c>
      <c r="C2343" s="2">
        <v>268.30799999999999</v>
      </c>
      <c r="D2343" s="9">
        <v>268.452</v>
      </c>
      <c r="E2343" s="9">
        <v>0.14399999999999999</v>
      </c>
      <c r="F2343" s="2">
        <v>267.63600000000002</v>
      </c>
      <c r="G2343" s="2">
        <v>267.73899999999998</v>
      </c>
      <c r="H2343" s="2">
        <v>0.10299999999999999</v>
      </c>
      <c r="I2343" s="2">
        <v>267.43900000000002</v>
      </c>
      <c r="J2343" s="2">
        <v>267.52800000000002</v>
      </c>
      <c r="K2343" s="15">
        <v>0.21</v>
      </c>
      <c r="L2343" s="2">
        <v>12.643000000000001</v>
      </c>
      <c r="N2343" s="7">
        <f t="shared" si="288"/>
        <v>280.0999999998603</v>
      </c>
      <c r="O2343" s="1">
        <f t="shared" si="289"/>
        <v>131</v>
      </c>
      <c r="P2343" s="1" t="str">
        <f t="shared" si="291"/>
        <v>280.09999999986,131</v>
      </c>
      <c r="Q2343" s="6" t="s">
        <v>10</v>
      </c>
      <c r="R2343" s="1">
        <v>90</v>
      </c>
      <c r="S2343" s="1">
        <v>2.5</v>
      </c>
      <c r="T2343" s="1" t="str">
        <f t="shared" si="290"/>
        <v>-text 280.09999999986,131 2.5 90 267.528</v>
      </c>
    </row>
    <row r="2344" spans="1:20" x14ac:dyDescent="0.35">
      <c r="A2344" s="1">
        <v>296800</v>
      </c>
      <c r="B2344" s="7">
        <v>1186289.2</v>
      </c>
      <c r="C2344" s="2">
        <v>268.27999999999997</v>
      </c>
      <c r="D2344" s="9">
        <v>268.43400000000003</v>
      </c>
      <c r="E2344" s="9">
        <v>0.154</v>
      </c>
      <c r="F2344" s="2">
        <v>267.608</v>
      </c>
      <c r="G2344" s="2">
        <v>267.721</v>
      </c>
      <c r="H2344" s="2">
        <v>0.113</v>
      </c>
      <c r="I2344" s="2">
        <v>267.255</v>
      </c>
      <c r="J2344" s="2">
        <v>267.351</v>
      </c>
      <c r="K2344" s="15">
        <v>0.37</v>
      </c>
      <c r="L2344" s="2">
        <v>12.632</v>
      </c>
      <c r="N2344" s="7">
        <f t="shared" si="288"/>
        <v>300.0999999998603</v>
      </c>
      <c r="O2344" s="1">
        <f t="shared" si="289"/>
        <v>131</v>
      </c>
      <c r="P2344" s="1" t="str">
        <f t="shared" si="291"/>
        <v>300.09999999986,131</v>
      </c>
      <c r="Q2344" s="6" t="s">
        <v>10</v>
      </c>
      <c r="R2344" s="1">
        <v>90</v>
      </c>
      <c r="S2344" s="1">
        <v>2.5</v>
      </c>
      <c r="T2344" s="1" t="str">
        <f t="shared" si="290"/>
        <v>-text 300.09999999986,131 2.5 90 267.351</v>
      </c>
    </row>
    <row r="2345" spans="1:20" x14ac:dyDescent="0.35">
      <c r="A2345" s="1">
        <v>296820</v>
      </c>
      <c r="B2345" s="7">
        <v>1186309.2</v>
      </c>
      <c r="C2345" s="2">
        <v>268.20999999999998</v>
      </c>
      <c r="D2345" s="9">
        <v>268.416</v>
      </c>
      <c r="E2345" s="9">
        <v>0.20599999999999999</v>
      </c>
      <c r="F2345" s="2">
        <v>267.53800000000001</v>
      </c>
      <c r="G2345" s="2">
        <v>267.70299999999997</v>
      </c>
      <c r="H2345" s="2">
        <v>0.16500000000000001</v>
      </c>
      <c r="I2345" s="2">
        <v>267.226</v>
      </c>
      <c r="J2345" s="2">
        <v>266.84100000000001</v>
      </c>
      <c r="K2345" s="15">
        <v>0.86199999999999999</v>
      </c>
      <c r="L2345" s="2">
        <v>12.625999999999999</v>
      </c>
      <c r="N2345" s="7">
        <f t="shared" si="288"/>
        <v>320.0999999998603</v>
      </c>
      <c r="O2345" s="1">
        <f t="shared" si="289"/>
        <v>131</v>
      </c>
      <c r="P2345" s="1" t="str">
        <f t="shared" si="291"/>
        <v>320.09999999986,131</v>
      </c>
      <c r="Q2345" s="6" t="s">
        <v>10</v>
      </c>
      <c r="R2345" s="1">
        <v>90</v>
      </c>
      <c r="S2345" s="1">
        <v>2.5</v>
      </c>
      <c r="T2345" s="1" t="str">
        <f t="shared" si="290"/>
        <v>-text 320.09999999986,131 2.5 90 266.841</v>
      </c>
    </row>
    <row r="2346" spans="1:20" x14ac:dyDescent="0.35">
      <c r="A2346" s="1">
        <v>296840</v>
      </c>
      <c r="B2346" s="7">
        <v>1186329.2</v>
      </c>
      <c r="C2346" s="2">
        <v>268.13799999999998</v>
      </c>
      <c r="D2346" s="9">
        <v>268.39800000000002</v>
      </c>
      <c r="E2346" s="9">
        <v>0.26</v>
      </c>
      <c r="F2346" s="2">
        <v>267.46600000000001</v>
      </c>
      <c r="G2346" s="2">
        <v>267.685</v>
      </c>
      <c r="H2346" s="2">
        <v>0.219</v>
      </c>
      <c r="I2346" s="2">
        <v>267.20100000000002</v>
      </c>
      <c r="J2346" s="2">
        <v>266.40100000000001</v>
      </c>
      <c r="K2346" s="15">
        <v>1.2849999999999999</v>
      </c>
      <c r="L2346" s="2">
        <v>12.62</v>
      </c>
      <c r="N2346" s="7">
        <f t="shared" si="288"/>
        <v>340.0999999998603</v>
      </c>
      <c r="O2346" s="1">
        <f t="shared" si="289"/>
        <v>131</v>
      </c>
      <c r="P2346" s="1" t="str">
        <f t="shared" si="291"/>
        <v>340.09999999986,131</v>
      </c>
      <c r="Q2346" s="6" t="s">
        <v>10</v>
      </c>
      <c r="R2346" s="1">
        <v>90</v>
      </c>
      <c r="S2346" s="1">
        <v>2.5</v>
      </c>
      <c r="T2346" s="1" t="str">
        <f t="shared" si="290"/>
        <v>-text 340.09999999986,131 2.5 90 266.401</v>
      </c>
    </row>
    <row r="2347" spans="1:20" x14ac:dyDescent="0.35">
      <c r="A2347" s="1">
        <v>296860</v>
      </c>
      <c r="B2347" s="7">
        <v>1186349.1000000001</v>
      </c>
      <c r="C2347" s="2">
        <v>268.06799999999998</v>
      </c>
      <c r="D2347" s="9">
        <v>268.38</v>
      </c>
      <c r="E2347" s="9">
        <v>0.312</v>
      </c>
      <c r="F2347" s="2">
        <v>267.39600000000002</v>
      </c>
      <c r="G2347" s="2">
        <v>267.66699999999997</v>
      </c>
      <c r="H2347" s="2">
        <v>0.27100000000000002</v>
      </c>
      <c r="I2347" s="2">
        <v>267.15899999999999</v>
      </c>
      <c r="J2347" s="2">
        <v>266.48399999999998</v>
      </c>
      <c r="K2347" s="15">
        <v>1.1830000000000001</v>
      </c>
      <c r="L2347" s="2">
        <v>12.611000000000001</v>
      </c>
      <c r="N2347" s="7">
        <f t="shared" si="288"/>
        <v>360</v>
      </c>
      <c r="O2347" s="1">
        <f t="shared" si="289"/>
        <v>131</v>
      </c>
      <c r="P2347" s="1" t="str">
        <f t="shared" si="291"/>
        <v>360,131</v>
      </c>
      <c r="Q2347" s="6" t="s">
        <v>10</v>
      </c>
      <c r="R2347" s="1">
        <v>90</v>
      </c>
      <c r="S2347" s="1">
        <v>2.5</v>
      </c>
      <c r="T2347" s="1" t="str">
        <f t="shared" si="290"/>
        <v>-text 360,131 2.5 90 266.484</v>
      </c>
    </row>
    <row r="2348" spans="1:20" x14ac:dyDescent="0.35">
      <c r="A2348" s="1">
        <v>296880</v>
      </c>
      <c r="B2348" s="7">
        <v>1186369.1000000001</v>
      </c>
      <c r="C2348" s="2">
        <v>268.03899999999999</v>
      </c>
      <c r="D2348" s="9">
        <v>268.363</v>
      </c>
      <c r="E2348" s="9">
        <v>0.32400000000000001</v>
      </c>
      <c r="F2348" s="2">
        <v>267.36700000000002</v>
      </c>
      <c r="G2348" s="2">
        <v>267.64999999999998</v>
      </c>
      <c r="H2348" s="2">
        <v>0.28299999999999997</v>
      </c>
      <c r="I2348" s="2">
        <v>267.24700000000001</v>
      </c>
      <c r="J2348" s="2">
        <v>266.52699999999999</v>
      </c>
      <c r="K2348" s="15">
        <v>1.123</v>
      </c>
      <c r="L2348" s="2">
        <v>12.561999999999999</v>
      </c>
      <c r="N2348" s="7">
        <f t="shared" si="288"/>
        <v>380</v>
      </c>
      <c r="O2348" s="1">
        <f t="shared" si="289"/>
        <v>131</v>
      </c>
      <c r="P2348" s="1" t="str">
        <f t="shared" si="291"/>
        <v>380,131</v>
      </c>
      <c r="Q2348" s="6" t="s">
        <v>10</v>
      </c>
      <c r="R2348" s="1">
        <v>90</v>
      </c>
      <c r="S2348" s="1">
        <v>2.5</v>
      </c>
      <c r="T2348" s="1" t="str">
        <f t="shared" si="290"/>
        <v>-text 380,131 2.5 90 266.527</v>
      </c>
    </row>
    <row r="2349" spans="1:20" x14ac:dyDescent="0.35">
      <c r="A2349" s="1">
        <v>296900</v>
      </c>
      <c r="B2349" s="7">
        <v>1186389.2</v>
      </c>
      <c r="C2349" s="2">
        <v>268.00900000000001</v>
      </c>
      <c r="D2349" s="9">
        <v>268.34500000000003</v>
      </c>
      <c r="E2349" s="9">
        <v>0.33600000000000002</v>
      </c>
      <c r="F2349" s="2">
        <v>267.33699999999999</v>
      </c>
      <c r="G2349" s="2">
        <v>267.63200000000001</v>
      </c>
      <c r="H2349" s="2">
        <v>0.29499999999999998</v>
      </c>
      <c r="I2349" s="2">
        <v>267.255</v>
      </c>
      <c r="J2349" s="2">
        <v>266.45299999999997</v>
      </c>
      <c r="K2349" s="15">
        <v>1.179</v>
      </c>
      <c r="L2349" s="2">
        <v>12.538</v>
      </c>
      <c r="N2349" s="7">
        <f t="shared" si="288"/>
        <v>400.0999999998603</v>
      </c>
      <c r="O2349" s="1">
        <f t="shared" si="289"/>
        <v>131</v>
      </c>
      <c r="P2349" s="1" t="str">
        <f t="shared" si="291"/>
        <v>400.09999999986,131</v>
      </c>
      <c r="Q2349" s="6" t="s">
        <v>10</v>
      </c>
      <c r="R2349" s="1">
        <v>90</v>
      </c>
      <c r="S2349" s="1">
        <v>2.5</v>
      </c>
      <c r="T2349" s="1" t="str">
        <f t="shared" si="290"/>
        <v>-text 400.09999999986,131 2.5 90 266.453</v>
      </c>
    </row>
    <row r="2350" spans="1:20" x14ac:dyDescent="0.35">
      <c r="A2350" s="1">
        <v>296920</v>
      </c>
      <c r="B2350" s="7">
        <v>1186409.2</v>
      </c>
      <c r="C2350" s="2">
        <v>267.97899999999998</v>
      </c>
      <c r="D2350" s="9">
        <v>268.33100000000002</v>
      </c>
      <c r="E2350" s="9">
        <v>0.35199999999999998</v>
      </c>
      <c r="F2350" s="2">
        <v>267.30700000000002</v>
      </c>
      <c r="G2350" s="2">
        <v>267.61799999999999</v>
      </c>
      <c r="H2350" s="2">
        <v>0.311</v>
      </c>
      <c r="I2350" s="2">
        <v>267.142</v>
      </c>
      <c r="J2350" s="2">
        <v>266.33199999999999</v>
      </c>
      <c r="K2350" s="15">
        <v>1.286</v>
      </c>
      <c r="L2350" s="2">
        <v>12.536</v>
      </c>
      <c r="N2350" s="7">
        <f t="shared" si="288"/>
        <v>420.0999999998603</v>
      </c>
      <c r="O2350" s="1">
        <f t="shared" si="289"/>
        <v>131</v>
      </c>
      <c r="P2350" s="1" t="str">
        <f t="shared" si="291"/>
        <v>420.09999999986,131</v>
      </c>
      <c r="Q2350" s="6" t="s">
        <v>10</v>
      </c>
      <c r="R2350" s="1">
        <v>90</v>
      </c>
      <c r="S2350" s="1">
        <v>2.5</v>
      </c>
      <c r="T2350" s="1" t="str">
        <f t="shared" si="290"/>
        <v>-text 420.09999999986,131 2.5 90 266.332</v>
      </c>
    </row>
    <row r="2351" spans="1:20" x14ac:dyDescent="0.35">
      <c r="A2351" s="1">
        <v>296940</v>
      </c>
      <c r="B2351" s="7">
        <v>1186429.2</v>
      </c>
      <c r="C2351" s="2">
        <v>267.95299999999997</v>
      </c>
      <c r="D2351" s="9">
        <v>268.31900000000002</v>
      </c>
      <c r="E2351" s="9">
        <v>0.36599999999999999</v>
      </c>
      <c r="F2351" s="2">
        <v>267.28100000000001</v>
      </c>
      <c r="G2351" s="2">
        <v>267.60599999999999</v>
      </c>
      <c r="H2351" s="2">
        <v>0.32500000000000001</v>
      </c>
      <c r="I2351" s="2">
        <v>267.12900000000002</v>
      </c>
      <c r="J2351" s="2">
        <v>266.35599999999999</v>
      </c>
      <c r="K2351" s="15">
        <v>1.25</v>
      </c>
      <c r="L2351" s="2">
        <v>12.531000000000001</v>
      </c>
      <c r="N2351" s="7">
        <f t="shared" si="288"/>
        <v>440.0999999998603</v>
      </c>
      <c r="O2351" s="1">
        <f t="shared" si="289"/>
        <v>131</v>
      </c>
      <c r="P2351" s="1" t="str">
        <f t="shared" si="291"/>
        <v>440.09999999986,131</v>
      </c>
      <c r="Q2351" s="6" t="s">
        <v>10</v>
      </c>
      <c r="R2351" s="1">
        <v>90</v>
      </c>
      <c r="S2351" s="1">
        <v>2.5</v>
      </c>
      <c r="T2351" s="1" t="str">
        <f t="shared" si="290"/>
        <v>-text 440.09999999986,131 2.5 90 266.356</v>
      </c>
    </row>
    <row r="2352" spans="1:20" x14ac:dyDescent="0.35">
      <c r="A2352" s="1">
        <v>296960</v>
      </c>
      <c r="B2352" s="7">
        <v>1186449.2</v>
      </c>
      <c r="C2352" s="2">
        <v>267.92500000000001</v>
      </c>
      <c r="D2352" s="9">
        <v>268.30700000000002</v>
      </c>
      <c r="E2352" s="9">
        <v>0.38200000000000001</v>
      </c>
      <c r="F2352" s="2">
        <v>267.25299999999999</v>
      </c>
      <c r="G2352" s="2">
        <v>267.59399999999999</v>
      </c>
      <c r="H2352" s="2">
        <v>0.34100000000000003</v>
      </c>
      <c r="I2352" s="2">
        <v>267.137</v>
      </c>
      <c r="J2352" s="2">
        <v>266.37700000000001</v>
      </c>
      <c r="K2352" s="15">
        <v>1.2170000000000001</v>
      </c>
      <c r="L2352" s="2">
        <v>12.548</v>
      </c>
      <c r="N2352" s="7">
        <f t="shared" si="288"/>
        <v>460.0999999998603</v>
      </c>
      <c r="O2352" s="1">
        <f t="shared" si="289"/>
        <v>131</v>
      </c>
      <c r="P2352" s="1" t="str">
        <f t="shared" si="291"/>
        <v>460.09999999986,131</v>
      </c>
      <c r="Q2352" s="6" t="s">
        <v>10</v>
      </c>
      <c r="R2352" s="1">
        <v>90</v>
      </c>
      <c r="S2352" s="1">
        <v>2.5</v>
      </c>
      <c r="T2352" s="1" t="str">
        <f t="shared" si="290"/>
        <v>-text 460.09999999986,131 2.5 90 266.377</v>
      </c>
    </row>
    <row r="2353" spans="1:20" x14ac:dyDescent="0.35">
      <c r="A2353" s="1">
        <v>296980</v>
      </c>
      <c r="B2353" s="7">
        <v>1186469.2</v>
      </c>
      <c r="C2353" s="2">
        <v>267.88499999999999</v>
      </c>
      <c r="D2353" s="9">
        <v>268.29500000000002</v>
      </c>
      <c r="E2353" s="9">
        <v>0.40899999999999997</v>
      </c>
      <c r="F2353" s="2">
        <v>267.21300000000002</v>
      </c>
      <c r="G2353" s="2">
        <v>267.58199999999999</v>
      </c>
      <c r="H2353" s="2">
        <v>0.36799999999999999</v>
      </c>
      <c r="I2353" s="2">
        <v>267.08999999999997</v>
      </c>
      <c r="J2353" s="2">
        <v>266.39499999999998</v>
      </c>
      <c r="K2353" s="15">
        <v>1.1870000000000001</v>
      </c>
      <c r="L2353" s="2">
        <v>12.632</v>
      </c>
      <c r="N2353" s="7">
        <f t="shared" si="288"/>
        <v>480.0999999998603</v>
      </c>
      <c r="O2353" s="1">
        <f t="shared" si="289"/>
        <v>131</v>
      </c>
      <c r="P2353" s="1" t="str">
        <f t="shared" si="291"/>
        <v>480.09999999986,131</v>
      </c>
      <c r="Q2353" s="6" t="s">
        <v>10</v>
      </c>
      <c r="R2353" s="1">
        <v>90</v>
      </c>
      <c r="S2353" s="1">
        <v>2.5</v>
      </c>
      <c r="T2353" s="1" t="str">
        <f t="shared" si="290"/>
        <v>-text 480.09999999986,131 2.5 90 266.395</v>
      </c>
    </row>
    <row r="2354" spans="1:20" x14ac:dyDescent="0.35">
      <c r="A2354" s="1">
        <v>297000</v>
      </c>
      <c r="B2354" s="7">
        <v>1186489.1000000001</v>
      </c>
      <c r="C2354" s="2">
        <v>267.87299999999999</v>
      </c>
      <c r="D2354" s="9">
        <v>268.28300000000002</v>
      </c>
      <c r="E2354" s="9">
        <v>0.41</v>
      </c>
      <c r="F2354" s="2">
        <v>267.20100000000002</v>
      </c>
      <c r="G2354" s="2">
        <v>267.57</v>
      </c>
      <c r="H2354" s="2">
        <v>0.36899999999999999</v>
      </c>
      <c r="I2354" s="2">
        <v>267.10599999999999</v>
      </c>
      <c r="J2354" s="2">
        <v>266.46800000000002</v>
      </c>
      <c r="K2354" s="15">
        <v>1.1020000000000001</v>
      </c>
      <c r="L2354" s="2">
        <v>12.644</v>
      </c>
      <c r="N2354" s="7">
        <f>N2351+(B2354-B2351)</f>
        <v>500</v>
      </c>
      <c r="O2354" s="1">
        <f t="shared" si="289"/>
        <v>131</v>
      </c>
      <c r="P2354" s="1" t="str">
        <f t="shared" ref="P2354" si="292">CONCATENATE(N2354,",",O2354)</f>
        <v>500,131</v>
      </c>
      <c r="Q2354" s="6" t="s">
        <v>10</v>
      </c>
      <c r="R2354" s="1">
        <v>90</v>
      </c>
      <c r="S2354" s="1">
        <v>2.5</v>
      </c>
      <c r="T2354" s="1" t="str">
        <f t="shared" si="290"/>
        <v>-text 500,131 2.5 90 266.468</v>
      </c>
    </row>
    <row r="2355" spans="1:20" s="10" customFormat="1" x14ac:dyDescent="0.35">
      <c r="B2355" s="11"/>
      <c r="C2355" s="9"/>
      <c r="D2355" s="9"/>
      <c r="E2355" s="9"/>
      <c r="F2355" s="9"/>
      <c r="G2355" s="9"/>
      <c r="H2355" s="9"/>
      <c r="I2355" s="9"/>
      <c r="J2355" s="9"/>
      <c r="K2355" s="16"/>
      <c r="L2355" s="9"/>
      <c r="M2355" s="9"/>
      <c r="N2355" s="11"/>
      <c r="Q2355" s="12"/>
    </row>
    <row r="2356" spans="1:20" x14ac:dyDescent="0.35">
      <c r="A2356" s="1">
        <v>297000</v>
      </c>
      <c r="B2356" s="7">
        <v>1186489.1000000001</v>
      </c>
      <c r="C2356" s="2">
        <v>267.87299999999999</v>
      </c>
      <c r="D2356" s="9">
        <v>268.28300000000002</v>
      </c>
      <c r="E2356" s="9">
        <v>0.41</v>
      </c>
      <c r="F2356" s="2">
        <v>267.20100000000002</v>
      </c>
      <c r="G2356" s="2">
        <v>267.57</v>
      </c>
      <c r="H2356" s="2">
        <v>0.36899999999999999</v>
      </c>
      <c r="I2356" s="2">
        <v>267.10599999999999</v>
      </c>
      <c r="J2356" s="2">
        <v>266.46800000000002</v>
      </c>
      <c r="K2356" s="15">
        <v>1.1020000000000001</v>
      </c>
      <c r="L2356" s="2">
        <v>12.644</v>
      </c>
      <c r="N2356" s="7">
        <v>0</v>
      </c>
      <c r="O2356" s="1">
        <f t="shared" si="289"/>
        <v>131</v>
      </c>
      <c r="P2356" s="1" t="str">
        <f t="shared" si="291"/>
        <v>0,131</v>
      </c>
      <c r="Q2356" s="6" t="s">
        <v>10</v>
      </c>
      <c r="R2356" s="1">
        <v>90</v>
      </c>
      <c r="S2356" s="1">
        <v>2.5</v>
      </c>
      <c r="T2356" s="1" t="str">
        <f t="shared" si="290"/>
        <v>-text 0,131 2.5 90 266.468</v>
      </c>
    </row>
    <row r="2357" spans="1:20" x14ac:dyDescent="0.35">
      <c r="A2357" s="1">
        <v>297020</v>
      </c>
      <c r="B2357" s="7">
        <v>1186509.1000000001</v>
      </c>
      <c r="C2357" s="2">
        <v>267.87799999999999</v>
      </c>
      <c r="D2357" s="9">
        <v>268.27100000000002</v>
      </c>
      <c r="E2357" s="9">
        <v>0.39300000000000002</v>
      </c>
      <c r="F2357" s="2">
        <v>267.20600000000002</v>
      </c>
      <c r="G2357" s="2">
        <v>267.55799999999999</v>
      </c>
      <c r="H2357" s="2">
        <v>0.35199999999999998</v>
      </c>
      <c r="I2357" s="2">
        <v>267.20600000000002</v>
      </c>
      <c r="J2357" s="2">
        <v>266.666</v>
      </c>
      <c r="K2357" s="15">
        <v>0.89200000000000002</v>
      </c>
      <c r="L2357" s="2">
        <v>12.61</v>
      </c>
      <c r="N2357" s="7">
        <f t="shared" ref="N2357:N2381" si="293">N2356+(B2357-B2356)</f>
        <v>20</v>
      </c>
      <c r="O2357" s="1">
        <f t="shared" si="289"/>
        <v>131</v>
      </c>
      <c r="P2357" s="1" t="str">
        <f t="shared" si="291"/>
        <v>20,131</v>
      </c>
      <c r="Q2357" s="6" t="s">
        <v>10</v>
      </c>
      <c r="R2357" s="1">
        <v>90</v>
      </c>
      <c r="S2357" s="1">
        <v>2.5</v>
      </c>
      <c r="T2357" s="1" t="str">
        <f t="shared" si="290"/>
        <v>-text 20,131 2.5 90 266.666</v>
      </c>
    </row>
    <row r="2358" spans="1:20" x14ac:dyDescent="0.35">
      <c r="A2358" s="1">
        <v>297040</v>
      </c>
      <c r="B2358" s="7">
        <v>1186529.2</v>
      </c>
      <c r="C2358" s="2">
        <v>267.85899999999998</v>
      </c>
      <c r="D2358" s="9">
        <v>268.25900000000001</v>
      </c>
      <c r="E2358" s="9">
        <v>0.4</v>
      </c>
      <c r="F2358" s="2">
        <v>267.18700000000001</v>
      </c>
      <c r="G2358" s="2">
        <v>267.54599999999999</v>
      </c>
      <c r="H2358" s="2">
        <v>0.35899999999999999</v>
      </c>
      <c r="I2358" s="2">
        <v>267.26900000000001</v>
      </c>
      <c r="J2358" s="2">
        <v>266.71499999999997</v>
      </c>
      <c r="K2358" s="15">
        <v>0.83099999999999996</v>
      </c>
      <c r="L2358" s="2">
        <v>12.589</v>
      </c>
      <c r="N2358" s="7">
        <f t="shared" si="293"/>
        <v>40.099999999860302</v>
      </c>
      <c r="O2358" s="1">
        <f t="shared" si="289"/>
        <v>131</v>
      </c>
      <c r="P2358" s="1" t="str">
        <f t="shared" si="291"/>
        <v>40.0999999998603,131</v>
      </c>
      <c r="Q2358" s="6" t="s">
        <v>10</v>
      </c>
      <c r="R2358" s="1">
        <v>90</v>
      </c>
      <c r="S2358" s="1">
        <v>2.5</v>
      </c>
      <c r="T2358" s="1" t="str">
        <f t="shared" si="290"/>
        <v>-text 40.0999999998603,131 2.5 90 266.715</v>
      </c>
    </row>
    <row r="2359" spans="1:20" x14ac:dyDescent="0.35">
      <c r="A2359" s="1">
        <v>297060</v>
      </c>
      <c r="B2359" s="7">
        <v>1186549.2</v>
      </c>
      <c r="C2359" s="2">
        <v>267.834</v>
      </c>
      <c r="D2359" s="9">
        <v>268.24700000000001</v>
      </c>
      <c r="E2359" s="9">
        <v>0.41299999999999998</v>
      </c>
      <c r="F2359" s="2">
        <v>267.16199999999998</v>
      </c>
      <c r="G2359" s="2">
        <v>267.53399999999999</v>
      </c>
      <c r="H2359" s="2">
        <v>0.372</v>
      </c>
      <c r="I2359" s="2">
        <v>267.26100000000002</v>
      </c>
      <c r="J2359" s="2">
        <v>266.613</v>
      </c>
      <c r="K2359" s="15">
        <v>0.92100000000000004</v>
      </c>
      <c r="L2359" s="2">
        <v>12.57</v>
      </c>
      <c r="N2359" s="7">
        <f t="shared" si="293"/>
        <v>60.099999999860302</v>
      </c>
      <c r="O2359" s="1">
        <f t="shared" si="289"/>
        <v>131</v>
      </c>
      <c r="P2359" s="1" t="str">
        <f t="shared" si="291"/>
        <v>60.0999999998603,131</v>
      </c>
      <c r="Q2359" s="6" t="s">
        <v>10</v>
      </c>
      <c r="R2359" s="1">
        <v>90</v>
      </c>
      <c r="S2359" s="1">
        <v>2.5</v>
      </c>
      <c r="T2359" s="1" t="str">
        <f t="shared" si="290"/>
        <v>-text 60.0999999998603,131 2.5 90 266.613</v>
      </c>
    </row>
    <row r="2360" spans="1:20" x14ac:dyDescent="0.35">
      <c r="A2360" s="1">
        <v>297080</v>
      </c>
      <c r="B2360" s="7">
        <v>1186569.1000000001</v>
      </c>
      <c r="C2360" s="2">
        <v>267.82799999999997</v>
      </c>
      <c r="D2360" s="9">
        <v>268.23500000000001</v>
      </c>
      <c r="E2360" s="9">
        <v>0.40699999999999997</v>
      </c>
      <c r="F2360" s="2">
        <v>267.15600000000001</v>
      </c>
      <c r="G2360" s="2">
        <v>267.52199999999999</v>
      </c>
      <c r="H2360" s="2">
        <v>0.36599999999999999</v>
      </c>
      <c r="I2360" s="2">
        <v>267.10000000000002</v>
      </c>
      <c r="J2360" s="2">
        <v>266.45600000000002</v>
      </c>
      <c r="K2360" s="15">
        <v>1.0660000000000001</v>
      </c>
      <c r="L2360" s="2">
        <v>12.535</v>
      </c>
      <c r="N2360" s="7">
        <f t="shared" si="293"/>
        <v>80</v>
      </c>
      <c r="O2360" s="1">
        <f t="shared" si="289"/>
        <v>131</v>
      </c>
      <c r="P2360" s="1" t="str">
        <f t="shared" si="291"/>
        <v>80,131</v>
      </c>
      <c r="Q2360" s="6" t="s">
        <v>10</v>
      </c>
      <c r="R2360" s="1">
        <v>90</v>
      </c>
      <c r="S2360" s="1">
        <v>2.5</v>
      </c>
      <c r="T2360" s="1" t="str">
        <f t="shared" si="290"/>
        <v>-text 80,131 2.5 90 266.456</v>
      </c>
    </row>
    <row r="2361" spans="1:20" x14ac:dyDescent="0.35">
      <c r="A2361" s="1">
        <v>297100</v>
      </c>
      <c r="B2361" s="7">
        <v>1186589.2</v>
      </c>
      <c r="C2361" s="2">
        <v>267.81799999999998</v>
      </c>
      <c r="D2361" s="9">
        <v>268.22300000000001</v>
      </c>
      <c r="E2361" s="9">
        <v>0.40400000000000003</v>
      </c>
      <c r="F2361" s="2">
        <v>267.14600000000002</v>
      </c>
      <c r="G2361" s="2">
        <v>267.51</v>
      </c>
      <c r="H2361" s="2">
        <v>0.36299999999999999</v>
      </c>
      <c r="I2361" s="2">
        <v>266.91500000000002</v>
      </c>
      <c r="J2361" s="2">
        <v>266.334</v>
      </c>
      <c r="K2361" s="15">
        <v>1.1759999999999999</v>
      </c>
      <c r="L2361" s="2">
        <v>12.505000000000001</v>
      </c>
      <c r="N2361" s="7">
        <f t="shared" si="293"/>
        <v>100.0999999998603</v>
      </c>
      <c r="O2361" s="1">
        <f t="shared" si="289"/>
        <v>131</v>
      </c>
      <c r="P2361" s="1" t="str">
        <f t="shared" si="291"/>
        <v>100.09999999986,131</v>
      </c>
      <c r="Q2361" s="6" t="s">
        <v>10</v>
      </c>
      <c r="R2361" s="1">
        <v>90</v>
      </c>
      <c r="S2361" s="1">
        <v>2.5</v>
      </c>
      <c r="T2361" s="1" t="str">
        <f t="shared" si="290"/>
        <v>-text 100.09999999986,131 2.5 90 266.334</v>
      </c>
    </row>
    <row r="2362" spans="1:20" x14ac:dyDescent="0.35">
      <c r="A2362" s="1">
        <v>297120</v>
      </c>
      <c r="B2362" s="7">
        <v>1186609.2</v>
      </c>
      <c r="C2362" s="2">
        <v>267.79700000000003</v>
      </c>
      <c r="D2362" s="9">
        <v>268.21100000000001</v>
      </c>
      <c r="E2362" s="9">
        <v>0.41399999999999998</v>
      </c>
      <c r="F2362" s="2">
        <v>267.125</v>
      </c>
      <c r="G2362" s="2">
        <v>267.49799999999999</v>
      </c>
      <c r="H2362" s="2">
        <v>0.373</v>
      </c>
      <c r="I2362" s="2">
        <v>266.79000000000002</v>
      </c>
      <c r="J2362" s="2">
        <v>266.37900000000002</v>
      </c>
      <c r="K2362" s="15">
        <v>1.119</v>
      </c>
      <c r="L2362" s="2">
        <v>12.496</v>
      </c>
      <c r="N2362" s="7">
        <f t="shared" si="293"/>
        <v>120.0999999998603</v>
      </c>
      <c r="O2362" s="1">
        <f t="shared" si="289"/>
        <v>131</v>
      </c>
      <c r="P2362" s="1" t="str">
        <f t="shared" si="291"/>
        <v>120.09999999986,131</v>
      </c>
      <c r="Q2362" s="6" t="s">
        <v>10</v>
      </c>
      <c r="R2362" s="1">
        <v>90</v>
      </c>
      <c r="S2362" s="1">
        <v>2.5</v>
      </c>
      <c r="T2362" s="1" t="str">
        <f t="shared" si="290"/>
        <v>-text 120.09999999986,131 2.5 90 266.379</v>
      </c>
    </row>
    <row r="2363" spans="1:20" x14ac:dyDescent="0.35">
      <c r="A2363" s="1">
        <v>297140</v>
      </c>
      <c r="B2363" s="7">
        <v>1186629.2</v>
      </c>
      <c r="C2363" s="2">
        <v>267.77199999999999</v>
      </c>
      <c r="D2363" s="9">
        <v>268.19900000000001</v>
      </c>
      <c r="E2363" s="9">
        <v>0.42699999999999999</v>
      </c>
      <c r="F2363" s="2">
        <v>267.10000000000002</v>
      </c>
      <c r="G2363" s="2">
        <v>267.48599999999999</v>
      </c>
      <c r="H2363" s="2">
        <v>0.38600000000000001</v>
      </c>
      <c r="I2363" s="2">
        <v>266.75799999999998</v>
      </c>
      <c r="J2363" s="2">
        <v>266.34500000000003</v>
      </c>
      <c r="K2363" s="15">
        <v>1.141</v>
      </c>
      <c r="L2363" s="2">
        <v>12.478999999999999</v>
      </c>
      <c r="N2363" s="7">
        <f t="shared" si="293"/>
        <v>140.0999999998603</v>
      </c>
      <c r="O2363" s="1">
        <f t="shared" si="289"/>
        <v>131</v>
      </c>
      <c r="P2363" s="1" t="str">
        <f t="shared" si="291"/>
        <v>140.09999999986,131</v>
      </c>
      <c r="Q2363" s="6" t="s">
        <v>10</v>
      </c>
      <c r="R2363" s="1">
        <v>90</v>
      </c>
      <c r="S2363" s="1">
        <v>2.5</v>
      </c>
      <c r="T2363" s="1" t="str">
        <f t="shared" si="290"/>
        <v>-text 140.09999999986,131 2.5 90 266.345</v>
      </c>
    </row>
    <row r="2364" spans="1:20" x14ac:dyDescent="0.35">
      <c r="A2364" s="1">
        <v>297160</v>
      </c>
      <c r="B2364" s="7">
        <v>1186649.2</v>
      </c>
      <c r="C2364" s="2">
        <v>267.745</v>
      </c>
      <c r="D2364" s="9">
        <v>268.18700000000001</v>
      </c>
      <c r="E2364" s="9">
        <v>0.442</v>
      </c>
      <c r="F2364" s="2">
        <v>267.07299999999998</v>
      </c>
      <c r="G2364" s="2">
        <v>267.47399999999999</v>
      </c>
      <c r="H2364" s="2">
        <v>0.40100000000000002</v>
      </c>
      <c r="I2364" s="2">
        <v>266.79599999999999</v>
      </c>
      <c r="J2364" s="2">
        <v>266.31400000000002</v>
      </c>
      <c r="K2364" s="15">
        <v>1.1599999999999999</v>
      </c>
      <c r="L2364" s="2">
        <v>12.457000000000001</v>
      </c>
      <c r="N2364" s="7">
        <f t="shared" si="293"/>
        <v>160.0999999998603</v>
      </c>
      <c r="O2364" s="1">
        <f t="shared" si="289"/>
        <v>131</v>
      </c>
      <c r="P2364" s="1" t="str">
        <f t="shared" si="291"/>
        <v>160.09999999986,131</v>
      </c>
      <c r="Q2364" s="6" t="s">
        <v>10</v>
      </c>
      <c r="R2364" s="1">
        <v>90</v>
      </c>
      <c r="S2364" s="1">
        <v>2.5</v>
      </c>
      <c r="T2364" s="1" t="str">
        <f t="shared" si="290"/>
        <v>-text 160.09999999986,131 2.5 90 266.314</v>
      </c>
    </row>
    <row r="2365" spans="1:20" x14ac:dyDescent="0.35">
      <c r="A2365" s="1">
        <v>297180</v>
      </c>
      <c r="B2365" s="7">
        <v>1186669.2</v>
      </c>
      <c r="C2365" s="2">
        <v>267.72699999999998</v>
      </c>
      <c r="D2365" s="9">
        <v>268.17500000000001</v>
      </c>
      <c r="E2365" s="9">
        <v>0.44800000000000001</v>
      </c>
      <c r="F2365" s="2">
        <v>267.05500000000001</v>
      </c>
      <c r="G2365" s="2">
        <v>267.46199999999999</v>
      </c>
      <c r="H2365" s="2">
        <v>0.40699999999999997</v>
      </c>
      <c r="I2365" s="2">
        <v>266.80500000000001</v>
      </c>
      <c r="J2365" s="2">
        <v>266.26100000000002</v>
      </c>
      <c r="K2365" s="15">
        <v>1.2010000000000001</v>
      </c>
      <c r="L2365" s="2">
        <v>12.433999999999999</v>
      </c>
      <c r="N2365" s="7">
        <f t="shared" si="293"/>
        <v>180.0999999998603</v>
      </c>
      <c r="O2365" s="1">
        <f t="shared" si="289"/>
        <v>131</v>
      </c>
      <c r="P2365" s="1" t="str">
        <f t="shared" si="291"/>
        <v>180.09999999986,131</v>
      </c>
      <c r="Q2365" s="6" t="s">
        <v>10</v>
      </c>
      <c r="R2365" s="1">
        <v>90</v>
      </c>
      <c r="S2365" s="1">
        <v>2.5</v>
      </c>
      <c r="T2365" s="1" t="str">
        <f t="shared" si="290"/>
        <v>-text 180.09999999986,131 2.5 90 266.261</v>
      </c>
    </row>
    <row r="2366" spans="1:20" x14ac:dyDescent="0.35">
      <c r="A2366" s="1">
        <v>297200</v>
      </c>
      <c r="B2366" s="7">
        <v>1186689.2</v>
      </c>
      <c r="C2366" s="2">
        <v>267.71100000000001</v>
      </c>
      <c r="D2366" s="9">
        <v>268.16300000000001</v>
      </c>
      <c r="E2366" s="9">
        <v>0.45200000000000001</v>
      </c>
      <c r="F2366" s="2">
        <v>267.03899999999999</v>
      </c>
      <c r="G2366" s="2">
        <v>267.45</v>
      </c>
      <c r="H2366" s="2">
        <v>0.41099999999999998</v>
      </c>
      <c r="I2366" s="2">
        <v>266.83999999999997</v>
      </c>
      <c r="J2366" s="2">
        <v>266.21100000000001</v>
      </c>
      <c r="K2366" s="15">
        <v>1.2390000000000001</v>
      </c>
      <c r="L2366" s="2">
        <v>12.412000000000001</v>
      </c>
      <c r="N2366" s="7">
        <f t="shared" si="293"/>
        <v>200.0999999998603</v>
      </c>
      <c r="O2366" s="1">
        <f t="shared" si="289"/>
        <v>131</v>
      </c>
      <c r="P2366" s="1" t="str">
        <f t="shared" si="291"/>
        <v>200.09999999986,131</v>
      </c>
      <c r="Q2366" s="6" t="s">
        <v>10</v>
      </c>
      <c r="R2366" s="1">
        <v>90</v>
      </c>
      <c r="S2366" s="1">
        <v>2.5</v>
      </c>
      <c r="T2366" s="1" t="str">
        <f t="shared" si="290"/>
        <v>-text 200.09999999986,131 2.5 90 266.211</v>
      </c>
    </row>
    <row r="2367" spans="1:20" x14ac:dyDescent="0.35">
      <c r="A2367" s="1">
        <v>297220</v>
      </c>
      <c r="B2367" s="7">
        <v>1186709.2</v>
      </c>
      <c r="C2367" s="2">
        <v>267.702</v>
      </c>
      <c r="D2367" s="9">
        <v>268.15100000000001</v>
      </c>
      <c r="E2367" s="9">
        <v>0.44900000000000001</v>
      </c>
      <c r="F2367" s="2">
        <v>267.02999999999997</v>
      </c>
      <c r="G2367" s="2">
        <v>267.43799999999999</v>
      </c>
      <c r="H2367" s="2">
        <v>0.40799999999999997</v>
      </c>
      <c r="I2367" s="2">
        <v>266.88</v>
      </c>
      <c r="J2367" s="2">
        <v>266.15899999999999</v>
      </c>
      <c r="K2367" s="15">
        <v>1.2789999999999999</v>
      </c>
      <c r="L2367" s="2">
        <v>12.41</v>
      </c>
      <c r="N2367" s="7">
        <f t="shared" si="293"/>
        <v>220.0999999998603</v>
      </c>
      <c r="O2367" s="1">
        <f t="shared" si="289"/>
        <v>131</v>
      </c>
      <c r="P2367" s="1" t="str">
        <f t="shared" si="291"/>
        <v>220.09999999986,131</v>
      </c>
      <c r="Q2367" s="6" t="s">
        <v>10</v>
      </c>
      <c r="R2367" s="1">
        <v>90</v>
      </c>
      <c r="S2367" s="1">
        <v>2.5</v>
      </c>
      <c r="T2367" s="1" t="str">
        <f t="shared" si="290"/>
        <v>-text 220.09999999986,131 2.5 90 266.159</v>
      </c>
    </row>
    <row r="2368" spans="1:20" x14ac:dyDescent="0.35">
      <c r="A2368" s="1">
        <v>297240</v>
      </c>
      <c r="B2368" s="7">
        <v>1186729.2</v>
      </c>
      <c r="C2368" s="2">
        <v>267.69799999999998</v>
      </c>
      <c r="D2368" s="9">
        <v>268.13900000000001</v>
      </c>
      <c r="E2368" s="9">
        <v>0.441</v>
      </c>
      <c r="F2368" s="2">
        <v>267.02600000000001</v>
      </c>
      <c r="G2368" s="2">
        <v>267.42599999999999</v>
      </c>
      <c r="H2368" s="2">
        <v>0.4</v>
      </c>
      <c r="I2368" s="2">
        <v>266.89</v>
      </c>
      <c r="J2368" s="2">
        <v>266.09800000000001</v>
      </c>
      <c r="K2368" s="15">
        <v>1.3280000000000001</v>
      </c>
      <c r="L2368" s="2">
        <v>12.406000000000001</v>
      </c>
      <c r="N2368" s="7">
        <f t="shared" si="293"/>
        <v>240.0999999998603</v>
      </c>
      <c r="O2368" s="1">
        <f t="shared" si="289"/>
        <v>131</v>
      </c>
      <c r="P2368" s="1" t="str">
        <f t="shared" si="291"/>
        <v>240.09999999986,131</v>
      </c>
      <c r="Q2368" s="6" t="s">
        <v>10</v>
      </c>
      <c r="R2368" s="1">
        <v>90</v>
      </c>
      <c r="S2368" s="1">
        <v>2.5</v>
      </c>
      <c r="T2368" s="1" t="str">
        <f t="shared" si="290"/>
        <v>-text 240.09999999986,131 2.5 90 266.098</v>
      </c>
    </row>
    <row r="2369" spans="1:20" x14ac:dyDescent="0.35">
      <c r="A2369" s="1">
        <v>297260</v>
      </c>
      <c r="B2369" s="7">
        <v>1186749.2</v>
      </c>
      <c r="C2369" s="2">
        <v>267.70600000000002</v>
      </c>
      <c r="D2369" s="9">
        <v>268.12700000000001</v>
      </c>
      <c r="E2369" s="9">
        <v>0.42099999999999999</v>
      </c>
      <c r="F2369" s="2">
        <v>267.03399999999999</v>
      </c>
      <c r="G2369" s="2">
        <v>267.41399999999999</v>
      </c>
      <c r="H2369" s="2">
        <v>0.38</v>
      </c>
      <c r="I2369" s="2">
        <v>266.834</v>
      </c>
      <c r="J2369" s="2">
        <v>266.13600000000002</v>
      </c>
      <c r="K2369" s="15">
        <v>1.278</v>
      </c>
      <c r="L2369" s="2">
        <v>12.395</v>
      </c>
      <c r="N2369" s="7">
        <f t="shared" si="293"/>
        <v>260.0999999998603</v>
      </c>
      <c r="O2369" s="1">
        <f t="shared" si="289"/>
        <v>131</v>
      </c>
      <c r="P2369" s="1" t="str">
        <f t="shared" si="291"/>
        <v>260.09999999986,131</v>
      </c>
      <c r="Q2369" s="6" t="s">
        <v>10</v>
      </c>
      <c r="R2369" s="1">
        <v>90</v>
      </c>
      <c r="S2369" s="1">
        <v>2.5</v>
      </c>
      <c r="T2369" s="1" t="str">
        <f t="shared" si="290"/>
        <v>-text 260.09999999986,131 2.5 90 266.136</v>
      </c>
    </row>
    <row r="2370" spans="1:20" x14ac:dyDescent="0.35">
      <c r="A2370" s="1">
        <v>297280</v>
      </c>
      <c r="B2370" s="7">
        <v>1186769.2</v>
      </c>
      <c r="C2370" s="2">
        <v>267.70699999999999</v>
      </c>
      <c r="D2370" s="9">
        <v>268.11500000000001</v>
      </c>
      <c r="E2370" s="9">
        <v>0.40799999999999997</v>
      </c>
      <c r="F2370" s="2">
        <v>267.03500000000003</v>
      </c>
      <c r="G2370" s="2">
        <v>267.40199999999999</v>
      </c>
      <c r="H2370" s="2">
        <v>0.36699999999999999</v>
      </c>
      <c r="I2370" s="2">
        <v>266.85399999999998</v>
      </c>
      <c r="J2370" s="2">
        <v>266.18900000000002</v>
      </c>
      <c r="K2370" s="15">
        <v>1.2130000000000001</v>
      </c>
      <c r="L2370" s="2">
        <v>12.384</v>
      </c>
      <c r="N2370" s="7">
        <f t="shared" si="293"/>
        <v>280.0999999998603</v>
      </c>
      <c r="O2370" s="1">
        <f t="shared" si="289"/>
        <v>131</v>
      </c>
      <c r="P2370" s="1" t="str">
        <f t="shared" si="291"/>
        <v>280.09999999986,131</v>
      </c>
      <c r="Q2370" s="6" t="s">
        <v>10</v>
      </c>
      <c r="R2370" s="1">
        <v>90</v>
      </c>
      <c r="S2370" s="1">
        <v>2.5</v>
      </c>
      <c r="T2370" s="1" t="str">
        <f t="shared" si="290"/>
        <v>-text 280.09999999986,131 2.5 90 266.189</v>
      </c>
    </row>
    <row r="2371" spans="1:20" x14ac:dyDescent="0.35">
      <c r="A2371" s="1">
        <v>297300</v>
      </c>
      <c r="B2371" s="7">
        <v>1186789.2</v>
      </c>
      <c r="C2371" s="2">
        <v>267.702</v>
      </c>
      <c r="D2371" s="9">
        <v>268.10300000000001</v>
      </c>
      <c r="E2371" s="9">
        <v>0.40100000000000002</v>
      </c>
      <c r="F2371" s="2">
        <v>267.02999999999997</v>
      </c>
      <c r="G2371" s="2">
        <v>267.39</v>
      </c>
      <c r="H2371" s="2">
        <v>0.36</v>
      </c>
      <c r="I2371" s="2">
        <v>266.94299999999998</v>
      </c>
      <c r="J2371" s="2">
        <v>266.33600000000001</v>
      </c>
      <c r="K2371" s="15">
        <v>1.054</v>
      </c>
      <c r="L2371" s="2">
        <v>12.372999999999999</v>
      </c>
      <c r="N2371" s="7">
        <f t="shared" si="293"/>
        <v>300.0999999998603</v>
      </c>
      <c r="O2371" s="1">
        <f t="shared" si="289"/>
        <v>131</v>
      </c>
      <c r="P2371" s="1" t="str">
        <f t="shared" si="291"/>
        <v>300.09999999986,131</v>
      </c>
      <c r="Q2371" s="6" t="s">
        <v>10</v>
      </c>
      <c r="R2371" s="1">
        <v>90</v>
      </c>
      <c r="S2371" s="1">
        <v>2.5</v>
      </c>
      <c r="T2371" s="1" t="str">
        <f t="shared" si="290"/>
        <v>-text 300.09999999986,131 2.5 90 266.336</v>
      </c>
    </row>
    <row r="2372" spans="1:20" x14ac:dyDescent="0.35">
      <c r="A2372" s="1">
        <v>297320</v>
      </c>
      <c r="B2372" s="7">
        <v>1186809.2</v>
      </c>
      <c r="C2372" s="2">
        <v>267.697</v>
      </c>
      <c r="D2372" s="9">
        <v>268.09100000000001</v>
      </c>
      <c r="E2372" s="9">
        <v>0.39400000000000002</v>
      </c>
      <c r="F2372" s="2">
        <v>267.02499999999998</v>
      </c>
      <c r="G2372" s="2">
        <v>267.37799999999999</v>
      </c>
      <c r="H2372" s="2">
        <v>0.35299999999999998</v>
      </c>
      <c r="I2372" s="2">
        <v>267.00299999999999</v>
      </c>
      <c r="J2372" s="2">
        <v>266.387</v>
      </c>
      <c r="K2372" s="15">
        <v>0.99099999999999999</v>
      </c>
      <c r="L2372" s="2">
        <v>12.368</v>
      </c>
      <c r="N2372" s="7">
        <f t="shared" si="293"/>
        <v>320.0999999998603</v>
      </c>
      <c r="O2372" s="1">
        <f t="shared" si="289"/>
        <v>131</v>
      </c>
      <c r="P2372" s="1" t="str">
        <f t="shared" si="291"/>
        <v>320.09999999986,131</v>
      </c>
      <c r="Q2372" s="6" t="s">
        <v>10</v>
      </c>
      <c r="R2372" s="1">
        <v>90</v>
      </c>
      <c r="S2372" s="1">
        <v>2.5</v>
      </c>
      <c r="T2372" s="1" t="str">
        <f t="shared" si="290"/>
        <v>-text 320.09999999986,131 2.5 90 266.387</v>
      </c>
    </row>
    <row r="2373" spans="1:20" x14ac:dyDescent="0.35">
      <c r="A2373" s="1">
        <v>297340</v>
      </c>
      <c r="B2373" s="7">
        <v>1186829.2</v>
      </c>
      <c r="C2373" s="2">
        <v>267.69299999999998</v>
      </c>
      <c r="D2373" s="9">
        <v>268.07900000000001</v>
      </c>
      <c r="E2373" s="9">
        <v>0.38600000000000001</v>
      </c>
      <c r="F2373" s="2">
        <v>267.02100000000002</v>
      </c>
      <c r="G2373" s="2">
        <v>267.36599999999999</v>
      </c>
      <c r="H2373" s="2">
        <v>0.34499999999999997</v>
      </c>
      <c r="I2373" s="2">
        <v>267.04399999999998</v>
      </c>
      <c r="J2373" s="2">
        <v>266.27800000000002</v>
      </c>
      <c r="K2373" s="15">
        <v>1.0880000000000001</v>
      </c>
      <c r="L2373" s="2">
        <v>12.364000000000001</v>
      </c>
      <c r="N2373" s="7">
        <f t="shared" si="293"/>
        <v>340.0999999998603</v>
      </c>
      <c r="O2373" s="1">
        <f t="shared" si="289"/>
        <v>131</v>
      </c>
      <c r="P2373" s="1" t="str">
        <f t="shared" si="291"/>
        <v>340.09999999986,131</v>
      </c>
      <c r="Q2373" s="6" t="s">
        <v>10</v>
      </c>
      <c r="R2373" s="1">
        <v>90</v>
      </c>
      <c r="S2373" s="1">
        <v>2.5</v>
      </c>
      <c r="T2373" s="1" t="str">
        <f t="shared" si="290"/>
        <v>-text 340.09999999986,131 2.5 90 266.278</v>
      </c>
    </row>
    <row r="2374" spans="1:20" x14ac:dyDescent="0.35">
      <c r="A2374" s="1">
        <v>297360</v>
      </c>
      <c r="B2374" s="7">
        <v>1186849.2</v>
      </c>
      <c r="C2374" s="2">
        <v>267.68799999999999</v>
      </c>
      <c r="D2374" s="9">
        <v>268.06700000000001</v>
      </c>
      <c r="E2374" s="9">
        <v>0.379</v>
      </c>
      <c r="F2374" s="2">
        <v>267.01600000000002</v>
      </c>
      <c r="G2374" s="2">
        <v>267.35399999999998</v>
      </c>
      <c r="H2374" s="2">
        <v>0.33800000000000002</v>
      </c>
      <c r="I2374" s="2">
        <v>267.096</v>
      </c>
      <c r="J2374" s="2">
        <v>266.053</v>
      </c>
      <c r="K2374" s="15">
        <v>1.3009999999999999</v>
      </c>
      <c r="L2374" s="2">
        <v>12.36</v>
      </c>
      <c r="N2374" s="7">
        <f t="shared" si="293"/>
        <v>360.0999999998603</v>
      </c>
      <c r="O2374" s="1">
        <f t="shared" si="289"/>
        <v>131</v>
      </c>
      <c r="P2374" s="1" t="str">
        <f t="shared" si="291"/>
        <v>360.09999999986,131</v>
      </c>
      <c r="Q2374" s="6" t="s">
        <v>10</v>
      </c>
      <c r="R2374" s="1">
        <v>90</v>
      </c>
      <c r="S2374" s="1">
        <v>2.5</v>
      </c>
      <c r="T2374" s="1" t="str">
        <f t="shared" si="290"/>
        <v>-text 360.09999999986,131 2.5 90 266.053</v>
      </c>
    </row>
    <row r="2375" spans="1:20" x14ac:dyDescent="0.35">
      <c r="A2375" s="1">
        <v>297380</v>
      </c>
      <c r="B2375" s="7">
        <v>1186869.2</v>
      </c>
      <c r="C2375" s="2">
        <v>267.65800000000002</v>
      </c>
      <c r="D2375" s="9">
        <v>268.05500000000001</v>
      </c>
      <c r="E2375" s="9">
        <v>0.39700000000000002</v>
      </c>
      <c r="F2375" s="2">
        <v>266.98599999999999</v>
      </c>
      <c r="G2375" s="2">
        <v>267.34199999999998</v>
      </c>
      <c r="H2375" s="2">
        <v>0.35599999999999998</v>
      </c>
      <c r="I2375" s="2">
        <v>267.09399999999999</v>
      </c>
      <c r="J2375" s="2">
        <v>265.82499999999999</v>
      </c>
      <c r="K2375" s="15">
        <v>1.5169999999999999</v>
      </c>
      <c r="L2375" s="2">
        <v>12.353999999999999</v>
      </c>
      <c r="N2375" s="7">
        <f t="shared" si="293"/>
        <v>380.0999999998603</v>
      </c>
      <c r="O2375" s="1">
        <f t="shared" si="289"/>
        <v>131</v>
      </c>
      <c r="P2375" s="1" t="str">
        <f t="shared" si="291"/>
        <v>380.09999999986,131</v>
      </c>
      <c r="Q2375" s="6" t="s">
        <v>10</v>
      </c>
      <c r="R2375" s="1">
        <v>90</v>
      </c>
      <c r="S2375" s="1">
        <v>2.5</v>
      </c>
      <c r="T2375" s="1" t="str">
        <f t="shared" si="290"/>
        <v>-text 380.09999999986,131 2.5 90 265.825</v>
      </c>
    </row>
    <row r="2376" spans="1:20" x14ac:dyDescent="0.35">
      <c r="A2376" s="1">
        <v>297400</v>
      </c>
      <c r="B2376" s="7">
        <v>1186889.2</v>
      </c>
      <c r="C2376" s="2">
        <v>267.63499999999999</v>
      </c>
      <c r="D2376" s="9">
        <v>268.04300000000001</v>
      </c>
      <c r="E2376" s="9">
        <v>0.40799999999999997</v>
      </c>
      <c r="F2376" s="2">
        <v>266.96300000000002</v>
      </c>
      <c r="G2376" s="2">
        <v>267.33</v>
      </c>
      <c r="H2376" s="2">
        <v>0.36699999999999999</v>
      </c>
      <c r="I2376" s="2">
        <v>267.01900000000001</v>
      </c>
      <c r="J2376" s="2">
        <v>265.86099999999999</v>
      </c>
      <c r="K2376" s="15">
        <v>1.4690000000000001</v>
      </c>
      <c r="L2376" s="2">
        <v>12.331</v>
      </c>
      <c r="N2376" s="7">
        <f t="shared" si="293"/>
        <v>400.0999999998603</v>
      </c>
      <c r="O2376" s="1">
        <f t="shared" si="289"/>
        <v>131</v>
      </c>
      <c r="P2376" s="1" t="str">
        <f t="shared" si="291"/>
        <v>400.09999999986,131</v>
      </c>
      <c r="Q2376" s="6" t="s">
        <v>10</v>
      </c>
      <c r="R2376" s="1">
        <v>90</v>
      </c>
      <c r="S2376" s="1">
        <v>2.5</v>
      </c>
      <c r="T2376" s="1" t="str">
        <f t="shared" si="290"/>
        <v>-text 400.09999999986,131 2.5 90 265.861</v>
      </c>
    </row>
    <row r="2377" spans="1:20" x14ac:dyDescent="0.35">
      <c r="A2377" s="1">
        <v>297420</v>
      </c>
      <c r="B2377" s="7">
        <v>1186909.2</v>
      </c>
      <c r="C2377" s="2">
        <v>267.62299999999999</v>
      </c>
      <c r="D2377" s="9">
        <v>268.03100000000001</v>
      </c>
      <c r="E2377" s="9">
        <v>0.40799999999999997</v>
      </c>
      <c r="F2377" s="2">
        <v>266.95100000000002</v>
      </c>
      <c r="G2377" s="2">
        <v>267.31799999999998</v>
      </c>
      <c r="H2377" s="2">
        <v>0.36699999999999999</v>
      </c>
      <c r="I2377" s="2">
        <v>266.95100000000002</v>
      </c>
      <c r="J2377" s="2">
        <v>265.91399999999999</v>
      </c>
      <c r="K2377" s="15">
        <v>1.4039999999999999</v>
      </c>
      <c r="L2377" s="2">
        <v>12.319000000000001</v>
      </c>
      <c r="N2377" s="7">
        <f t="shared" si="293"/>
        <v>420.0999999998603</v>
      </c>
      <c r="O2377" s="1">
        <f t="shared" si="289"/>
        <v>131</v>
      </c>
      <c r="P2377" s="1" t="str">
        <f t="shared" si="291"/>
        <v>420.09999999986,131</v>
      </c>
      <c r="Q2377" s="6" t="s">
        <v>10</v>
      </c>
      <c r="R2377" s="1">
        <v>90</v>
      </c>
      <c r="S2377" s="1">
        <v>2.5</v>
      </c>
      <c r="T2377" s="1" t="str">
        <f t="shared" si="290"/>
        <v>-text 420.09999999986,131 2.5 90 265.914</v>
      </c>
    </row>
    <row r="2378" spans="1:20" x14ac:dyDescent="0.35">
      <c r="A2378" s="1">
        <v>297440</v>
      </c>
      <c r="B2378" s="7">
        <v>1186929.2</v>
      </c>
      <c r="C2378" s="2">
        <v>267.61799999999999</v>
      </c>
      <c r="D2378" s="9">
        <v>268.01900000000001</v>
      </c>
      <c r="E2378" s="9">
        <v>0.40100000000000002</v>
      </c>
      <c r="F2378" s="2">
        <v>266.94600000000003</v>
      </c>
      <c r="G2378" s="2">
        <v>267.30599999999998</v>
      </c>
      <c r="H2378" s="2">
        <v>0.36</v>
      </c>
      <c r="I2378" s="2">
        <v>266.892</v>
      </c>
      <c r="J2378" s="2">
        <v>265.92</v>
      </c>
      <c r="K2378" s="15">
        <v>1.3859999999999999</v>
      </c>
      <c r="L2378" s="2">
        <v>12.318</v>
      </c>
      <c r="N2378" s="7">
        <f t="shared" si="293"/>
        <v>440.0999999998603</v>
      </c>
      <c r="O2378" s="1">
        <f t="shared" si="289"/>
        <v>131</v>
      </c>
      <c r="P2378" s="1" t="str">
        <f t="shared" si="291"/>
        <v>440.09999999986,131</v>
      </c>
      <c r="Q2378" s="6" t="s">
        <v>10</v>
      </c>
      <c r="R2378" s="1">
        <v>90</v>
      </c>
      <c r="S2378" s="1">
        <v>2.5</v>
      </c>
      <c r="T2378" s="1" t="str">
        <f t="shared" si="290"/>
        <v>-text 440.09999999986,131 2.5 90 265.92</v>
      </c>
    </row>
    <row r="2379" spans="1:20" x14ac:dyDescent="0.35">
      <c r="A2379" s="1">
        <v>297460</v>
      </c>
      <c r="B2379" s="7">
        <v>1186949.2</v>
      </c>
      <c r="C2379" s="2">
        <v>267.62299999999999</v>
      </c>
      <c r="D2379" s="9">
        <v>268.00700000000001</v>
      </c>
      <c r="E2379" s="9">
        <v>0.38400000000000001</v>
      </c>
      <c r="F2379" s="2">
        <v>266.95100000000002</v>
      </c>
      <c r="G2379" s="2">
        <v>267.29399999999998</v>
      </c>
      <c r="H2379" s="2">
        <v>0.34300000000000003</v>
      </c>
      <c r="I2379" s="2">
        <v>266.80799999999999</v>
      </c>
      <c r="J2379" s="2">
        <v>265.91699999999997</v>
      </c>
      <c r="K2379" s="15">
        <v>1.377</v>
      </c>
      <c r="L2379" s="2">
        <v>12.308</v>
      </c>
      <c r="N2379" s="7">
        <f t="shared" si="293"/>
        <v>460.0999999998603</v>
      </c>
      <c r="O2379" s="1">
        <f t="shared" si="289"/>
        <v>131</v>
      </c>
      <c r="P2379" s="1" t="str">
        <f t="shared" si="291"/>
        <v>460.09999999986,131</v>
      </c>
      <c r="Q2379" s="6" t="s">
        <v>10</v>
      </c>
      <c r="R2379" s="1">
        <v>90</v>
      </c>
      <c r="S2379" s="1">
        <v>2.5</v>
      </c>
      <c r="T2379" s="1" t="str">
        <f t="shared" si="290"/>
        <v>-text 460.09999999986,131 2.5 90 265.917</v>
      </c>
    </row>
    <row r="2380" spans="1:20" x14ac:dyDescent="0.35">
      <c r="A2380" s="1">
        <v>297480</v>
      </c>
      <c r="B2380" s="7">
        <v>1186969.2</v>
      </c>
      <c r="C2380" s="2">
        <v>267.63099999999997</v>
      </c>
      <c r="D2380" s="9">
        <v>267.995</v>
      </c>
      <c r="E2380" s="9">
        <v>0.36399999999999999</v>
      </c>
      <c r="F2380" s="2">
        <v>266.959</v>
      </c>
      <c r="G2380" s="2">
        <v>267.28199999999998</v>
      </c>
      <c r="H2380" s="2">
        <v>0.32300000000000001</v>
      </c>
      <c r="I2380" s="2">
        <v>266.72500000000002</v>
      </c>
      <c r="J2380" s="2">
        <v>265.82900000000001</v>
      </c>
      <c r="K2380" s="15">
        <v>1.4530000000000001</v>
      </c>
      <c r="L2380" s="2">
        <v>12.295</v>
      </c>
      <c r="N2380" s="7">
        <f t="shared" si="293"/>
        <v>480.0999999998603</v>
      </c>
      <c r="O2380" s="1">
        <f t="shared" si="289"/>
        <v>131</v>
      </c>
      <c r="P2380" s="1" t="str">
        <f t="shared" si="291"/>
        <v>480.09999999986,131</v>
      </c>
      <c r="Q2380" s="6" t="s">
        <v>10</v>
      </c>
      <c r="R2380" s="1">
        <v>90</v>
      </c>
      <c r="S2380" s="1">
        <v>2.5</v>
      </c>
      <c r="T2380" s="1" t="str">
        <f t="shared" si="290"/>
        <v>-text 480.09999999986,131 2.5 90 265.829</v>
      </c>
    </row>
    <row r="2381" spans="1:20" x14ac:dyDescent="0.35">
      <c r="A2381" s="1">
        <v>297500</v>
      </c>
      <c r="B2381" s="7">
        <v>1186989.2</v>
      </c>
      <c r="C2381" s="2">
        <v>267.64999999999998</v>
      </c>
      <c r="D2381" s="9">
        <v>267.983</v>
      </c>
      <c r="E2381" s="9">
        <v>0.33300000000000002</v>
      </c>
      <c r="F2381" s="2">
        <v>266.97800000000001</v>
      </c>
      <c r="G2381" s="2">
        <v>267.27</v>
      </c>
      <c r="H2381" s="2">
        <v>0.29199999999999998</v>
      </c>
      <c r="I2381" s="2">
        <v>265.68200000000002</v>
      </c>
      <c r="J2381" s="2">
        <v>265.74299999999999</v>
      </c>
      <c r="K2381" s="15">
        <v>1.5269999999999999</v>
      </c>
      <c r="L2381" s="2">
        <v>12.279</v>
      </c>
      <c r="N2381" s="7">
        <f t="shared" si="293"/>
        <v>500.0999999998603</v>
      </c>
      <c r="O2381" s="1">
        <f t="shared" si="289"/>
        <v>131</v>
      </c>
      <c r="P2381" s="1" t="str">
        <f t="shared" si="291"/>
        <v>500.09999999986,131</v>
      </c>
      <c r="Q2381" s="6" t="s">
        <v>10</v>
      </c>
      <c r="R2381" s="1">
        <v>90</v>
      </c>
      <c r="S2381" s="1">
        <v>2.5</v>
      </c>
      <c r="T2381" s="1" t="str">
        <f t="shared" si="290"/>
        <v>-text 500.09999999986,131 2.5 90 265.743</v>
      </c>
    </row>
  </sheetData>
  <autoFilter ref="A1971:X1997" xr:uid="{9C4F8CCB-2658-485E-B547-48C2C28A43C5}">
    <filterColumn colId="10">
      <filters>
        <filter val="-+0.009"/>
        <filter val="-+0.014"/>
        <filter val="-+0.092"/>
        <filter val="-+0.110"/>
        <filter val="-+0.136"/>
        <filter val="-+0.184"/>
        <filter val="-+0.198"/>
        <filter val="-+0.214"/>
        <filter val="-+0.232"/>
        <filter val="-+0.253"/>
        <filter val="-+0.277"/>
        <filter val="-+0.298"/>
        <filter val="-+0.517"/>
        <filter val="-+0.620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9354D-DDDB-4947-B910-096F4BDF6D48}">
  <dimension ref="A1:X347"/>
  <sheetViews>
    <sheetView topLeftCell="G1" workbookViewId="0">
      <selection activeCell="R297" sqref="R297"/>
    </sheetView>
  </sheetViews>
  <sheetFormatPr defaultRowHeight="14.5" x14ac:dyDescent="0.35"/>
  <cols>
    <col min="2" max="2" width="12" bestFit="1" customWidth="1"/>
    <col min="14" max="14" width="12.54296875" bestFit="1" customWidth="1"/>
    <col min="15" max="24" width="9.26953125" bestFit="1" customWidth="1"/>
  </cols>
  <sheetData>
    <row r="1" spans="1:24" x14ac:dyDescent="0.35">
      <c r="A1">
        <v>257000</v>
      </c>
      <c r="B1">
        <v>1145595.0009999999</v>
      </c>
      <c r="C1">
        <v>271.11057231415697</v>
      </c>
      <c r="D1">
        <v>272.52415701415703</v>
      </c>
      <c r="E1">
        <v>1.4135847000000581</v>
      </c>
      <c r="F1">
        <v>270.43857231415694</v>
      </c>
      <c r="G1">
        <v>271.811157014157</v>
      </c>
      <c r="H1">
        <v>1.3725847000000613</v>
      </c>
      <c r="I1">
        <v>267.38031071415696</v>
      </c>
      <c r="J1">
        <v>267.31942791415696</v>
      </c>
      <c r="K1">
        <v>4.4917291000000432</v>
      </c>
      <c r="L1">
        <v>24.0904147</v>
      </c>
      <c r="M1">
        <f>A1</f>
        <v>257000</v>
      </c>
      <c r="N1" s="18">
        <f>ROUND(B1,1)</f>
        <v>1145595</v>
      </c>
      <c r="O1" s="17">
        <f>ROUND(C1,3)</f>
        <v>271.11099999999999</v>
      </c>
      <c r="P1" s="17">
        <f t="shared" ref="P1:X1" si="0">ROUND(D1,3)</f>
        <v>272.524</v>
      </c>
      <c r="Q1" s="17">
        <f t="shared" si="0"/>
        <v>1.4139999999999999</v>
      </c>
      <c r="R1" s="17">
        <f t="shared" si="0"/>
        <v>270.43900000000002</v>
      </c>
      <c r="S1" s="17">
        <f t="shared" si="0"/>
        <v>271.81099999999998</v>
      </c>
      <c r="T1" s="17">
        <f t="shared" si="0"/>
        <v>1.373</v>
      </c>
      <c r="U1" s="17">
        <f t="shared" si="0"/>
        <v>267.38</v>
      </c>
      <c r="V1" s="17">
        <f t="shared" si="0"/>
        <v>267.31900000000002</v>
      </c>
      <c r="W1" s="17">
        <f t="shared" si="0"/>
        <v>4.492</v>
      </c>
      <c r="X1" s="17">
        <f t="shared" si="0"/>
        <v>24.09</v>
      </c>
    </row>
    <row r="2" spans="1:24" x14ac:dyDescent="0.35">
      <c r="A2">
        <v>257020</v>
      </c>
      <c r="B2">
        <v>1145615.1036459317</v>
      </c>
      <c r="C2">
        <v>271.11520465788578</v>
      </c>
      <c r="D2">
        <v>272.53278105788581</v>
      </c>
      <c r="E2">
        <v>1.4175764000000299</v>
      </c>
      <c r="F2">
        <v>270.44320465788576</v>
      </c>
      <c r="G2">
        <v>271.81978105788579</v>
      </c>
      <c r="H2">
        <v>1.3765764000000331</v>
      </c>
      <c r="I2">
        <v>267.37950545788578</v>
      </c>
      <c r="J2">
        <v>267.28881985788581</v>
      </c>
      <c r="K2">
        <v>4.5309611999999788</v>
      </c>
      <c r="L2">
        <v>24.4812695</v>
      </c>
      <c r="M2">
        <f t="shared" ref="M2:M65" si="1">A2</f>
        <v>257020</v>
      </c>
      <c r="N2" s="18">
        <f t="shared" ref="N2:N65" si="2">ROUND(B2,1)</f>
        <v>1145615.1000000001</v>
      </c>
      <c r="O2" s="17">
        <f t="shared" ref="O2:O65" si="3">ROUND(C2,3)</f>
        <v>271.11500000000001</v>
      </c>
      <c r="P2" s="17">
        <f t="shared" ref="P2:P65" si="4">ROUND(D2,3)</f>
        <v>272.53300000000002</v>
      </c>
      <c r="Q2" s="17">
        <f t="shared" ref="Q2:Q65" si="5">ROUND(E2,3)</f>
        <v>1.4179999999999999</v>
      </c>
      <c r="R2" s="17">
        <f t="shared" ref="R2:R65" si="6">ROUND(F2,3)</f>
        <v>270.44299999999998</v>
      </c>
      <c r="S2" s="17">
        <f t="shared" ref="S2:S65" si="7">ROUND(G2,3)</f>
        <v>271.82</v>
      </c>
      <c r="T2" s="17">
        <f t="shared" ref="T2:T65" si="8">ROUND(H2,3)</f>
        <v>1.377</v>
      </c>
      <c r="U2" s="17">
        <f t="shared" ref="U2:U65" si="9">ROUND(I2,3)</f>
        <v>267.38</v>
      </c>
      <c r="V2" s="17">
        <f t="shared" ref="V2:V65" si="10">ROUND(J2,3)</f>
        <v>267.28899999999999</v>
      </c>
      <c r="W2" s="17">
        <f t="shared" ref="W2:W65" si="11">ROUND(K2,3)</f>
        <v>4.5309999999999997</v>
      </c>
      <c r="X2" s="17">
        <f t="shared" ref="X2:X65" si="12">ROUND(L2,3)</f>
        <v>24.481000000000002</v>
      </c>
    </row>
    <row r="3" spans="1:24" x14ac:dyDescent="0.35">
      <c r="A3">
        <v>257040</v>
      </c>
      <c r="B3">
        <v>1145635.2551452115</v>
      </c>
      <c r="C3">
        <v>271.09850365972187</v>
      </c>
      <c r="D3">
        <v>272.54142605972186</v>
      </c>
      <c r="E3">
        <v>1.4429223999999863</v>
      </c>
      <c r="F3">
        <v>270.42650365972185</v>
      </c>
      <c r="G3">
        <v>271.82842605972183</v>
      </c>
      <c r="H3">
        <v>1.4019223999999895</v>
      </c>
      <c r="I3">
        <v>267.36824015972189</v>
      </c>
      <c r="J3">
        <v>267.33261375972188</v>
      </c>
      <c r="K3">
        <v>4.4958122999999546</v>
      </c>
      <c r="L3">
        <v>24.717237099999998</v>
      </c>
      <c r="M3">
        <f t="shared" si="1"/>
        <v>257040</v>
      </c>
      <c r="N3" s="18">
        <f t="shared" si="2"/>
        <v>1145635.3</v>
      </c>
      <c r="O3" s="17">
        <f t="shared" si="3"/>
        <v>271.09899999999999</v>
      </c>
      <c r="P3" s="17">
        <f t="shared" si="4"/>
        <v>272.541</v>
      </c>
      <c r="Q3" s="17">
        <f t="shared" si="5"/>
        <v>1.4430000000000001</v>
      </c>
      <c r="R3" s="17">
        <f t="shared" si="6"/>
        <v>270.42700000000002</v>
      </c>
      <c r="S3" s="17">
        <f t="shared" si="7"/>
        <v>271.82799999999997</v>
      </c>
      <c r="T3" s="17">
        <f t="shared" si="8"/>
        <v>1.4019999999999999</v>
      </c>
      <c r="U3" s="17">
        <f t="shared" si="9"/>
        <v>267.36799999999999</v>
      </c>
      <c r="V3" s="17">
        <f t="shared" si="10"/>
        <v>267.33300000000003</v>
      </c>
      <c r="W3" s="17">
        <f t="shared" si="11"/>
        <v>4.4960000000000004</v>
      </c>
      <c r="X3" s="17">
        <f t="shared" si="12"/>
        <v>24.716999999999999</v>
      </c>
    </row>
    <row r="4" spans="1:24" x14ac:dyDescent="0.35">
      <c r="A4">
        <v>257060</v>
      </c>
      <c r="B4">
        <v>1145655.1887377757</v>
      </c>
      <c r="C4">
        <v>271.09586277948341</v>
      </c>
      <c r="D4">
        <v>272.54997757948342</v>
      </c>
      <c r="E4">
        <v>1.4541148000000135</v>
      </c>
      <c r="F4">
        <v>270.42386277948339</v>
      </c>
      <c r="G4">
        <v>271.8369775794834</v>
      </c>
      <c r="H4">
        <v>1.4131148000000167</v>
      </c>
      <c r="I4">
        <v>267.33898397948343</v>
      </c>
      <c r="J4">
        <v>267.40975597948341</v>
      </c>
      <c r="K4">
        <v>4.4272215999999958</v>
      </c>
      <c r="L4">
        <v>24.826124799999999</v>
      </c>
      <c r="M4">
        <f t="shared" si="1"/>
        <v>257060</v>
      </c>
      <c r="N4" s="18">
        <f t="shared" si="2"/>
        <v>1145655.2</v>
      </c>
      <c r="O4" s="17">
        <f t="shared" si="3"/>
        <v>271.096</v>
      </c>
      <c r="P4" s="17">
        <f t="shared" si="4"/>
        <v>272.55</v>
      </c>
      <c r="Q4" s="17">
        <f t="shared" si="5"/>
        <v>1.454</v>
      </c>
      <c r="R4" s="17">
        <f t="shared" si="6"/>
        <v>270.42399999999998</v>
      </c>
      <c r="S4" s="17">
        <f t="shared" si="7"/>
        <v>271.83699999999999</v>
      </c>
      <c r="T4" s="17">
        <f t="shared" si="8"/>
        <v>1.413</v>
      </c>
      <c r="U4" s="17">
        <f t="shared" si="9"/>
        <v>267.339</v>
      </c>
      <c r="V4" s="17">
        <f t="shared" si="10"/>
        <v>267.41000000000003</v>
      </c>
      <c r="W4" s="17">
        <f t="shared" si="11"/>
        <v>4.4269999999999996</v>
      </c>
      <c r="X4" s="17">
        <f t="shared" si="12"/>
        <v>24.826000000000001</v>
      </c>
    </row>
    <row r="5" spans="1:24" x14ac:dyDescent="0.35">
      <c r="A5">
        <v>257080</v>
      </c>
      <c r="B5">
        <v>1145675.1724291588</v>
      </c>
      <c r="C5">
        <v>271.10345879165982</v>
      </c>
      <c r="D5">
        <v>272.55855059165981</v>
      </c>
      <c r="E5">
        <v>1.4550917999999911</v>
      </c>
      <c r="F5">
        <v>270.43145879165979</v>
      </c>
      <c r="G5">
        <v>271.84555059165979</v>
      </c>
      <c r="H5">
        <v>1.4140917999999942</v>
      </c>
      <c r="I5">
        <v>266.83879429165978</v>
      </c>
      <c r="J5">
        <v>266.32476539165981</v>
      </c>
      <c r="K5">
        <v>5.5207851999999775</v>
      </c>
      <c r="L5">
        <v>24.796552800000001</v>
      </c>
      <c r="M5">
        <f t="shared" si="1"/>
        <v>257080</v>
      </c>
      <c r="N5" s="18">
        <f t="shared" si="2"/>
        <v>1145675.2</v>
      </c>
      <c r="O5" s="17">
        <f t="shared" si="3"/>
        <v>271.10300000000001</v>
      </c>
      <c r="P5" s="17">
        <f t="shared" si="4"/>
        <v>272.55900000000003</v>
      </c>
      <c r="Q5" s="17">
        <f t="shared" si="5"/>
        <v>1.4550000000000001</v>
      </c>
      <c r="R5" s="17">
        <f t="shared" si="6"/>
        <v>270.43099999999998</v>
      </c>
      <c r="S5" s="17">
        <f t="shared" si="7"/>
        <v>271.846</v>
      </c>
      <c r="T5" s="17">
        <f t="shared" si="8"/>
        <v>1.4139999999999999</v>
      </c>
      <c r="U5" s="17">
        <f t="shared" si="9"/>
        <v>266.839</v>
      </c>
      <c r="V5" s="17">
        <f t="shared" si="10"/>
        <v>266.32499999999999</v>
      </c>
      <c r="W5" s="17">
        <f t="shared" si="11"/>
        <v>5.5209999999999999</v>
      </c>
      <c r="X5" s="17">
        <f t="shared" si="12"/>
        <v>24.797000000000001</v>
      </c>
    </row>
    <row r="6" spans="1:24" x14ac:dyDescent="0.35">
      <c r="A6">
        <v>257100</v>
      </c>
      <c r="B6">
        <v>1145695.1623033504</v>
      </c>
      <c r="C6">
        <v>271.06973675626369</v>
      </c>
      <c r="D6">
        <v>272.56712625626369</v>
      </c>
      <c r="E6">
        <v>1.497389499999997</v>
      </c>
      <c r="F6">
        <v>270.39773675626367</v>
      </c>
      <c r="G6">
        <v>271.85412625626367</v>
      </c>
      <c r="H6">
        <v>1.4563895000000002</v>
      </c>
      <c r="I6">
        <v>266.36861445626369</v>
      </c>
      <c r="J6">
        <v>267.48258425626369</v>
      </c>
      <c r="K6">
        <v>4.3715419999999767</v>
      </c>
      <c r="L6">
        <v>24.718533799999999</v>
      </c>
      <c r="M6">
        <f t="shared" si="1"/>
        <v>257100</v>
      </c>
      <c r="N6" s="18">
        <f t="shared" si="2"/>
        <v>1145695.2</v>
      </c>
      <c r="O6" s="17">
        <f t="shared" si="3"/>
        <v>271.07</v>
      </c>
      <c r="P6" s="17">
        <f t="shared" si="4"/>
        <v>272.56700000000001</v>
      </c>
      <c r="Q6" s="17">
        <f t="shared" si="5"/>
        <v>1.4970000000000001</v>
      </c>
      <c r="R6" s="17">
        <f t="shared" si="6"/>
        <v>270.39800000000002</v>
      </c>
      <c r="S6" s="17">
        <f t="shared" si="7"/>
        <v>271.85399999999998</v>
      </c>
      <c r="T6" s="17">
        <f t="shared" si="8"/>
        <v>1.456</v>
      </c>
      <c r="U6" s="17">
        <f t="shared" si="9"/>
        <v>266.36900000000003</v>
      </c>
      <c r="V6" s="17">
        <f t="shared" si="10"/>
        <v>267.483</v>
      </c>
      <c r="W6" s="17">
        <f t="shared" si="11"/>
        <v>4.3719999999999999</v>
      </c>
      <c r="X6" s="17">
        <f t="shared" si="12"/>
        <v>24.719000000000001</v>
      </c>
    </row>
    <row r="7" spans="1:24" x14ac:dyDescent="0.35">
      <c r="A7">
        <v>257120</v>
      </c>
      <c r="B7">
        <v>1145715.1767712976</v>
      </c>
      <c r="C7">
        <v>271.05974880000002</v>
      </c>
      <c r="D7">
        <v>272.60000000000002</v>
      </c>
      <c r="E7">
        <v>1.5402512000000002</v>
      </c>
      <c r="F7">
        <v>270.3877488</v>
      </c>
      <c r="G7">
        <v>271.887</v>
      </c>
      <c r="H7">
        <v>1.4992512000000033</v>
      </c>
      <c r="I7">
        <v>266.08243920000001</v>
      </c>
      <c r="J7">
        <v>266.92946920000003</v>
      </c>
      <c r="K7">
        <v>4.9575307999999723</v>
      </c>
      <c r="L7">
        <v>24.635085799999999</v>
      </c>
      <c r="M7">
        <f t="shared" si="1"/>
        <v>257120</v>
      </c>
      <c r="N7" s="18">
        <f t="shared" si="2"/>
        <v>1145715.2</v>
      </c>
      <c r="O7" s="17">
        <f t="shared" si="3"/>
        <v>271.06</v>
      </c>
      <c r="P7" s="17">
        <f t="shared" si="4"/>
        <v>272.60000000000002</v>
      </c>
      <c r="Q7" s="17">
        <f t="shared" si="5"/>
        <v>1.54</v>
      </c>
      <c r="R7" s="17">
        <f t="shared" si="6"/>
        <v>270.38799999999998</v>
      </c>
      <c r="S7" s="17">
        <f t="shared" si="7"/>
        <v>271.887</v>
      </c>
      <c r="T7" s="17">
        <f t="shared" si="8"/>
        <v>1.4990000000000001</v>
      </c>
      <c r="U7" s="17">
        <f t="shared" si="9"/>
        <v>266.08199999999999</v>
      </c>
      <c r="V7" s="17">
        <f t="shared" si="10"/>
        <v>266.92899999999997</v>
      </c>
      <c r="W7" s="17">
        <f t="shared" si="11"/>
        <v>4.9580000000000002</v>
      </c>
      <c r="X7" s="17">
        <f t="shared" si="12"/>
        <v>24.635000000000002</v>
      </c>
    </row>
    <row r="8" spans="1:24" x14ac:dyDescent="0.35">
      <c r="A8">
        <v>257140</v>
      </c>
      <c r="B8">
        <v>1145735.160264309</v>
      </c>
      <c r="C8">
        <v>271.0526175</v>
      </c>
      <c r="D8">
        <v>272.60000000000002</v>
      </c>
      <c r="E8">
        <v>1.5473825000000261</v>
      </c>
      <c r="F8">
        <v>270.38061749999997</v>
      </c>
      <c r="G8">
        <v>271.887</v>
      </c>
      <c r="H8">
        <v>1.5063825000000293</v>
      </c>
      <c r="I8">
        <v>266.74584149999998</v>
      </c>
      <c r="J8">
        <v>267.17908060000002</v>
      </c>
      <c r="K8">
        <v>4.7079193999999802</v>
      </c>
      <c r="L8">
        <v>24.558248599999999</v>
      </c>
      <c r="M8">
        <f t="shared" si="1"/>
        <v>257140</v>
      </c>
      <c r="N8" s="18">
        <f t="shared" si="2"/>
        <v>1145735.2</v>
      </c>
      <c r="O8" s="17">
        <f t="shared" si="3"/>
        <v>271.053</v>
      </c>
      <c r="P8" s="17">
        <f t="shared" si="4"/>
        <v>272.60000000000002</v>
      </c>
      <c r="Q8" s="17">
        <f t="shared" si="5"/>
        <v>1.5469999999999999</v>
      </c>
      <c r="R8" s="17">
        <f t="shared" si="6"/>
        <v>270.38099999999997</v>
      </c>
      <c r="S8" s="17">
        <f t="shared" si="7"/>
        <v>271.887</v>
      </c>
      <c r="T8" s="17">
        <f t="shared" si="8"/>
        <v>1.506</v>
      </c>
      <c r="U8" s="17">
        <f t="shared" si="9"/>
        <v>266.74599999999998</v>
      </c>
      <c r="V8" s="17">
        <f t="shared" si="10"/>
        <v>267.17899999999997</v>
      </c>
      <c r="W8" s="17">
        <f t="shared" si="11"/>
        <v>4.7080000000000002</v>
      </c>
      <c r="X8" s="17">
        <f t="shared" si="12"/>
        <v>24.558</v>
      </c>
    </row>
    <row r="9" spans="1:24" x14ac:dyDescent="0.35">
      <c r="A9">
        <v>257160</v>
      </c>
      <c r="B9">
        <v>1145755.2550046067</v>
      </c>
      <c r="C9">
        <v>271.06011760000001</v>
      </c>
      <c r="D9">
        <v>272.60000000000002</v>
      </c>
      <c r="E9">
        <v>1.5398824000000104</v>
      </c>
      <c r="F9">
        <v>270.38811759999999</v>
      </c>
      <c r="G9">
        <v>271.887</v>
      </c>
      <c r="H9">
        <v>1.4988824000000136</v>
      </c>
      <c r="I9">
        <v>267.11932109999998</v>
      </c>
      <c r="J9">
        <v>267.47406380000001</v>
      </c>
      <c r="K9">
        <v>4.4129361999999901</v>
      </c>
      <c r="L9">
        <v>24.473675499999999</v>
      </c>
      <c r="M9">
        <f t="shared" si="1"/>
        <v>257160</v>
      </c>
      <c r="N9" s="18">
        <f t="shared" si="2"/>
        <v>1145755.3</v>
      </c>
      <c r="O9" s="17">
        <f t="shared" si="3"/>
        <v>271.06</v>
      </c>
      <c r="P9" s="17">
        <f t="shared" si="4"/>
        <v>272.60000000000002</v>
      </c>
      <c r="Q9" s="17">
        <f t="shared" si="5"/>
        <v>1.54</v>
      </c>
      <c r="R9" s="17">
        <f t="shared" si="6"/>
        <v>270.38799999999998</v>
      </c>
      <c r="S9" s="17">
        <f t="shared" si="7"/>
        <v>271.887</v>
      </c>
      <c r="T9" s="17">
        <f t="shared" si="8"/>
        <v>1.4990000000000001</v>
      </c>
      <c r="U9" s="17">
        <f t="shared" si="9"/>
        <v>267.11900000000003</v>
      </c>
      <c r="V9" s="17">
        <f t="shared" si="10"/>
        <v>267.47399999999999</v>
      </c>
      <c r="W9" s="17">
        <f t="shared" si="11"/>
        <v>4.4130000000000003</v>
      </c>
      <c r="X9" s="17">
        <f t="shared" si="12"/>
        <v>24.474</v>
      </c>
    </row>
    <row r="10" spans="1:24" x14ac:dyDescent="0.35">
      <c r="A10">
        <v>257180</v>
      </c>
      <c r="B10">
        <v>1145775.205356369</v>
      </c>
      <c r="C10">
        <v>271.03650270000003</v>
      </c>
      <c r="D10">
        <v>272.60000000000002</v>
      </c>
      <c r="E10">
        <v>1.5634972999999945</v>
      </c>
      <c r="F10">
        <v>270.3645027</v>
      </c>
      <c r="G10">
        <v>271.887</v>
      </c>
      <c r="H10">
        <v>1.5224972999999977</v>
      </c>
      <c r="I10">
        <v>267.83200859999999</v>
      </c>
      <c r="J10">
        <v>267.67118850000003</v>
      </c>
      <c r="K10">
        <v>4.2158114999999725</v>
      </c>
      <c r="L10">
        <v>24.4570729</v>
      </c>
      <c r="M10">
        <f t="shared" si="1"/>
        <v>257180</v>
      </c>
      <c r="N10" s="18">
        <f t="shared" si="2"/>
        <v>1145775.2</v>
      </c>
      <c r="O10" s="17">
        <f t="shared" si="3"/>
        <v>271.03699999999998</v>
      </c>
      <c r="P10" s="17">
        <f t="shared" si="4"/>
        <v>272.60000000000002</v>
      </c>
      <c r="Q10" s="17">
        <f t="shared" si="5"/>
        <v>1.5629999999999999</v>
      </c>
      <c r="R10" s="17">
        <f t="shared" si="6"/>
        <v>270.36500000000001</v>
      </c>
      <c r="S10" s="17">
        <f t="shared" si="7"/>
        <v>271.887</v>
      </c>
      <c r="T10" s="17">
        <f t="shared" si="8"/>
        <v>1.522</v>
      </c>
      <c r="U10" s="17">
        <f t="shared" si="9"/>
        <v>267.83199999999999</v>
      </c>
      <c r="V10" s="17">
        <f t="shared" si="10"/>
        <v>267.67099999999999</v>
      </c>
      <c r="W10" s="17">
        <f t="shared" si="11"/>
        <v>4.2160000000000002</v>
      </c>
      <c r="X10" s="17">
        <f t="shared" si="12"/>
        <v>24.457000000000001</v>
      </c>
    </row>
    <row r="11" spans="1:24" x14ac:dyDescent="0.35">
      <c r="A11">
        <v>257200</v>
      </c>
      <c r="B11">
        <v>1145794.5024233602</v>
      </c>
      <c r="C11">
        <v>270.9968149</v>
      </c>
      <c r="D11">
        <v>272.60000000000002</v>
      </c>
      <c r="E11">
        <v>1.6031851000000188</v>
      </c>
      <c r="F11">
        <v>270.32481489999998</v>
      </c>
      <c r="G11">
        <v>271.887</v>
      </c>
      <c r="H11">
        <v>1.562185100000022</v>
      </c>
      <c r="I11">
        <v>268.94049460000002</v>
      </c>
      <c r="J11">
        <v>268.93251500000002</v>
      </c>
      <c r="K11">
        <v>2.9544849999999769</v>
      </c>
      <c r="L11">
        <v>24.2951838</v>
      </c>
      <c r="M11">
        <f t="shared" si="1"/>
        <v>257200</v>
      </c>
      <c r="N11" s="18">
        <f t="shared" si="2"/>
        <v>1145794.5</v>
      </c>
      <c r="O11" s="17">
        <f t="shared" si="3"/>
        <v>270.99700000000001</v>
      </c>
      <c r="P11" s="17">
        <f t="shared" si="4"/>
        <v>272.60000000000002</v>
      </c>
      <c r="Q11" s="17">
        <f t="shared" si="5"/>
        <v>1.603</v>
      </c>
      <c r="R11" s="17">
        <f t="shared" si="6"/>
        <v>270.32499999999999</v>
      </c>
      <c r="S11" s="17">
        <f t="shared" si="7"/>
        <v>271.887</v>
      </c>
      <c r="T11" s="17">
        <f t="shared" si="8"/>
        <v>1.5620000000000001</v>
      </c>
      <c r="U11" s="17">
        <f t="shared" si="9"/>
        <v>268.94</v>
      </c>
      <c r="V11" s="17">
        <f t="shared" si="10"/>
        <v>268.93299999999999</v>
      </c>
      <c r="W11" s="17">
        <f t="shared" si="11"/>
        <v>2.9540000000000002</v>
      </c>
      <c r="X11" s="17">
        <f t="shared" si="12"/>
        <v>24.295000000000002</v>
      </c>
    </row>
    <row r="12" spans="1:24" x14ac:dyDescent="0.35">
      <c r="A12">
        <v>257220</v>
      </c>
      <c r="B12">
        <v>1145815.2889342273</v>
      </c>
      <c r="C12">
        <v>271.01375949999999</v>
      </c>
      <c r="D12">
        <v>272.60000000000002</v>
      </c>
      <c r="E12">
        <v>1.5862405000000308</v>
      </c>
      <c r="F12">
        <v>270.34175949999997</v>
      </c>
      <c r="G12">
        <v>271.887</v>
      </c>
      <c r="H12">
        <v>1.545240500000034</v>
      </c>
      <c r="I12">
        <v>268.66131669999999</v>
      </c>
      <c r="J12">
        <v>268.75903720000002</v>
      </c>
      <c r="K12">
        <v>3.1279627999999775</v>
      </c>
      <c r="L12">
        <v>23.868862400000001</v>
      </c>
      <c r="M12">
        <f t="shared" si="1"/>
        <v>257220</v>
      </c>
      <c r="N12" s="18">
        <f t="shared" si="2"/>
        <v>1145815.3</v>
      </c>
      <c r="O12" s="17">
        <f t="shared" si="3"/>
        <v>271.01400000000001</v>
      </c>
      <c r="P12" s="17">
        <f t="shared" si="4"/>
        <v>272.60000000000002</v>
      </c>
      <c r="Q12" s="17">
        <f t="shared" si="5"/>
        <v>1.5860000000000001</v>
      </c>
      <c r="R12" s="17">
        <f t="shared" si="6"/>
        <v>270.34199999999998</v>
      </c>
      <c r="S12" s="17">
        <f t="shared" si="7"/>
        <v>271.887</v>
      </c>
      <c r="T12" s="17">
        <f t="shared" si="8"/>
        <v>1.5449999999999999</v>
      </c>
      <c r="U12" s="17">
        <f t="shared" si="9"/>
        <v>268.661</v>
      </c>
      <c r="V12" s="17">
        <f t="shared" si="10"/>
        <v>268.75900000000001</v>
      </c>
      <c r="W12" s="17">
        <f t="shared" si="11"/>
        <v>3.1280000000000001</v>
      </c>
      <c r="X12" s="17">
        <f t="shared" si="12"/>
        <v>23.869</v>
      </c>
    </row>
    <row r="13" spans="1:24" x14ac:dyDescent="0.35">
      <c r="A13">
        <v>257240</v>
      </c>
      <c r="B13">
        <v>1145835.2889497806</v>
      </c>
      <c r="C13">
        <v>271.0284939</v>
      </c>
      <c r="D13">
        <v>272.60000000000002</v>
      </c>
      <c r="E13">
        <v>1.5715061000000219</v>
      </c>
      <c r="F13">
        <v>270.35649389999998</v>
      </c>
      <c r="G13">
        <v>271.887</v>
      </c>
      <c r="H13">
        <v>1.5305061000000251</v>
      </c>
      <c r="I13">
        <v>267.81376030000001</v>
      </c>
      <c r="J13">
        <v>268.26037760000003</v>
      </c>
      <c r="K13">
        <v>3.6266223999999738</v>
      </c>
      <c r="L13">
        <v>23.893837099999999</v>
      </c>
      <c r="M13">
        <f t="shared" si="1"/>
        <v>257240</v>
      </c>
      <c r="N13" s="18">
        <f t="shared" si="2"/>
        <v>1145835.3</v>
      </c>
      <c r="O13" s="17">
        <f t="shared" si="3"/>
        <v>271.02800000000002</v>
      </c>
      <c r="P13" s="17">
        <f t="shared" si="4"/>
        <v>272.60000000000002</v>
      </c>
      <c r="Q13" s="17">
        <f t="shared" si="5"/>
        <v>1.5720000000000001</v>
      </c>
      <c r="R13" s="17">
        <f t="shared" si="6"/>
        <v>270.35599999999999</v>
      </c>
      <c r="S13" s="17">
        <f t="shared" si="7"/>
        <v>271.887</v>
      </c>
      <c r="T13" s="17">
        <f t="shared" si="8"/>
        <v>1.5309999999999999</v>
      </c>
      <c r="U13" s="17">
        <f t="shared" si="9"/>
        <v>267.81400000000002</v>
      </c>
      <c r="V13" s="17">
        <f t="shared" si="10"/>
        <v>268.26</v>
      </c>
      <c r="W13" s="17">
        <f t="shared" si="11"/>
        <v>3.6269999999999998</v>
      </c>
      <c r="X13" s="17">
        <f t="shared" si="12"/>
        <v>23.893999999999998</v>
      </c>
    </row>
    <row r="14" spans="1:24" x14ac:dyDescent="0.35">
      <c r="A14">
        <v>257260</v>
      </c>
      <c r="B14">
        <v>1145855.2363498274</v>
      </c>
      <c r="C14">
        <v>271.0147566</v>
      </c>
      <c r="D14">
        <v>272.60000000000002</v>
      </c>
      <c r="E14">
        <v>1.5852434000000244</v>
      </c>
      <c r="F14">
        <v>270.34275659999997</v>
      </c>
      <c r="G14">
        <v>271.887</v>
      </c>
      <c r="H14">
        <v>1.5442434000000276</v>
      </c>
      <c r="I14">
        <v>267.313737</v>
      </c>
      <c r="J14">
        <v>267.58761709999999</v>
      </c>
      <c r="K14">
        <v>4.2993829000000119</v>
      </c>
      <c r="L14">
        <v>23.876079600000001</v>
      </c>
      <c r="M14">
        <f t="shared" si="1"/>
        <v>257260</v>
      </c>
      <c r="N14" s="18">
        <f t="shared" si="2"/>
        <v>1145855.2</v>
      </c>
      <c r="O14" s="17">
        <f t="shared" si="3"/>
        <v>271.01499999999999</v>
      </c>
      <c r="P14" s="17">
        <f t="shared" si="4"/>
        <v>272.60000000000002</v>
      </c>
      <c r="Q14" s="17">
        <f t="shared" si="5"/>
        <v>1.585</v>
      </c>
      <c r="R14" s="17">
        <f t="shared" si="6"/>
        <v>270.34300000000002</v>
      </c>
      <c r="S14" s="17">
        <f t="shared" si="7"/>
        <v>271.887</v>
      </c>
      <c r="T14" s="17">
        <f t="shared" si="8"/>
        <v>1.544</v>
      </c>
      <c r="U14" s="17">
        <f t="shared" si="9"/>
        <v>267.31400000000002</v>
      </c>
      <c r="V14" s="17">
        <f t="shared" si="10"/>
        <v>267.58800000000002</v>
      </c>
      <c r="W14" s="17">
        <f t="shared" si="11"/>
        <v>4.2990000000000004</v>
      </c>
      <c r="X14" s="17">
        <f t="shared" si="12"/>
        <v>23.876000000000001</v>
      </c>
    </row>
    <row r="15" spans="1:24" x14ac:dyDescent="0.35">
      <c r="A15">
        <v>257280</v>
      </c>
      <c r="B15">
        <v>1145875.5054898667</v>
      </c>
      <c r="C15">
        <v>270.99721950000003</v>
      </c>
      <c r="D15">
        <v>272.60000000000002</v>
      </c>
      <c r="E15">
        <v>1.6027804999999944</v>
      </c>
      <c r="F15">
        <v>270.3252195</v>
      </c>
      <c r="G15">
        <v>271.887</v>
      </c>
      <c r="H15">
        <v>1.5617804999999976</v>
      </c>
      <c r="I15">
        <v>267.22510820000002</v>
      </c>
      <c r="J15">
        <v>266.9213408</v>
      </c>
      <c r="K15">
        <v>4.9656592000000046</v>
      </c>
      <c r="L15">
        <v>23.762476700000001</v>
      </c>
      <c r="M15">
        <f t="shared" si="1"/>
        <v>257280</v>
      </c>
      <c r="N15" s="18">
        <f t="shared" si="2"/>
        <v>1145875.5</v>
      </c>
      <c r="O15" s="17">
        <f t="shared" si="3"/>
        <v>270.99700000000001</v>
      </c>
      <c r="P15" s="17">
        <f t="shared" si="4"/>
        <v>272.60000000000002</v>
      </c>
      <c r="Q15" s="17">
        <f t="shared" si="5"/>
        <v>1.603</v>
      </c>
      <c r="R15" s="17">
        <f t="shared" si="6"/>
        <v>270.32499999999999</v>
      </c>
      <c r="S15" s="17">
        <f t="shared" si="7"/>
        <v>271.887</v>
      </c>
      <c r="T15" s="17">
        <f t="shared" si="8"/>
        <v>1.5620000000000001</v>
      </c>
      <c r="U15" s="17">
        <f t="shared" si="9"/>
        <v>267.22500000000002</v>
      </c>
      <c r="V15" s="17">
        <f t="shared" si="10"/>
        <v>266.92099999999999</v>
      </c>
      <c r="W15" s="17">
        <f t="shared" si="11"/>
        <v>4.9660000000000002</v>
      </c>
      <c r="X15" s="17">
        <f t="shared" si="12"/>
        <v>23.762</v>
      </c>
    </row>
    <row r="16" spans="1:24" x14ac:dyDescent="0.35">
      <c r="A16">
        <v>257300</v>
      </c>
      <c r="B16">
        <v>1145895.2778675193</v>
      </c>
      <c r="C16">
        <v>270.97029259999999</v>
      </c>
      <c r="D16">
        <v>272.60000000000002</v>
      </c>
      <c r="E16">
        <v>1.6297074000000293</v>
      </c>
      <c r="F16">
        <v>270.29829259999997</v>
      </c>
      <c r="G16">
        <v>271.887</v>
      </c>
      <c r="H16">
        <v>1.5887074000000325</v>
      </c>
      <c r="I16">
        <v>267.36981420000001</v>
      </c>
      <c r="J16">
        <v>266.90754559999999</v>
      </c>
      <c r="K16">
        <v>4.9794544000000087</v>
      </c>
      <c r="L16">
        <v>23.894388899999999</v>
      </c>
      <c r="M16">
        <f t="shared" si="1"/>
        <v>257300</v>
      </c>
      <c r="N16" s="18">
        <f t="shared" si="2"/>
        <v>1145895.3</v>
      </c>
      <c r="O16" s="17">
        <f t="shared" si="3"/>
        <v>270.97000000000003</v>
      </c>
      <c r="P16" s="17">
        <f t="shared" si="4"/>
        <v>272.60000000000002</v>
      </c>
      <c r="Q16" s="17">
        <f t="shared" si="5"/>
        <v>1.63</v>
      </c>
      <c r="R16" s="17">
        <f t="shared" si="6"/>
        <v>270.298</v>
      </c>
      <c r="S16" s="17">
        <f t="shared" si="7"/>
        <v>271.887</v>
      </c>
      <c r="T16" s="17">
        <f t="shared" si="8"/>
        <v>1.589</v>
      </c>
      <c r="U16" s="17">
        <f t="shared" si="9"/>
        <v>267.37</v>
      </c>
      <c r="V16" s="17">
        <f t="shared" si="10"/>
        <v>266.90800000000002</v>
      </c>
      <c r="W16" s="17">
        <f t="shared" si="11"/>
        <v>4.9790000000000001</v>
      </c>
      <c r="X16" s="17">
        <f t="shared" si="12"/>
        <v>23.893999999999998</v>
      </c>
    </row>
    <row r="17" spans="1:24" x14ac:dyDescent="0.35">
      <c r="A17">
        <v>257320</v>
      </c>
      <c r="B17">
        <v>1145915.2422818867</v>
      </c>
      <c r="C17">
        <v>270.93296559999999</v>
      </c>
      <c r="D17">
        <v>272.60000000000002</v>
      </c>
      <c r="E17">
        <v>1.6670344000000341</v>
      </c>
      <c r="F17">
        <v>270.26096559999996</v>
      </c>
      <c r="G17">
        <v>271.887</v>
      </c>
      <c r="H17">
        <v>1.6260344000000373</v>
      </c>
      <c r="I17">
        <v>265.3744107</v>
      </c>
      <c r="J17">
        <v>264.86356760000001</v>
      </c>
      <c r="K17">
        <v>7.0234323999999901</v>
      </c>
      <c r="L17">
        <v>23.891302400000001</v>
      </c>
      <c r="M17">
        <f t="shared" si="1"/>
        <v>257320</v>
      </c>
      <c r="N17" s="18">
        <f t="shared" si="2"/>
        <v>1145915.2</v>
      </c>
      <c r="O17" s="17">
        <f t="shared" si="3"/>
        <v>270.93299999999999</v>
      </c>
      <c r="P17" s="17">
        <f t="shared" si="4"/>
        <v>272.60000000000002</v>
      </c>
      <c r="Q17" s="17">
        <f t="shared" si="5"/>
        <v>1.667</v>
      </c>
      <c r="R17" s="17">
        <f t="shared" si="6"/>
        <v>270.26100000000002</v>
      </c>
      <c r="S17" s="17">
        <f t="shared" si="7"/>
        <v>271.887</v>
      </c>
      <c r="T17" s="17">
        <f t="shared" si="8"/>
        <v>1.6259999999999999</v>
      </c>
      <c r="U17" s="17">
        <f t="shared" si="9"/>
        <v>265.37400000000002</v>
      </c>
      <c r="V17" s="17">
        <f t="shared" si="10"/>
        <v>264.86399999999998</v>
      </c>
      <c r="W17" s="17">
        <f t="shared" si="11"/>
        <v>7.0229999999999997</v>
      </c>
      <c r="X17" s="17">
        <f t="shared" si="12"/>
        <v>23.890999999999998</v>
      </c>
    </row>
    <row r="18" spans="1:24" x14ac:dyDescent="0.35">
      <c r="A18">
        <v>257340</v>
      </c>
      <c r="B18">
        <v>1145935.2669341939</v>
      </c>
      <c r="C18">
        <v>270.9662692</v>
      </c>
      <c r="D18">
        <v>272.60000000000002</v>
      </c>
      <c r="E18">
        <v>1.6337308000000235</v>
      </c>
      <c r="F18">
        <v>270.29426919999997</v>
      </c>
      <c r="G18">
        <v>271.887</v>
      </c>
      <c r="H18">
        <v>1.5927308000000266</v>
      </c>
      <c r="I18">
        <v>266.83667400000002</v>
      </c>
      <c r="J18">
        <v>266.95713480000001</v>
      </c>
      <c r="K18">
        <v>4.9298651999999947</v>
      </c>
      <c r="L18">
        <v>23.8980818</v>
      </c>
      <c r="M18">
        <f t="shared" si="1"/>
        <v>257340</v>
      </c>
      <c r="N18" s="18">
        <f t="shared" si="2"/>
        <v>1145935.3</v>
      </c>
      <c r="O18" s="17">
        <f t="shared" si="3"/>
        <v>270.96600000000001</v>
      </c>
      <c r="P18" s="17">
        <f t="shared" si="4"/>
        <v>272.60000000000002</v>
      </c>
      <c r="Q18" s="17">
        <f t="shared" si="5"/>
        <v>1.6339999999999999</v>
      </c>
      <c r="R18" s="17">
        <f t="shared" si="6"/>
        <v>270.29399999999998</v>
      </c>
      <c r="S18" s="17">
        <f t="shared" si="7"/>
        <v>271.887</v>
      </c>
      <c r="T18" s="17">
        <f t="shared" si="8"/>
        <v>1.593</v>
      </c>
      <c r="U18" s="17">
        <f t="shared" si="9"/>
        <v>266.83699999999999</v>
      </c>
      <c r="V18" s="17">
        <f t="shared" si="10"/>
        <v>266.95699999999999</v>
      </c>
      <c r="W18" s="17">
        <f t="shared" si="11"/>
        <v>4.93</v>
      </c>
      <c r="X18" s="17">
        <f t="shared" si="12"/>
        <v>23.898</v>
      </c>
    </row>
    <row r="19" spans="1:24" x14ac:dyDescent="0.35">
      <c r="A19">
        <v>257360</v>
      </c>
      <c r="B19">
        <v>1145955.2564712439</v>
      </c>
      <c r="C19">
        <v>270.96883100000002</v>
      </c>
      <c r="D19">
        <v>272.60000000000002</v>
      </c>
      <c r="E19">
        <v>1.6311689999999999</v>
      </c>
      <c r="F19">
        <v>270.296831</v>
      </c>
      <c r="G19">
        <v>271.887</v>
      </c>
      <c r="H19">
        <v>1.5901690000000031</v>
      </c>
      <c r="I19">
        <v>267.67713430000003</v>
      </c>
      <c r="J19">
        <v>267.89528130000002</v>
      </c>
      <c r="K19">
        <v>3.9917186999999785</v>
      </c>
      <c r="L19">
        <v>23.900854200000001</v>
      </c>
      <c r="M19">
        <f t="shared" si="1"/>
        <v>257360</v>
      </c>
      <c r="N19" s="18">
        <f t="shared" si="2"/>
        <v>1145955.3</v>
      </c>
      <c r="O19" s="17">
        <f t="shared" si="3"/>
        <v>270.96899999999999</v>
      </c>
      <c r="P19" s="17">
        <f t="shared" si="4"/>
        <v>272.60000000000002</v>
      </c>
      <c r="Q19" s="17">
        <f t="shared" si="5"/>
        <v>1.631</v>
      </c>
      <c r="R19" s="17">
        <f t="shared" si="6"/>
        <v>270.29700000000003</v>
      </c>
      <c r="S19" s="17">
        <f t="shared" si="7"/>
        <v>271.887</v>
      </c>
      <c r="T19" s="17">
        <f t="shared" si="8"/>
        <v>1.59</v>
      </c>
      <c r="U19" s="17">
        <f t="shared" si="9"/>
        <v>267.67700000000002</v>
      </c>
      <c r="V19" s="17">
        <f t="shared" si="10"/>
        <v>267.89499999999998</v>
      </c>
      <c r="W19" s="17">
        <f t="shared" si="11"/>
        <v>3.992</v>
      </c>
      <c r="X19" s="17">
        <f t="shared" si="12"/>
        <v>23.901</v>
      </c>
    </row>
    <row r="20" spans="1:24" x14ac:dyDescent="0.35">
      <c r="A20">
        <v>257380</v>
      </c>
      <c r="B20">
        <v>1145975.2564712071</v>
      </c>
      <c r="C20">
        <v>270.94614849999999</v>
      </c>
      <c r="D20">
        <v>272.60000000000002</v>
      </c>
      <c r="E20">
        <v>1.6538515000000302</v>
      </c>
      <c r="F20">
        <v>270.27414849999997</v>
      </c>
      <c r="G20">
        <v>271.887</v>
      </c>
      <c r="H20">
        <v>1.6128515000000334</v>
      </c>
      <c r="I20">
        <v>267.53390130000003</v>
      </c>
      <c r="J20">
        <v>269.62400760000003</v>
      </c>
      <c r="K20">
        <v>2.2629923999999733</v>
      </c>
      <c r="L20">
        <v>23.899930000000001</v>
      </c>
      <c r="M20">
        <f t="shared" si="1"/>
        <v>257380</v>
      </c>
      <c r="N20" s="18">
        <f t="shared" si="2"/>
        <v>1145975.3</v>
      </c>
      <c r="O20" s="17">
        <f t="shared" si="3"/>
        <v>270.94600000000003</v>
      </c>
      <c r="P20" s="17">
        <f t="shared" si="4"/>
        <v>272.60000000000002</v>
      </c>
      <c r="Q20" s="17">
        <f t="shared" si="5"/>
        <v>1.6539999999999999</v>
      </c>
      <c r="R20" s="17">
        <f t="shared" si="6"/>
        <v>270.274</v>
      </c>
      <c r="S20" s="17">
        <f t="shared" si="7"/>
        <v>271.887</v>
      </c>
      <c r="T20" s="17">
        <f t="shared" si="8"/>
        <v>1.613</v>
      </c>
      <c r="U20" s="17">
        <f t="shared" si="9"/>
        <v>267.53399999999999</v>
      </c>
      <c r="V20" s="17">
        <f t="shared" si="10"/>
        <v>269.62400000000002</v>
      </c>
      <c r="W20" s="17">
        <f t="shared" si="11"/>
        <v>2.2629999999999999</v>
      </c>
      <c r="X20" s="17">
        <f t="shared" si="12"/>
        <v>23.9</v>
      </c>
    </row>
    <row r="21" spans="1:24" x14ac:dyDescent="0.35">
      <c r="A21">
        <v>257400</v>
      </c>
      <c r="B21">
        <v>1145995.0932714753</v>
      </c>
      <c r="C21">
        <v>270.93261219999999</v>
      </c>
      <c r="D21">
        <v>272.60000000000002</v>
      </c>
      <c r="E21">
        <v>1.6673878000000286</v>
      </c>
      <c r="F21">
        <v>270.26061219999997</v>
      </c>
      <c r="G21">
        <v>271.887</v>
      </c>
      <c r="H21">
        <v>1.6263878000000318</v>
      </c>
      <c r="I21">
        <v>267.3492622</v>
      </c>
      <c r="J21">
        <v>267.4169766</v>
      </c>
      <c r="K21">
        <v>4.4700234000000023</v>
      </c>
      <c r="L21">
        <v>23.7869159</v>
      </c>
      <c r="M21">
        <f t="shared" si="1"/>
        <v>257400</v>
      </c>
      <c r="N21" s="18">
        <f t="shared" si="2"/>
        <v>1145995.1000000001</v>
      </c>
      <c r="O21" s="17">
        <f t="shared" si="3"/>
        <v>270.93299999999999</v>
      </c>
      <c r="P21" s="17">
        <f t="shared" si="4"/>
        <v>272.60000000000002</v>
      </c>
      <c r="Q21" s="17">
        <f t="shared" si="5"/>
        <v>1.667</v>
      </c>
      <c r="R21" s="17">
        <f t="shared" si="6"/>
        <v>270.26100000000002</v>
      </c>
      <c r="S21" s="17">
        <f t="shared" si="7"/>
        <v>271.887</v>
      </c>
      <c r="T21" s="17">
        <f t="shared" si="8"/>
        <v>1.6259999999999999</v>
      </c>
      <c r="U21" s="17">
        <f t="shared" si="9"/>
        <v>267.34899999999999</v>
      </c>
      <c r="V21" s="17">
        <f t="shared" si="10"/>
        <v>267.41699999999997</v>
      </c>
      <c r="W21" s="17">
        <f t="shared" si="11"/>
        <v>4.47</v>
      </c>
      <c r="X21" s="17">
        <f t="shared" si="12"/>
        <v>23.786999999999999</v>
      </c>
    </row>
    <row r="22" spans="1:24" x14ac:dyDescent="0.35">
      <c r="A22">
        <v>257420</v>
      </c>
      <c r="B22">
        <v>1146015.1615454333</v>
      </c>
      <c r="C22">
        <v>270.92693230000003</v>
      </c>
      <c r="D22">
        <v>272.60000000000002</v>
      </c>
      <c r="E22">
        <v>1.6730676999999901</v>
      </c>
      <c r="F22">
        <v>270.25493230000001</v>
      </c>
      <c r="G22">
        <v>271.887</v>
      </c>
      <c r="H22">
        <v>1.6320676999999932</v>
      </c>
      <c r="I22">
        <v>267.19107450000001</v>
      </c>
      <c r="J22">
        <v>267.30188379999998</v>
      </c>
      <c r="K22">
        <v>4.5851162000000159</v>
      </c>
      <c r="L22">
        <v>23.681565200000001</v>
      </c>
      <c r="M22">
        <f t="shared" si="1"/>
        <v>257420</v>
      </c>
      <c r="N22" s="18">
        <f t="shared" si="2"/>
        <v>1146015.2</v>
      </c>
      <c r="O22" s="17">
        <f t="shared" si="3"/>
        <v>270.92700000000002</v>
      </c>
      <c r="P22" s="17">
        <f t="shared" si="4"/>
        <v>272.60000000000002</v>
      </c>
      <c r="Q22" s="17">
        <f t="shared" si="5"/>
        <v>1.673</v>
      </c>
      <c r="R22" s="17">
        <f t="shared" si="6"/>
        <v>270.255</v>
      </c>
      <c r="S22" s="17">
        <f t="shared" si="7"/>
        <v>271.887</v>
      </c>
      <c r="T22" s="17">
        <f t="shared" si="8"/>
        <v>1.6319999999999999</v>
      </c>
      <c r="U22" s="17">
        <f t="shared" si="9"/>
        <v>267.19099999999997</v>
      </c>
      <c r="V22" s="17">
        <f t="shared" si="10"/>
        <v>267.30200000000002</v>
      </c>
      <c r="W22" s="17">
        <f t="shared" si="11"/>
        <v>4.585</v>
      </c>
      <c r="X22" s="17">
        <f t="shared" si="12"/>
        <v>23.681999999999999</v>
      </c>
    </row>
    <row r="23" spans="1:24" x14ac:dyDescent="0.35">
      <c r="A23">
        <v>257440</v>
      </c>
      <c r="B23">
        <v>1146035.1537868797</v>
      </c>
      <c r="C23">
        <v>270.92404620000002</v>
      </c>
      <c r="D23">
        <v>272.60000000000002</v>
      </c>
      <c r="E23">
        <v>1.675953800000002</v>
      </c>
      <c r="F23">
        <v>270.2520462</v>
      </c>
      <c r="G23">
        <v>271.887</v>
      </c>
      <c r="H23">
        <v>1.6349538000000052</v>
      </c>
      <c r="I23">
        <v>267.09587449999998</v>
      </c>
      <c r="J23">
        <v>267.0988299</v>
      </c>
      <c r="K23">
        <v>4.7881701000000021</v>
      </c>
      <c r="L23">
        <v>23.601641099999998</v>
      </c>
      <c r="M23">
        <f t="shared" si="1"/>
        <v>257440</v>
      </c>
      <c r="N23" s="18">
        <f t="shared" si="2"/>
        <v>1146035.2</v>
      </c>
      <c r="O23" s="17">
        <f t="shared" si="3"/>
        <v>270.92399999999998</v>
      </c>
      <c r="P23" s="17">
        <f t="shared" si="4"/>
        <v>272.60000000000002</v>
      </c>
      <c r="Q23" s="17">
        <f t="shared" si="5"/>
        <v>1.6759999999999999</v>
      </c>
      <c r="R23" s="17">
        <f t="shared" si="6"/>
        <v>270.25200000000001</v>
      </c>
      <c r="S23" s="17">
        <f t="shared" si="7"/>
        <v>271.887</v>
      </c>
      <c r="T23" s="17">
        <f t="shared" si="8"/>
        <v>1.635</v>
      </c>
      <c r="U23" s="17">
        <f t="shared" si="9"/>
        <v>267.096</v>
      </c>
      <c r="V23" s="17">
        <f t="shared" si="10"/>
        <v>267.09899999999999</v>
      </c>
      <c r="W23" s="17">
        <f t="shared" si="11"/>
        <v>4.7880000000000003</v>
      </c>
      <c r="X23" s="17">
        <f t="shared" si="12"/>
        <v>23.602</v>
      </c>
    </row>
    <row r="24" spans="1:24" x14ac:dyDescent="0.35">
      <c r="A24">
        <v>257460</v>
      </c>
      <c r="B24">
        <v>1146055.1138962065</v>
      </c>
      <c r="C24">
        <v>270.90127000000001</v>
      </c>
      <c r="D24">
        <v>272.60000000000002</v>
      </c>
      <c r="E24">
        <v>1.6987300000000118</v>
      </c>
      <c r="F24">
        <v>270.22926999999999</v>
      </c>
      <c r="G24">
        <v>271.887</v>
      </c>
      <c r="H24">
        <v>1.657730000000015</v>
      </c>
      <c r="I24">
        <v>267.2033424</v>
      </c>
      <c r="J24">
        <v>267.16189610000004</v>
      </c>
      <c r="K24">
        <v>4.7251038999999651</v>
      </c>
      <c r="L24">
        <v>23.406575199999999</v>
      </c>
      <c r="M24">
        <f t="shared" si="1"/>
        <v>257460</v>
      </c>
      <c r="N24" s="18">
        <f t="shared" si="2"/>
        <v>1146055.1000000001</v>
      </c>
      <c r="O24" s="17">
        <f t="shared" si="3"/>
        <v>270.90100000000001</v>
      </c>
      <c r="P24" s="17">
        <f t="shared" si="4"/>
        <v>272.60000000000002</v>
      </c>
      <c r="Q24" s="17">
        <f t="shared" si="5"/>
        <v>1.6990000000000001</v>
      </c>
      <c r="R24" s="17">
        <f t="shared" si="6"/>
        <v>270.22899999999998</v>
      </c>
      <c r="S24" s="17">
        <f t="shared" si="7"/>
        <v>271.887</v>
      </c>
      <c r="T24" s="17">
        <f t="shared" si="8"/>
        <v>1.6579999999999999</v>
      </c>
      <c r="U24" s="17">
        <f t="shared" si="9"/>
        <v>267.20299999999997</v>
      </c>
      <c r="V24" s="17">
        <f t="shared" si="10"/>
        <v>267.16199999999998</v>
      </c>
      <c r="W24" s="17">
        <f t="shared" si="11"/>
        <v>4.7249999999999996</v>
      </c>
      <c r="X24" s="17">
        <f t="shared" si="12"/>
        <v>23.407</v>
      </c>
    </row>
    <row r="25" spans="1:24" x14ac:dyDescent="0.35">
      <c r="A25">
        <v>257480</v>
      </c>
      <c r="B25">
        <v>1146075.1533393373</v>
      </c>
      <c r="C25">
        <v>270.88094920000003</v>
      </c>
      <c r="D25">
        <v>272.60000000000002</v>
      </c>
      <c r="E25">
        <v>1.7190507999999909</v>
      </c>
      <c r="F25">
        <v>270.20894920000001</v>
      </c>
      <c r="G25">
        <v>271.887</v>
      </c>
      <c r="H25">
        <v>1.6780507999999941</v>
      </c>
      <c r="I25">
        <v>267.31531970000003</v>
      </c>
      <c r="J25">
        <v>267.1606142</v>
      </c>
      <c r="K25">
        <v>4.7263858000000027</v>
      </c>
      <c r="L25">
        <v>23.043458900000001</v>
      </c>
      <c r="M25">
        <f t="shared" si="1"/>
        <v>257480</v>
      </c>
      <c r="N25" s="18">
        <f t="shared" si="2"/>
        <v>1146075.2</v>
      </c>
      <c r="O25" s="17">
        <f t="shared" si="3"/>
        <v>270.88099999999997</v>
      </c>
      <c r="P25" s="17">
        <f t="shared" si="4"/>
        <v>272.60000000000002</v>
      </c>
      <c r="Q25" s="17">
        <f t="shared" si="5"/>
        <v>1.7190000000000001</v>
      </c>
      <c r="R25" s="17">
        <f t="shared" si="6"/>
        <v>270.209</v>
      </c>
      <c r="S25" s="17">
        <f t="shared" si="7"/>
        <v>271.887</v>
      </c>
      <c r="T25" s="17">
        <f t="shared" si="8"/>
        <v>1.6779999999999999</v>
      </c>
      <c r="U25" s="17">
        <f t="shared" si="9"/>
        <v>267.315</v>
      </c>
      <c r="V25" s="17">
        <f t="shared" si="10"/>
        <v>267.161</v>
      </c>
      <c r="W25" s="17">
        <f t="shared" si="11"/>
        <v>4.726</v>
      </c>
      <c r="X25" s="17">
        <f t="shared" si="12"/>
        <v>23.042999999999999</v>
      </c>
    </row>
    <row r="26" spans="1:24" x14ac:dyDescent="0.35">
      <c r="A26">
        <v>257500</v>
      </c>
      <c r="B26">
        <v>1146095.172</v>
      </c>
      <c r="C26">
        <v>270.86682420000005</v>
      </c>
      <c r="D26">
        <v>272.60000000000002</v>
      </c>
      <c r="E26">
        <v>1.7331757999999695</v>
      </c>
      <c r="F26">
        <v>270.19482420000003</v>
      </c>
      <c r="G26">
        <v>271.887</v>
      </c>
      <c r="H26">
        <v>1.6921757999999727</v>
      </c>
      <c r="I26">
        <v>267.50924830000002</v>
      </c>
      <c r="J26">
        <v>267.47704180000005</v>
      </c>
      <c r="K26">
        <v>4.4099581999999486</v>
      </c>
      <c r="L26">
        <v>22.4982848</v>
      </c>
      <c r="M26">
        <f t="shared" si="1"/>
        <v>257500</v>
      </c>
      <c r="N26" s="18">
        <f t="shared" si="2"/>
        <v>1146095.2</v>
      </c>
      <c r="O26" s="17">
        <f t="shared" si="3"/>
        <v>270.86700000000002</v>
      </c>
      <c r="P26" s="17">
        <f t="shared" si="4"/>
        <v>272.60000000000002</v>
      </c>
      <c r="Q26" s="17">
        <f t="shared" si="5"/>
        <v>1.7330000000000001</v>
      </c>
      <c r="R26" s="17">
        <f t="shared" si="6"/>
        <v>270.19499999999999</v>
      </c>
      <c r="S26" s="17">
        <f t="shared" si="7"/>
        <v>271.887</v>
      </c>
      <c r="T26" s="17">
        <f t="shared" si="8"/>
        <v>1.6919999999999999</v>
      </c>
      <c r="U26" s="17">
        <f t="shared" si="9"/>
        <v>267.50900000000001</v>
      </c>
      <c r="V26" s="17">
        <f t="shared" si="10"/>
        <v>267.47699999999998</v>
      </c>
      <c r="W26" s="17">
        <f t="shared" si="11"/>
        <v>4.41</v>
      </c>
      <c r="X26" s="17">
        <f t="shared" si="12"/>
        <v>22.498000000000001</v>
      </c>
    </row>
    <row r="27" spans="1:24" x14ac:dyDescent="0.35">
      <c r="A27">
        <v>257520</v>
      </c>
      <c r="B27">
        <v>1146115.1959038014</v>
      </c>
      <c r="C27">
        <v>270.84597204788798</v>
      </c>
      <c r="D27">
        <v>272.56849514788797</v>
      </c>
      <c r="E27">
        <v>1.7225230999999894</v>
      </c>
      <c r="F27">
        <v>270.17397204788796</v>
      </c>
      <c r="G27">
        <v>271.85549514788795</v>
      </c>
      <c r="H27">
        <v>1.6815230999999926</v>
      </c>
      <c r="I27">
        <v>267.55955324788795</v>
      </c>
      <c r="J27">
        <v>267.73749134788795</v>
      </c>
      <c r="K27">
        <v>4.1180037999999968</v>
      </c>
      <c r="L27">
        <v>21.733401300000001</v>
      </c>
      <c r="M27">
        <f t="shared" si="1"/>
        <v>257520</v>
      </c>
      <c r="N27" s="18">
        <f t="shared" si="2"/>
        <v>1146115.2</v>
      </c>
      <c r="O27" s="17">
        <f t="shared" si="3"/>
        <v>270.846</v>
      </c>
      <c r="P27" s="17">
        <f t="shared" si="4"/>
        <v>272.56799999999998</v>
      </c>
      <c r="Q27" s="17">
        <f t="shared" si="5"/>
        <v>1.7230000000000001</v>
      </c>
      <c r="R27" s="17">
        <f t="shared" si="6"/>
        <v>270.17399999999998</v>
      </c>
      <c r="S27" s="17">
        <f t="shared" si="7"/>
        <v>271.85500000000002</v>
      </c>
      <c r="T27" s="17">
        <f t="shared" si="8"/>
        <v>1.6819999999999999</v>
      </c>
      <c r="U27" s="17">
        <f t="shared" si="9"/>
        <v>267.56</v>
      </c>
      <c r="V27" s="17">
        <f t="shared" si="10"/>
        <v>267.73700000000002</v>
      </c>
      <c r="W27" s="17">
        <f t="shared" si="11"/>
        <v>4.1180000000000003</v>
      </c>
      <c r="X27" s="17">
        <f t="shared" si="12"/>
        <v>21.733000000000001</v>
      </c>
    </row>
    <row r="28" spans="1:24" x14ac:dyDescent="0.35">
      <c r="A28">
        <v>257540</v>
      </c>
      <c r="B28">
        <v>1146135.1749892144</v>
      </c>
      <c r="C28">
        <v>270.82335983409115</v>
      </c>
      <c r="D28">
        <v>272.52567303409114</v>
      </c>
      <c r="E28">
        <v>1.7023131999999919</v>
      </c>
      <c r="F28">
        <v>270.15135983409112</v>
      </c>
      <c r="G28">
        <v>271.81267303409112</v>
      </c>
      <c r="H28">
        <v>1.661313199999995</v>
      </c>
      <c r="I28">
        <v>267.55685923409118</v>
      </c>
      <c r="J28">
        <v>267.67522973409115</v>
      </c>
      <c r="K28">
        <v>4.1374432999999726</v>
      </c>
      <c r="L28">
        <v>20.718789300000001</v>
      </c>
      <c r="M28">
        <f t="shared" si="1"/>
        <v>257540</v>
      </c>
      <c r="N28" s="18">
        <f t="shared" si="2"/>
        <v>1146135.2</v>
      </c>
      <c r="O28" s="17">
        <f t="shared" si="3"/>
        <v>270.82299999999998</v>
      </c>
      <c r="P28" s="17">
        <f t="shared" si="4"/>
        <v>272.52600000000001</v>
      </c>
      <c r="Q28" s="17">
        <f t="shared" si="5"/>
        <v>1.702</v>
      </c>
      <c r="R28" s="17">
        <f t="shared" si="6"/>
        <v>270.15100000000001</v>
      </c>
      <c r="S28" s="17">
        <f t="shared" si="7"/>
        <v>271.81299999999999</v>
      </c>
      <c r="T28" s="17">
        <f t="shared" si="8"/>
        <v>1.661</v>
      </c>
      <c r="U28" s="17">
        <f t="shared" si="9"/>
        <v>267.55700000000002</v>
      </c>
      <c r="V28" s="17">
        <f t="shared" si="10"/>
        <v>267.67500000000001</v>
      </c>
      <c r="W28" s="17">
        <f t="shared" si="11"/>
        <v>4.1369999999999996</v>
      </c>
      <c r="X28" s="17">
        <f t="shared" si="12"/>
        <v>20.719000000000001</v>
      </c>
    </row>
    <row r="29" spans="1:24" x14ac:dyDescent="0.35">
      <c r="A29">
        <v>257560</v>
      </c>
      <c r="B29">
        <v>1146155.2255967811</v>
      </c>
      <c r="C29">
        <v>270.81039552349716</v>
      </c>
      <c r="D29">
        <v>272.48269762349719</v>
      </c>
      <c r="E29">
        <v>1.6723021000000244</v>
      </c>
      <c r="F29">
        <v>270.13839552349714</v>
      </c>
      <c r="G29">
        <v>271.76969762349717</v>
      </c>
      <c r="H29">
        <v>1.6313021000000276</v>
      </c>
      <c r="I29">
        <v>267.56501682349716</v>
      </c>
      <c r="J29">
        <v>267.63754502349718</v>
      </c>
      <c r="K29">
        <v>4.1321525999999835</v>
      </c>
      <c r="L29">
        <v>19.465170499999999</v>
      </c>
      <c r="M29">
        <f t="shared" si="1"/>
        <v>257560</v>
      </c>
      <c r="N29" s="18">
        <f t="shared" si="2"/>
        <v>1146155.2</v>
      </c>
      <c r="O29" s="17">
        <f t="shared" si="3"/>
        <v>270.81</v>
      </c>
      <c r="P29" s="17">
        <f t="shared" si="4"/>
        <v>272.483</v>
      </c>
      <c r="Q29" s="17">
        <f t="shared" si="5"/>
        <v>1.6719999999999999</v>
      </c>
      <c r="R29" s="17">
        <f t="shared" si="6"/>
        <v>270.13799999999998</v>
      </c>
      <c r="S29" s="17">
        <f t="shared" si="7"/>
        <v>271.77</v>
      </c>
      <c r="T29" s="17">
        <f t="shared" si="8"/>
        <v>1.631</v>
      </c>
      <c r="U29" s="17">
        <f t="shared" si="9"/>
        <v>267.565</v>
      </c>
      <c r="V29" s="17">
        <f t="shared" si="10"/>
        <v>267.63799999999998</v>
      </c>
      <c r="W29" s="17">
        <f t="shared" si="11"/>
        <v>4.1319999999999997</v>
      </c>
      <c r="X29" s="17">
        <f t="shared" si="12"/>
        <v>19.465</v>
      </c>
    </row>
    <row r="30" spans="1:24" x14ac:dyDescent="0.35">
      <c r="A30">
        <v>257580</v>
      </c>
      <c r="B30">
        <v>1146175.260694701</v>
      </c>
      <c r="C30">
        <v>270.79935795545907</v>
      </c>
      <c r="D30">
        <v>272.43975545545908</v>
      </c>
      <c r="E30">
        <v>1.6403975000000059</v>
      </c>
      <c r="F30">
        <v>270.12735795545905</v>
      </c>
      <c r="G30">
        <v>271.72675545545906</v>
      </c>
      <c r="H30">
        <v>1.5993975000000091</v>
      </c>
      <c r="I30">
        <v>267.68999405545907</v>
      </c>
      <c r="J30">
        <v>267.62177955545906</v>
      </c>
      <c r="K30">
        <v>4.1049758999999995</v>
      </c>
      <c r="L30">
        <v>17.984058600000001</v>
      </c>
      <c r="M30">
        <f t="shared" si="1"/>
        <v>257580</v>
      </c>
      <c r="N30" s="18">
        <f t="shared" si="2"/>
        <v>1146175.3</v>
      </c>
      <c r="O30" s="17">
        <f t="shared" si="3"/>
        <v>270.79899999999998</v>
      </c>
      <c r="P30" s="17">
        <f t="shared" si="4"/>
        <v>272.44</v>
      </c>
      <c r="Q30" s="17">
        <f t="shared" si="5"/>
        <v>1.64</v>
      </c>
      <c r="R30" s="17">
        <f t="shared" si="6"/>
        <v>270.12700000000001</v>
      </c>
      <c r="S30" s="17">
        <f t="shared" si="7"/>
        <v>271.72699999999998</v>
      </c>
      <c r="T30" s="17">
        <f t="shared" si="8"/>
        <v>1.599</v>
      </c>
      <c r="U30" s="17">
        <f t="shared" si="9"/>
        <v>267.69</v>
      </c>
      <c r="V30" s="17">
        <f t="shared" si="10"/>
        <v>267.62200000000001</v>
      </c>
      <c r="W30" s="17">
        <f t="shared" si="11"/>
        <v>4.1050000000000004</v>
      </c>
      <c r="X30" s="17">
        <f t="shared" si="12"/>
        <v>17.984000000000002</v>
      </c>
    </row>
    <row r="31" spans="1:24" x14ac:dyDescent="0.35">
      <c r="A31">
        <v>257600</v>
      </c>
      <c r="B31">
        <v>1146195.4072523182</v>
      </c>
      <c r="C31">
        <v>270.76490069060736</v>
      </c>
      <c r="D31">
        <v>272.39657439060733</v>
      </c>
      <c r="E31">
        <v>1.6316736999999648</v>
      </c>
      <c r="F31">
        <v>270.09290069060734</v>
      </c>
      <c r="G31">
        <v>271.6835743906073</v>
      </c>
      <c r="H31">
        <v>1.590673699999968</v>
      </c>
      <c r="I31">
        <v>267.86284879060736</v>
      </c>
      <c r="J31">
        <v>267.89872139060736</v>
      </c>
      <c r="K31">
        <v>3.7848529999999414</v>
      </c>
      <c r="L31">
        <v>16.4158741</v>
      </c>
      <c r="M31">
        <f t="shared" si="1"/>
        <v>257600</v>
      </c>
      <c r="N31" s="18">
        <f t="shared" si="2"/>
        <v>1146195.3999999999</v>
      </c>
      <c r="O31" s="17">
        <f t="shared" si="3"/>
        <v>270.76499999999999</v>
      </c>
      <c r="P31" s="17">
        <f t="shared" si="4"/>
        <v>272.39699999999999</v>
      </c>
      <c r="Q31" s="17">
        <f t="shared" si="5"/>
        <v>1.6319999999999999</v>
      </c>
      <c r="R31" s="17">
        <f t="shared" si="6"/>
        <v>270.09300000000002</v>
      </c>
      <c r="S31" s="17">
        <f t="shared" si="7"/>
        <v>271.68400000000003</v>
      </c>
      <c r="T31" s="17">
        <f t="shared" si="8"/>
        <v>1.591</v>
      </c>
      <c r="U31" s="17">
        <f t="shared" si="9"/>
        <v>267.863</v>
      </c>
      <c r="V31" s="17">
        <f t="shared" si="10"/>
        <v>267.899</v>
      </c>
      <c r="W31" s="17">
        <f t="shared" si="11"/>
        <v>3.7850000000000001</v>
      </c>
      <c r="X31" s="17">
        <f t="shared" si="12"/>
        <v>16.416</v>
      </c>
    </row>
    <row r="32" spans="1:24" x14ac:dyDescent="0.35">
      <c r="A32">
        <v>257620</v>
      </c>
      <c r="B32">
        <v>1146215.6484964222</v>
      </c>
      <c r="C32">
        <v>270.71618667975338</v>
      </c>
      <c r="D32">
        <v>272.35319037975341</v>
      </c>
      <c r="E32">
        <v>1.6370037000000366</v>
      </c>
      <c r="F32">
        <v>270.04418667975335</v>
      </c>
      <c r="G32">
        <v>271.64019037975339</v>
      </c>
      <c r="H32">
        <v>1.5960037000000398</v>
      </c>
      <c r="I32">
        <v>268.16074627975337</v>
      </c>
      <c r="J32">
        <v>268.0320657797534</v>
      </c>
      <c r="K32">
        <v>3.6081245999999965</v>
      </c>
      <c r="L32">
        <v>14.7915718</v>
      </c>
      <c r="M32">
        <f t="shared" si="1"/>
        <v>257620</v>
      </c>
      <c r="N32" s="18">
        <f t="shared" si="2"/>
        <v>1146215.6000000001</v>
      </c>
      <c r="O32" s="17">
        <f t="shared" si="3"/>
        <v>270.71600000000001</v>
      </c>
      <c r="P32" s="17">
        <f t="shared" si="4"/>
        <v>272.35300000000001</v>
      </c>
      <c r="Q32" s="17">
        <f t="shared" si="5"/>
        <v>1.637</v>
      </c>
      <c r="R32" s="17">
        <f t="shared" si="6"/>
        <v>270.04399999999998</v>
      </c>
      <c r="S32" s="17">
        <f t="shared" si="7"/>
        <v>271.64</v>
      </c>
      <c r="T32" s="17">
        <f t="shared" si="8"/>
        <v>1.5960000000000001</v>
      </c>
      <c r="U32" s="17">
        <f t="shared" si="9"/>
        <v>268.161</v>
      </c>
      <c r="V32" s="17">
        <f t="shared" si="10"/>
        <v>268.03199999999998</v>
      </c>
      <c r="W32" s="17">
        <f t="shared" si="11"/>
        <v>3.6080000000000001</v>
      </c>
      <c r="X32" s="17">
        <f t="shared" si="12"/>
        <v>14.792</v>
      </c>
    </row>
    <row r="33" spans="1:24" x14ac:dyDescent="0.35">
      <c r="A33">
        <v>257640</v>
      </c>
      <c r="B33">
        <v>1146235.6957565437</v>
      </c>
      <c r="C33">
        <v>270.67135804389642</v>
      </c>
      <c r="D33">
        <v>272.3102221438964</v>
      </c>
      <c r="E33">
        <v>1.638864099999978</v>
      </c>
      <c r="F33">
        <v>269.99935804389639</v>
      </c>
      <c r="G33">
        <v>271.59722214389637</v>
      </c>
      <c r="H33">
        <v>1.5978640999999811</v>
      </c>
      <c r="I33">
        <v>268.06439354389641</v>
      </c>
      <c r="J33">
        <v>268.25727174389641</v>
      </c>
      <c r="K33">
        <v>3.3399503999999638</v>
      </c>
      <c r="L33">
        <v>13.3665413</v>
      </c>
      <c r="M33">
        <f t="shared" si="1"/>
        <v>257640</v>
      </c>
      <c r="N33" s="18">
        <f t="shared" si="2"/>
        <v>1146235.7</v>
      </c>
      <c r="O33" s="17">
        <f t="shared" si="3"/>
        <v>270.67099999999999</v>
      </c>
      <c r="P33" s="17">
        <f t="shared" si="4"/>
        <v>272.31</v>
      </c>
      <c r="Q33" s="17">
        <f t="shared" si="5"/>
        <v>1.639</v>
      </c>
      <c r="R33" s="17">
        <f t="shared" si="6"/>
        <v>269.99900000000002</v>
      </c>
      <c r="S33" s="17">
        <f t="shared" si="7"/>
        <v>271.59699999999998</v>
      </c>
      <c r="T33" s="17">
        <f t="shared" si="8"/>
        <v>1.5980000000000001</v>
      </c>
      <c r="U33" s="17">
        <f t="shared" si="9"/>
        <v>268.06400000000002</v>
      </c>
      <c r="V33" s="17">
        <f t="shared" si="10"/>
        <v>268.25700000000001</v>
      </c>
      <c r="W33" s="17">
        <f t="shared" si="11"/>
        <v>3.34</v>
      </c>
      <c r="X33" s="17">
        <f t="shared" si="12"/>
        <v>13.367000000000001</v>
      </c>
    </row>
    <row r="34" spans="1:24" x14ac:dyDescent="0.35">
      <c r="A34">
        <v>257660</v>
      </c>
      <c r="B34">
        <v>1146255.915877233</v>
      </c>
      <c r="C34">
        <v>270.623095907851</v>
      </c>
      <c r="D34">
        <v>272.26688340785097</v>
      </c>
      <c r="E34">
        <v>1.6437874999999735</v>
      </c>
      <c r="F34">
        <v>269.95109590785097</v>
      </c>
      <c r="G34">
        <v>271.55388340785095</v>
      </c>
      <c r="H34">
        <v>1.6027874999999767</v>
      </c>
      <c r="I34">
        <v>267.84165890785096</v>
      </c>
      <c r="J34">
        <v>268.16397980785098</v>
      </c>
      <c r="K34">
        <v>3.3899035999999683</v>
      </c>
      <c r="L34">
        <v>11.998168099999999</v>
      </c>
      <c r="M34">
        <f t="shared" si="1"/>
        <v>257660</v>
      </c>
      <c r="N34" s="18">
        <f t="shared" si="2"/>
        <v>1146255.8999999999</v>
      </c>
      <c r="O34" s="17">
        <f t="shared" si="3"/>
        <v>270.62299999999999</v>
      </c>
      <c r="P34" s="17">
        <f t="shared" si="4"/>
        <v>272.267</v>
      </c>
      <c r="Q34" s="17">
        <f t="shared" si="5"/>
        <v>1.6439999999999999</v>
      </c>
      <c r="R34" s="17">
        <f t="shared" si="6"/>
        <v>269.95100000000002</v>
      </c>
      <c r="S34" s="17">
        <f t="shared" si="7"/>
        <v>271.55399999999997</v>
      </c>
      <c r="T34" s="17">
        <f t="shared" si="8"/>
        <v>1.603</v>
      </c>
      <c r="U34" s="17">
        <f t="shared" si="9"/>
        <v>267.84199999999998</v>
      </c>
      <c r="V34" s="17">
        <f t="shared" si="10"/>
        <v>268.16399999999999</v>
      </c>
      <c r="W34" s="17">
        <f t="shared" si="11"/>
        <v>3.39</v>
      </c>
      <c r="X34" s="17">
        <f t="shared" si="12"/>
        <v>11.997999999999999</v>
      </c>
    </row>
    <row r="35" spans="1:24" x14ac:dyDescent="0.35">
      <c r="A35">
        <v>257680</v>
      </c>
      <c r="B35">
        <v>1146275.9589834779</v>
      </c>
      <c r="C35">
        <v>270.56492627519305</v>
      </c>
      <c r="D35">
        <v>272.22392407519305</v>
      </c>
      <c r="E35">
        <v>1.6589978000000087</v>
      </c>
      <c r="F35">
        <v>269.89292627519302</v>
      </c>
      <c r="G35">
        <v>271.51092407519303</v>
      </c>
      <c r="H35">
        <v>1.6179978000000119</v>
      </c>
      <c r="I35">
        <v>267.62087417519302</v>
      </c>
      <c r="J35">
        <v>267.87775387519304</v>
      </c>
      <c r="K35">
        <v>3.633170199999995</v>
      </c>
      <c r="L35">
        <v>10.8604728</v>
      </c>
      <c r="M35">
        <f t="shared" si="1"/>
        <v>257680</v>
      </c>
      <c r="N35" s="18">
        <f t="shared" si="2"/>
        <v>1146276</v>
      </c>
      <c r="O35" s="17">
        <f t="shared" si="3"/>
        <v>270.565</v>
      </c>
      <c r="P35" s="17">
        <f t="shared" si="4"/>
        <v>272.22399999999999</v>
      </c>
      <c r="Q35" s="17">
        <f t="shared" si="5"/>
        <v>1.659</v>
      </c>
      <c r="R35" s="17">
        <f t="shared" si="6"/>
        <v>269.89299999999997</v>
      </c>
      <c r="S35" s="17">
        <f t="shared" si="7"/>
        <v>271.51100000000002</v>
      </c>
      <c r="T35" s="17">
        <f t="shared" si="8"/>
        <v>1.6180000000000001</v>
      </c>
      <c r="U35" s="17">
        <f t="shared" si="9"/>
        <v>267.62099999999998</v>
      </c>
      <c r="V35" s="17">
        <f t="shared" si="10"/>
        <v>267.87799999999999</v>
      </c>
      <c r="W35" s="17">
        <f t="shared" si="11"/>
        <v>3.633</v>
      </c>
      <c r="X35" s="17">
        <f t="shared" si="12"/>
        <v>10.86</v>
      </c>
    </row>
    <row r="36" spans="1:24" x14ac:dyDescent="0.35">
      <c r="A36">
        <v>257700</v>
      </c>
      <c r="B36">
        <v>1146296.1803380172</v>
      </c>
      <c r="C36">
        <v>270.52326899457904</v>
      </c>
      <c r="D36">
        <v>272.18058269457902</v>
      </c>
      <c r="E36">
        <v>1.6573136999999747</v>
      </c>
      <c r="F36">
        <v>269.85126899457902</v>
      </c>
      <c r="G36">
        <v>271.46758269457899</v>
      </c>
      <c r="H36">
        <v>1.6163136999999779</v>
      </c>
      <c r="I36">
        <v>267.46507649457902</v>
      </c>
      <c r="J36">
        <v>268.05889369457901</v>
      </c>
      <c r="K36">
        <v>3.4086889999999812</v>
      </c>
      <c r="L36">
        <v>10.0211206</v>
      </c>
      <c r="M36">
        <f t="shared" si="1"/>
        <v>257700</v>
      </c>
      <c r="N36" s="18">
        <f t="shared" si="2"/>
        <v>1146296.2</v>
      </c>
      <c r="O36" s="17">
        <f t="shared" si="3"/>
        <v>270.52300000000002</v>
      </c>
      <c r="P36" s="17">
        <f t="shared" si="4"/>
        <v>272.18099999999998</v>
      </c>
      <c r="Q36" s="17">
        <f t="shared" si="5"/>
        <v>1.657</v>
      </c>
      <c r="R36" s="17">
        <f t="shared" si="6"/>
        <v>269.851</v>
      </c>
      <c r="S36" s="17">
        <f t="shared" si="7"/>
        <v>271.46800000000002</v>
      </c>
      <c r="T36" s="17">
        <f t="shared" si="8"/>
        <v>1.6160000000000001</v>
      </c>
      <c r="U36" s="17">
        <f t="shared" si="9"/>
        <v>267.46499999999997</v>
      </c>
      <c r="V36" s="17">
        <f t="shared" si="10"/>
        <v>268.05900000000003</v>
      </c>
      <c r="W36" s="17">
        <f t="shared" si="11"/>
        <v>3.4089999999999998</v>
      </c>
      <c r="X36" s="17">
        <f t="shared" si="12"/>
        <v>10.021000000000001</v>
      </c>
    </row>
    <row r="37" spans="1:24" x14ac:dyDescent="0.35">
      <c r="A37">
        <v>257720</v>
      </c>
      <c r="B37">
        <v>1146316.4041294241</v>
      </c>
      <c r="C37">
        <v>270.48877539091183</v>
      </c>
      <c r="D37">
        <v>272.13723609091187</v>
      </c>
      <c r="E37">
        <v>1.6484607000000437</v>
      </c>
      <c r="F37">
        <v>269.8167753909118</v>
      </c>
      <c r="G37">
        <v>271.42423609091185</v>
      </c>
      <c r="H37">
        <v>1.6074607000000469</v>
      </c>
      <c r="I37">
        <v>267.53801669091183</v>
      </c>
      <c r="J37">
        <v>268.22905879091184</v>
      </c>
      <c r="K37">
        <v>3.1951773000000117</v>
      </c>
      <c r="L37">
        <v>9.2567895</v>
      </c>
      <c r="M37">
        <f t="shared" si="1"/>
        <v>257720</v>
      </c>
      <c r="N37" s="18">
        <f t="shared" si="2"/>
        <v>1146316.3999999999</v>
      </c>
      <c r="O37" s="17">
        <f t="shared" si="3"/>
        <v>270.48899999999998</v>
      </c>
      <c r="P37" s="17">
        <f t="shared" si="4"/>
        <v>272.137</v>
      </c>
      <c r="Q37" s="17">
        <f t="shared" si="5"/>
        <v>1.6479999999999999</v>
      </c>
      <c r="R37" s="17">
        <f t="shared" si="6"/>
        <v>269.81700000000001</v>
      </c>
      <c r="S37" s="17">
        <f t="shared" si="7"/>
        <v>271.42399999999998</v>
      </c>
      <c r="T37" s="17">
        <f t="shared" si="8"/>
        <v>1.607</v>
      </c>
      <c r="U37" s="17">
        <f t="shared" si="9"/>
        <v>267.53800000000001</v>
      </c>
      <c r="V37" s="17">
        <f t="shared" si="10"/>
        <v>268.22899999999998</v>
      </c>
      <c r="W37" s="17">
        <f t="shared" si="11"/>
        <v>3.1949999999999998</v>
      </c>
      <c r="X37" s="17">
        <f t="shared" si="12"/>
        <v>9.2569999999999997</v>
      </c>
    </row>
    <row r="38" spans="1:24" x14ac:dyDescent="0.35">
      <c r="A38">
        <v>257740</v>
      </c>
      <c r="B38">
        <v>1146336.3482294383</v>
      </c>
      <c r="C38">
        <v>270.46407326296656</v>
      </c>
      <c r="D38">
        <v>272.09448896296658</v>
      </c>
      <c r="E38">
        <v>1.6304157000000146</v>
      </c>
      <c r="F38">
        <v>269.79207326296654</v>
      </c>
      <c r="G38">
        <v>271.38148896296656</v>
      </c>
      <c r="H38">
        <v>1.5894157000000178</v>
      </c>
      <c r="I38">
        <v>267.60787356296657</v>
      </c>
      <c r="J38">
        <v>267.99983916296657</v>
      </c>
      <c r="K38">
        <v>3.381649799999991</v>
      </c>
      <c r="L38">
        <v>8.8683332000000004</v>
      </c>
      <c r="M38">
        <f t="shared" si="1"/>
        <v>257740</v>
      </c>
      <c r="N38" s="18">
        <f t="shared" si="2"/>
        <v>1146336.3</v>
      </c>
      <c r="O38" s="17">
        <f t="shared" si="3"/>
        <v>270.464</v>
      </c>
      <c r="P38" s="17">
        <f t="shared" si="4"/>
        <v>272.09399999999999</v>
      </c>
      <c r="Q38" s="17">
        <f t="shared" si="5"/>
        <v>1.63</v>
      </c>
      <c r="R38" s="17">
        <f t="shared" si="6"/>
        <v>269.79199999999997</v>
      </c>
      <c r="S38" s="17">
        <f t="shared" si="7"/>
        <v>271.38099999999997</v>
      </c>
      <c r="T38" s="17">
        <f t="shared" si="8"/>
        <v>1.589</v>
      </c>
      <c r="U38" s="17">
        <f t="shared" si="9"/>
        <v>267.608</v>
      </c>
      <c r="V38" s="17">
        <f t="shared" si="10"/>
        <v>268</v>
      </c>
      <c r="W38" s="17">
        <f t="shared" si="11"/>
        <v>3.3820000000000001</v>
      </c>
      <c r="X38" s="17">
        <f t="shared" si="12"/>
        <v>8.8680000000000003</v>
      </c>
    </row>
    <row r="39" spans="1:24" x14ac:dyDescent="0.35">
      <c r="A39">
        <v>257760</v>
      </c>
      <c r="B39">
        <v>1146356.4369864934</v>
      </c>
      <c r="C39">
        <v>270.45339538477918</v>
      </c>
      <c r="D39">
        <v>272.0514317847792</v>
      </c>
      <c r="E39">
        <v>1.5980364000000122</v>
      </c>
      <c r="F39">
        <v>269.78139538477916</v>
      </c>
      <c r="G39">
        <v>271.33843178477917</v>
      </c>
      <c r="H39">
        <v>1.5570364000000154</v>
      </c>
      <c r="I39">
        <v>267.85108578477917</v>
      </c>
      <c r="J39">
        <v>268.2706221847792</v>
      </c>
      <c r="K39">
        <v>3.0678095999999755</v>
      </c>
      <c r="L39">
        <v>8.6138726000000005</v>
      </c>
      <c r="M39">
        <f t="shared" si="1"/>
        <v>257760</v>
      </c>
      <c r="N39" s="18">
        <f t="shared" si="2"/>
        <v>1146356.3999999999</v>
      </c>
      <c r="O39" s="17">
        <f t="shared" si="3"/>
        <v>270.45299999999997</v>
      </c>
      <c r="P39" s="17">
        <f t="shared" si="4"/>
        <v>272.05099999999999</v>
      </c>
      <c r="Q39" s="17">
        <f t="shared" si="5"/>
        <v>1.5980000000000001</v>
      </c>
      <c r="R39" s="17">
        <f t="shared" si="6"/>
        <v>269.78100000000001</v>
      </c>
      <c r="S39" s="17">
        <f t="shared" si="7"/>
        <v>271.33800000000002</v>
      </c>
      <c r="T39" s="17">
        <f t="shared" si="8"/>
        <v>1.5569999999999999</v>
      </c>
      <c r="U39" s="17">
        <f t="shared" si="9"/>
        <v>267.851</v>
      </c>
      <c r="V39" s="17">
        <f t="shared" si="10"/>
        <v>268.27100000000002</v>
      </c>
      <c r="W39" s="17">
        <f t="shared" si="11"/>
        <v>3.0680000000000001</v>
      </c>
      <c r="X39" s="17">
        <f t="shared" si="12"/>
        <v>8.6140000000000008</v>
      </c>
    </row>
    <row r="40" spans="1:24" x14ac:dyDescent="0.35">
      <c r="A40">
        <v>257780</v>
      </c>
      <c r="B40">
        <v>1146376.5342410579</v>
      </c>
      <c r="C40">
        <v>270.39811739348011</v>
      </c>
      <c r="D40">
        <v>272.00835639348008</v>
      </c>
      <c r="E40">
        <v>1.6102389999999787</v>
      </c>
      <c r="F40">
        <v>269.72611739348008</v>
      </c>
      <c r="G40">
        <v>271.29535639348006</v>
      </c>
      <c r="H40">
        <v>1.5692389999999818</v>
      </c>
      <c r="I40">
        <v>268.14829649348007</v>
      </c>
      <c r="J40">
        <v>268.41998479348007</v>
      </c>
      <c r="K40">
        <v>2.875371599999994</v>
      </c>
      <c r="L40">
        <v>8.5982710999999998</v>
      </c>
      <c r="M40">
        <f t="shared" si="1"/>
        <v>257780</v>
      </c>
      <c r="N40" s="18">
        <f t="shared" si="2"/>
        <v>1146376.5</v>
      </c>
      <c r="O40" s="17">
        <f t="shared" si="3"/>
        <v>270.39800000000002</v>
      </c>
      <c r="P40" s="17">
        <f t="shared" si="4"/>
        <v>272.00799999999998</v>
      </c>
      <c r="Q40" s="17">
        <f t="shared" si="5"/>
        <v>1.61</v>
      </c>
      <c r="R40" s="17">
        <f t="shared" si="6"/>
        <v>269.726</v>
      </c>
      <c r="S40" s="17">
        <f t="shared" si="7"/>
        <v>271.29500000000002</v>
      </c>
      <c r="T40" s="17">
        <f t="shared" si="8"/>
        <v>1.569</v>
      </c>
      <c r="U40" s="17">
        <f t="shared" si="9"/>
        <v>268.14800000000002</v>
      </c>
      <c r="V40" s="17">
        <f t="shared" si="10"/>
        <v>268.42</v>
      </c>
      <c r="W40" s="17">
        <f t="shared" si="11"/>
        <v>2.875</v>
      </c>
      <c r="X40" s="17">
        <f t="shared" si="12"/>
        <v>8.5980000000000008</v>
      </c>
    </row>
    <row r="41" spans="1:24" x14ac:dyDescent="0.35">
      <c r="A41">
        <v>257800</v>
      </c>
      <c r="B41">
        <v>1146396.6470367273</v>
      </c>
      <c r="C41">
        <v>270.34805059219974</v>
      </c>
      <c r="D41">
        <v>271.96524769219974</v>
      </c>
      <c r="E41">
        <v>1.6171970999999985</v>
      </c>
      <c r="F41">
        <v>269.67605059219972</v>
      </c>
      <c r="G41">
        <v>271.25224769219972</v>
      </c>
      <c r="H41">
        <v>1.5761971000000017</v>
      </c>
      <c r="I41">
        <v>268.02561809219975</v>
      </c>
      <c r="J41">
        <v>268.4381005921997</v>
      </c>
      <c r="K41">
        <v>2.8141471000000138</v>
      </c>
      <c r="L41">
        <v>8.8339771000000002</v>
      </c>
      <c r="M41">
        <f t="shared" si="1"/>
        <v>257800</v>
      </c>
      <c r="N41" s="18">
        <f t="shared" si="2"/>
        <v>1146396.6000000001</v>
      </c>
      <c r="O41" s="17">
        <f t="shared" si="3"/>
        <v>270.34800000000001</v>
      </c>
      <c r="P41" s="17">
        <f t="shared" si="4"/>
        <v>271.96499999999997</v>
      </c>
      <c r="Q41" s="17">
        <f t="shared" si="5"/>
        <v>1.617</v>
      </c>
      <c r="R41" s="17">
        <f t="shared" si="6"/>
        <v>269.67599999999999</v>
      </c>
      <c r="S41" s="17">
        <f t="shared" si="7"/>
        <v>271.25200000000001</v>
      </c>
      <c r="T41" s="17">
        <f t="shared" si="8"/>
        <v>1.5760000000000001</v>
      </c>
      <c r="U41" s="17">
        <f t="shared" si="9"/>
        <v>268.02600000000001</v>
      </c>
      <c r="V41" s="17">
        <f t="shared" si="10"/>
        <v>268.43799999999999</v>
      </c>
      <c r="W41" s="17">
        <f t="shared" si="11"/>
        <v>2.8140000000000001</v>
      </c>
      <c r="X41" s="17">
        <f t="shared" si="12"/>
        <v>8.8339999999999996</v>
      </c>
    </row>
    <row r="42" spans="1:24" x14ac:dyDescent="0.35">
      <c r="A42">
        <v>257820</v>
      </c>
      <c r="B42">
        <v>1146416.7134706043</v>
      </c>
      <c r="C42">
        <v>270.31465876033036</v>
      </c>
      <c r="D42">
        <v>271.92223836033037</v>
      </c>
      <c r="E42">
        <v>1.6075796000000082</v>
      </c>
      <c r="F42">
        <v>269.64265876033033</v>
      </c>
      <c r="G42">
        <v>271.20923836033035</v>
      </c>
      <c r="H42">
        <v>1.5665796000000114</v>
      </c>
      <c r="I42">
        <v>267.85919036033039</v>
      </c>
      <c r="J42">
        <v>267.78310746033037</v>
      </c>
      <c r="K42">
        <v>3.4261308999999756</v>
      </c>
      <c r="L42">
        <v>9.2123106999999997</v>
      </c>
      <c r="M42">
        <f t="shared" si="1"/>
        <v>257820</v>
      </c>
      <c r="N42" s="18">
        <f t="shared" si="2"/>
        <v>1146416.7</v>
      </c>
      <c r="O42" s="17">
        <f t="shared" si="3"/>
        <v>270.315</v>
      </c>
      <c r="P42" s="17">
        <f t="shared" si="4"/>
        <v>271.92200000000003</v>
      </c>
      <c r="Q42" s="17">
        <f t="shared" si="5"/>
        <v>1.6080000000000001</v>
      </c>
      <c r="R42" s="17">
        <f t="shared" si="6"/>
        <v>269.64299999999997</v>
      </c>
      <c r="S42" s="17">
        <f t="shared" si="7"/>
        <v>271.209</v>
      </c>
      <c r="T42" s="17">
        <f t="shared" si="8"/>
        <v>1.5669999999999999</v>
      </c>
      <c r="U42" s="17">
        <f t="shared" si="9"/>
        <v>267.85899999999998</v>
      </c>
      <c r="V42" s="17">
        <f t="shared" si="10"/>
        <v>267.78300000000002</v>
      </c>
      <c r="W42" s="17">
        <f t="shared" si="11"/>
        <v>3.4260000000000002</v>
      </c>
      <c r="X42" s="17">
        <f t="shared" si="12"/>
        <v>9.2119999999999997</v>
      </c>
    </row>
    <row r="43" spans="1:24" x14ac:dyDescent="0.35">
      <c r="A43">
        <v>257840</v>
      </c>
      <c r="B43">
        <v>1146436.9182228283</v>
      </c>
      <c r="C43">
        <v>270.31681186423981</v>
      </c>
      <c r="D43">
        <v>271.87893256423979</v>
      </c>
      <c r="E43">
        <v>1.5621206999999799</v>
      </c>
      <c r="F43">
        <v>269.64481186423978</v>
      </c>
      <c r="G43">
        <v>271.16593256423977</v>
      </c>
      <c r="H43">
        <v>1.5211206999999831</v>
      </c>
      <c r="I43">
        <v>267.71705276423978</v>
      </c>
      <c r="J43">
        <v>268.13429916423979</v>
      </c>
      <c r="K43">
        <v>3.0316333999999756</v>
      </c>
      <c r="L43">
        <v>9.7460067000000006</v>
      </c>
      <c r="M43">
        <f t="shared" si="1"/>
        <v>257840</v>
      </c>
      <c r="N43" s="18">
        <f t="shared" si="2"/>
        <v>1146436.8999999999</v>
      </c>
      <c r="O43" s="17">
        <f t="shared" si="3"/>
        <v>270.31700000000001</v>
      </c>
      <c r="P43" s="17">
        <f t="shared" si="4"/>
        <v>271.87900000000002</v>
      </c>
      <c r="Q43" s="17">
        <f t="shared" si="5"/>
        <v>1.5620000000000001</v>
      </c>
      <c r="R43" s="17">
        <f t="shared" si="6"/>
        <v>269.64499999999998</v>
      </c>
      <c r="S43" s="17">
        <f t="shared" si="7"/>
        <v>271.166</v>
      </c>
      <c r="T43" s="17">
        <f t="shared" si="8"/>
        <v>1.5209999999999999</v>
      </c>
      <c r="U43" s="17">
        <f t="shared" si="9"/>
        <v>267.71699999999998</v>
      </c>
      <c r="V43" s="17">
        <f t="shared" si="10"/>
        <v>268.13400000000001</v>
      </c>
      <c r="W43" s="17">
        <f t="shared" si="11"/>
        <v>3.032</v>
      </c>
      <c r="X43" s="17">
        <f t="shared" si="12"/>
        <v>9.7460000000000004</v>
      </c>
    </row>
    <row r="44" spans="1:24" x14ac:dyDescent="0.35">
      <c r="A44">
        <v>257860</v>
      </c>
      <c r="B44">
        <v>1146456.9277028935</v>
      </c>
      <c r="C44">
        <v>270.28924240415495</v>
      </c>
      <c r="D44">
        <v>271.83604530415494</v>
      </c>
      <c r="E44">
        <v>1.5468028999999888</v>
      </c>
      <c r="F44">
        <v>269.61724240415492</v>
      </c>
      <c r="G44">
        <v>271.12304530415491</v>
      </c>
      <c r="H44">
        <v>1.505802899999992</v>
      </c>
      <c r="I44">
        <v>267.51495420415495</v>
      </c>
      <c r="J44">
        <v>268.69213150415493</v>
      </c>
      <c r="K44">
        <v>2.4309137999999848</v>
      </c>
      <c r="L44">
        <v>10.362518700000001</v>
      </c>
      <c r="M44">
        <f t="shared" si="1"/>
        <v>257860</v>
      </c>
      <c r="N44" s="18">
        <f t="shared" si="2"/>
        <v>1146456.8999999999</v>
      </c>
      <c r="O44" s="17">
        <f t="shared" si="3"/>
        <v>270.28899999999999</v>
      </c>
      <c r="P44" s="17">
        <f t="shared" si="4"/>
        <v>271.83600000000001</v>
      </c>
      <c r="Q44" s="17">
        <f t="shared" si="5"/>
        <v>1.5469999999999999</v>
      </c>
      <c r="R44" s="17">
        <f t="shared" si="6"/>
        <v>269.61700000000002</v>
      </c>
      <c r="S44" s="17">
        <f t="shared" si="7"/>
        <v>271.12299999999999</v>
      </c>
      <c r="T44" s="17">
        <f t="shared" si="8"/>
        <v>1.506</v>
      </c>
      <c r="U44" s="17">
        <f t="shared" si="9"/>
        <v>267.51499999999999</v>
      </c>
      <c r="V44" s="17">
        <f t="shared" si="10"/>
        <v>268.69200000000001</v>
      </c>
      <c r="W44" s="17">
        <f t="shared" si="11"/>
        <v>2.431</v>
      </c>
      <c r="X44" s="17">
        <f t="shared" si="12"/>
        <v>10.363</v>
      </c>
    </row>
    <row r="45" spans="1:24" x14ac:dyDescent="0.35">
      <c r="A45">
        <v>257880</v>
      </c>
      <c r="B45">
        <v>1146477.0452674683</v>
      </c>
      <c r="C45">
        <v>270.25728298145515</v>
      </c>
      <c r="D45">
        <v>271.79292638145512</v>
      </c>
      <c r="E45">
        <v>1.5356433999999695</v>
      </c>
      <c r="F45">
        <v>269.58528298145512</v>
      </c>
      <c r="G45">
        <v>271.0799263814551</v>
      </c>
      <c r="H45">
        <v>1.4946433999999726</v>
      </c>
      <c r="I45">
        <v>267.2608819814551</v>
      </c>
      <c r="J45">
        <v>268.23711258145511</v>
      </c>
      <c r="K45">
        <v>2.8428137999999876</v>
      </c>
      <c r="L45">
        <v>10.93554</v>
      </c>
      <c r="M45">
        <f t="shared" si="1"/>
        <v>257880</v>
      </c>
      <c r="N45" s="18">
        <f t="shared" si="2"/>
        <v>1146477</v>
      </c>
      <c r="O45" s="17">
        <f t="shared" si="3"/>
        <v>270.25700000000001</v>
      </c>
      <c r="P45" s="17">
        <f t="shared" si="4"/>
        <v>271.79300000000001</v>
      </c>
      <c r="Q45" s="17">
        <f t="shared" si="5"/>
        <v>1.536</v>
      </c>
      <c r="R45" s="17">
        <f t="shared" si="6"/>
        <v>269.58499999999998</v>
      </c>
      <c r="S45" s="17">
        <f t="shared" si="7"/>
        <v>271.08</v>
      </c>
      <c r="T45" s="17">
        <f t="shared" si="8"/>
        <v>1.4950000000000001</v>
      </c>
      <c r="U45" s="17">
        <f t="shared" si="9"/>
        <v>267.26100000000002</v>
      </c>
      <c r="V45" s="17">
        <f t="shared" si="10"/>
        <v>268.23700000000002</v>
      </c>
      <c r="W45" s="17">
        <f t="shared" si="11"/>
        <v>2.843</v>
      </c>
      <c r="X45" s="17">
        <f t="shared" si="12"/>
        <v>10.936</v>
      </c>
    </row>
    <row r="46" spans="1:24" x14ac:dyDescent="0.35">
      <c r="A46">
        <v>257900</v>
      </c>
      <c r="B46">
        <v>1146497.0966953749</v>
      </c>
      <c r="C46">
        <v>270.23314721258805</v>
      </c>
      <c r="D46">
        <v>271.74994921258809</v>
      </c>
      <c r="E46">
        <v>1.5168020000000411</v>
      </c>
      <c r="F46">
        <v>269.56114721258803</v>
      </c>
      <c r="G46">
        <v>271.03694921258807</v>
      </c>
      <c r="H46">
        <v>1.4758020000000442</v>
      </c>
      <c r="I46">
        <v>267.40917311258806</v>
      </c>
      <c r="J46">
        <v>267.76708171258809</v>
      </c>
      <c r="K46">
        <v>3.2698674999999753</v>
      </c>
      <c r="L46">
        <v>11.4308915</v>
      </c>
      <c r="M46">
        <f t="shared" si="1"/>
        <v>257900</v>
      </c>
      <c r="N46" s="18">
        <f t="shared" si="2"/>
        <v>1146497.1000000001</v>
      </c>
      <c r="O46" s="17">
        <f t="shared" si="3"/>
        <v>270.233</v>
      </c>
      <c r="P46" s="17">
        <f t="shared" si="4"/>
        <v>271.75</v>
      </c>
      <c r="Q46" s="17">
        <f t="shared" si="5"/>
        <v>1.5169999999999999</v>
      </c>
      <c r="R46" s="17">
        <f t="shared" si="6"/>
        <v>269.56099999999998</v>
      </c>
      <c r="S46" s="17">
        <f t="shared" si="7"/>
        <v>271.03699999999998</v>
      </c>
      <c r="T46" s="17">
        <f t="shared" si="8"/>
        <v>1.476</v>
      </c>
      <c r="U46" s="17">
        <f t="shared" si="9"/>
        <v>267.40899999999999</v>
      </c>
      <c r="V46" s="17">
        <f t="shared" si="10"/>
        <v>267.767</v>
      </c>
      <c r="W46" s="17">
        <f t="shared" si="11"/>
        <v>3.27</v>
      </c>
      <c r="X46" s="17">
        <f t="shared" si="12"/>
        <v>11.430999999999999</v>
      </c>
    </row>
    <row r="47" spans="1:24" x14ac:dyDescent="0.35">
      <c r="A47">
        <v>257920</v>
      </c>
      <c r="B47">
        <v>1146517.1156558443</v>
      </c>
      <c r="C47">
        <v>270.22371473270681</v>
      </c>
      <c r="D47">
        <v>271.70704163270682</v>
      </c>
      <c r="E47">
        <v>1.4833269000000087</v>
      </c>
      <c r="F47">
        <v>269.55171473270678</v>
      </c>
      <c r="G47">
        <v>270.9940416327068</v>
      </c>
      <c r="H47">
        <v>1.4423269000000118</v>
      </c>
      <c r="I47">
        <v>267.25826403270685</v>
      </c>
      <c r="J47">
        <v>267.57880693270681</v>
      </c>
      <c r="K47">
        <v>3.415234699999985</v>
      </c>
      <c r="L47">
        <v>11.7648604</v>
      </c>
      <c r="M47">
        <f t="shared" si="1"/>
        <v>257920</v>
      </c>
      <c r="N47" s="18">
        <f t="shared" si="2"/>
        <v>1146517.1000000001</v>
      </c>
      <c r="O47" s="17">
        <f t="shared" si="3"/>
        <v>270.22399999999999</v>
      </c>
      <c r="P47" s="17">
        <f t="shared" si="4"/>
        <v>271.70699999999999</v>
      </c>
      <c r="Q47" s="17">
        <f t="shared" si="5"/>
        <v>1.4830000000000001</v>
      </c>
      <c r="R47" s="17">
        <f t="shared" si="6"/>
        <v>269.55200000000002</v>
      </c>
      <c r="S47" s="17">
        <f t="shared" si="7"/>
        <v>270.99400000000003</v>
      </c>
      <c r="T47" s="17">
        <f t="shared" si="8"/>
        <v>1.4419999999999999</v>
      </c>
      <c r="U47" s="17">
        <f t="shared" si="9"/>
        <v>267.25799999999998</v>
      </c>
      <c r="V47" s="17">
        <f t="shared" si="10"/>
        <v>267.57900000000001</v>
      </c>
      <c r="W47" s="17">
        <f t="shared" si="11"/>
        <v>3.415</v>
      </c>
      <c r="X47" s="17">
        <f t="shared" si="12"/>
        <v>11.765000000000001</v>
      </c>
    </row>
    <row r="48" spans="1:24" x14ac:dyDescent="0.35">
      <c r="A48">
        <v>257940</v>
      </c>
      <c r="B48">
        <v>1146537.1376206258</v>
      </c>
      <c r="C48">
        <v>270.21837721354217</v>
      </c>
      <c r="D48">
        <v>271.66412761354218</v>
      </c>
      <c r="E48">
        <v>1.4457504000000085</v>
      </c>
      <c r="F48">
        <v>269.54637721354214</v>
      </c>
      <c r="G48">
        <v>270.95112761354216</v>
      </c>
      <c r="H48">
        <v>1.4047504000000117</v>
      </c>
      <c r="I48">
        <v>267.30148431354212</v>
      </c>
      <c r="J48">
        <v>267.58062691354212</v>
      </c>
      <c r="K48">
        <v>3.3705007000000364</v>
      </c>
      <c r="L48">
        <v>11.9487498</v>
      </c>
      <c r="M48">
        <f t="shared" si="1"/>
        <v>257940</v>
      </c>
      <c r="N48" s="18">
        <f t="shared" si="2"/>
        <v>1146537.1000000001</v>
      </c>
      <c r="O48" s="17">
        <f t="shared" si="3"/>
        <v>270.21800000000002</v>
      </c>
      <c r="P48" s="17">
        <f t="shared" si="4"/>
        <v>271.66399999999999</v>
      </c>
      <c r="Q48" s="17">
        <f t="shared" si="5"/>
        <v>1.446</v>
      </c>
      <c r="R48" s="17">
        <f t="shared" si="6"/>
        <v>269.54599999999999</v>
      </c>
      <c r="S48" s="17">
        <f t="shared" si="7"/>
        <v>270.95100000000002</v>
      </c>
      <c r="T48" s="17">
        <f t="shared" si="8"/>
        <v>1.405</v>
      </c>
      <c r="U48" s="17">
        <f t="shared" si="9"/>
        <v>267.30099999999999</v>
      </c>
      <c r="V48" s="17">
        <f t="shared" si="10"/>
        <v>267.58100000000002</v>
      </c>
      <c r="W48" s="17">
        <f t="shared" si="11"/>
        <v>3.371</v>
      </c>
      <c r="X48" s="17">
        <f t="shared" si="12"/>
        <v>11.949</v>
      </c>
    </row>
    <row r="49" spans="1:24" x14ac:dyDescent="0.35">
      <c r="A49">
        <v>257960</v>
      </c>
      <c r="B49">
        <v>1146557.1131545578</v>
      </c>
      <c r="C49">
        <v>270.20670411180186</v>
      </c>
      <c r="D49">
        <v>271.62131311180184</v>
      </c>
      <c r="E49">
        <v>1.4146089999999845</v>
      </c>
      <c r="F49">
        <v>269.53470411180183</v>
      </c>
      <c r="G49">
        <v>270.90831311180182</v>
      </c>
      <c r="H49">
        <v>1.3736089999999876</v>
      </c>
      <c r="I49">
        <v>267.40534631180185</v>
      </c>
      <c r="J49">
        <v>267.56897391180183</v>
      </c>
      <c r="K49">
        <v>3.3393391999999835</v>
      </c>
      <c r="L49">
        <v>12.022712800000001</v>
      </c>
      <c r="M49">
        <f t="shared" si="1"/>
        <v>257960</v>
      </c>
      <c r="N49" s="18">
        <f t="shared" si="2"/>
        <v>1146557.1000000001</v>
      </c>
      <c r="O49" s="17">
        <f t="shared" si="3"/>
        <v>270.20699999999999</v>
      </c>
      <c r="P49" s="17">
        <f t="shared" si="4"/>
        <v>271.62099999999998</v>
      </c>
      <c r="Q49" s="17">
        <f t="shared" si="5"/>
        <v>1.415</v>
      </c>
      <c r="R49" s="17">
        <f t="shared" si="6"/>
        <v>269.53500000000003</v>
      </c>
      <c r="S49" s="17">
        <f t="shared" si="7"/>
        <v>270.90800000000002</v>
      </c>
      <c r="T49" s="17">
        <f t="shared" si="8"/>
        <v>1.3740000000000001</v>
      </c>
      <c r="U49" s="17">
        <f t="shared" si="9"/>
        <v>267.40499999999997</v>
      </c>
      <c r="V49" s="17">
        <f t="shared" si="10"/>
        <v>267.56900000000002</v>
      </c>
      <c r="W49" s="17">
        <f t="shared" si="11"/>
        <v>3.339</v>
      </c>
      <c r="X49" s="17">
        <f t="shared" si="12"/>
        <v>12.023</v>
      </c>
    </row>
    <row r="50" spans="1:24" x14ac:dyDescent="0.35">
      <c r="A50">
        <v>257974.836882</v>
      </c>
      <c r="B50">
        <v>1146571.959</v>
      </c>
      <c r="C50">
        <v>270.19434551275725</v>
      </c>
      <c r="D50">
        <v>271.58949331275721</v>
      </c>
      <c r="E50">
        <v>1.3951477999999611</v>
      </c>
      <c r="F50">
        <v>269.52234551275723</v>
      </c>
      <c r="G50">
        <v>270.87649331275719</v>
      </c>
      <c r="H50">
        <v>1.3541477999999643</v>
      </c>
      <c r="I50">
        <v>267.32554091275722</v>
      </c>
      <c r="J50">
        <v>267.4578831127572</v>
      </c>
      <c r="K50">
        <v>3.4186101999999892</v>
      </c>
      <c r="L50">
        <v>12.023085500000001</v>
      </c>
      <c r="M50">
        <f t="shared" si="1"/>
        <v>257974.836882</v>
      </c>
      <c r="N50" s="18">
        <f t="shared" si="2"/>
        <v>1146572</v>
      </c>
      <c r="O50" s="17">
        <f t="shared" si="3"/>
        <v>270.19400000000002</v>
      </c>
      <c r="P50" s="17">
        <f t="shared" si="4"/>
        <v>271.589</v>
      </c>
      <c r="Q50" s="17">
        <f t="shared" si="5"/>
        <v>1.395</v>
      </c>
      <c r="R50" s="17">
        <f t="shared" si="6"/>
        <v>269.52199999999999</v>
      </c>
      <c r="S50" s="17">
        <f t="shared" si="7"/>
        <v>270.87599999999998</v>
      </c>
      <c r="T50" s="17">
        <f t="shared" si="8"/>
        <v>1.3540000000000001</v>
      </c>
      <c r="U50" s="17">
        <f t="shared" si="9"/>
        <v>267.32600000000002</v>
      </c>
      <c r="V50" s="17">
        <f t="shared" si="10"/>
        <v>267.45800000000003</v>
      </c>
      <c r="W50" s="17">
        <f t="shared" si="11"/>
        <v>3.419</v>
      </c>
      <c r="X50" s="17">
        <f t="shared" si="12"/>
        <v>12.023</v>
      </c>
    </row>
    <row r="51" spans="1:24" x14ac:dyDescent="0.35">
      <c r="A51">
        <v>258000</v>
      </c>
      <c r="B51">
        <v>1146571.959</v>
      </c>
      <c r="C51">
        <v>270.19434551275725</v>
      </c>
      <c r="D51">
        <v>271.58949331275721</v>
      </c>
      <c r="E51">
        <v>1.3951477999999611</v>
      </c>
      <c r="F51">
        <v>269.52234551275723</v>
      </c>
      <c r="G51">
        <v>270.87649331275719</v>
      </c>
      <c r="H51">
        <v>1.3541477999999643</v>
      </c>
      <c r="I51">
        <v>267.32554091275722</v>
      </c>
      <c r="J51">
        <v>267.4578831127572</v>
      </c>
      <c r="K51">
        <v>3.4186101999999892</v>
      </c>
      <c r="L51">
        <v>12.031618699999999</v>
      </c>
      <c r="M51">
        <f t="shared" si="1"/>
        <v>258000</v>
      </c>
      <c r="N51" s="18">
        <f t="shared" si="2"/>
        <v>1146572</v>
      </c>
      <c r="O51" s="17">
        <f t="shared" si="3"/>
        <v>270.19400000000002</v>
      </c>
      <c r="P51" s="17">
        <f t="shared" si="4"/>
        <v>271.589</v>
      </c>
      <c r="Q51" s="17">
        <f t="shared" si="5"/>
        <v>1.395</v>
      </c>
      <c r="R51" s="17">
        <f t="shared" si="6"/>
        <v>269.52199999999999</v>
      </c>
      <c r="S51" s="17">
        <f t="shared" si="7"/>
        <v>270.87599999999998</v>
      </c>
      <c r="T51" s="17">
        <f t="shared" si="8"/>
        <v>1.3540000000000001</v>
      </c>
      <c r="U51" s="17">
        <f t="shared" si="9"/>
        <v>267.32600000000002</v>
      </c>
      <c r="V51" s="17">
        <f t="shared" si="10"/>
        <v>267.45800000000003</v>
      </c>
      <c r="W51" s="17">
        <f t="shared" si="11"/>
        <v>3.419</v>
      </c>
      <c r="X51" s="17">
        <f t="shared" si="12"/>
        <v>12.032</v>
      </c>
    </row>
    <row r="52" spans="1:24" x14ac:dyDescent="0.35">
      <c r="A52">
        <v>258020</v>
      </c>
      <c r="B52">
        <v>1146591.9590018133</v>
      </c>
      <c r="C52">
        <v>270.21250076785566</v>
      </c>
      <c r="D52">
        <v>271.54662636785565</v>
      </c>
      <c r="E52">
        <v>1.334125599999993</v>
      </c>
      <c r="F52">
        <v>269.54050076785563</v>
      </c>
      <c r="G52">
        <v>270.83362636785563</v>
      </c>
      <c r="H52">
        <v>1.2931255999999962</v>
      </c>
      <c r="I52">
        <v>267.11368686785568</v>
      </c>
      <c r="J52">
        <v>267.21845586785565</v>
      </c>
      <c r="K52">
        <v>3.6151704999999765</v>
      </c>
      <c r="L52">
        <v>12.031618699999999</v>
      </c>
      <c r="M52">
        <f t="shared" si="1"/>
        <v>258020</v>
      </c>
      <c r="N52" s="18">
        <f t="shared" si="2"/>
        <v>1146592</v>
      </c>
      <c r="O52" s="17">
        <f t="shared" si="3"/>
        <v>270.21300000000002</v>
      </c>
      <c r="P52" s="17">
        <f t="shared" si="4"/>
        <v>271.54700000000003</v>
      </c>
      <c r="Q52" s="17">
        <f t="shared" si="5"/>
        <v>1.3340000000000001</v>
      </c>
      <c r="R52" s="17">
        <f t="shared" si="6"/>
        <v>269.541</v>
      </c>
      <c r="S52" s="17">
        <f t="shared" si="7"/>
        <v>270.834</v>
      </c>
      <c r="T52" s="17">
        <f t="shared" si="8"/>
        <v>1.2929999999999999</v>
      </c>
      <c r="U52" s="17">
        <f t="shared" si="9"/>
        <v>267.11399999999998</v>
      </c>
      <c r="V52" s="17">
        <f t="shared" si="10"/>
        <v>267.21800000000002</v>
      </c>
      <c r="W52" s="17">
        <f t="shared" si="11"/>
        <v>3.6150000000000002</v>
      </c>
      <c r="X52" s="17">
        <f t="shared" si="12"/>
        <v>12.032</v>
      </c>
    </row>
    <row r="53" spans="1:24" x14ac:dyDescent="0.35">
      <c r="A53">
        <v>258040</v>
      </c>
      <c r="B53">
        <v>1146611.9510543856</v>
      </c>
      <c r="C53">
        <v>270.22692086093622</v>
      </c>
      <c r="D53">
        <v>271.50377646093625</v>
      </c>
      <c r="E53">
        <v>1.2768556000000331</v>
      </c>
      <c r="F53">
        <v>269.55492086093619</v>
      </c>
      <c r="G53">
        <v>270.79077646093623</v>
      </c>
      <c r="H53">
        <v>1.2358556000000362</v>
      </c>
      <c r="I53">
        <v>266.35004096093621</v>
      </c>
      <c r="J53">
        <v>266.85163936093625</v>
      </c>
      <c r="K53">
        <v>3.9391370999999822</v>
      </c>
      <c r="L53">
        <v>12.028288</v>
      </c>
      <c r="M53">
        <f t="shared" si="1"/>
        <v>258040</v>
      </c>
      <c r="N53" s="18">
        <f t="shared" si="2"/>
        <v>1146612</v>
      </c>
      <c r="O53" s="17">
        <f t="shared" si="3"/>
        <v>270.22699999999998</v>
      </c>
      <c r="P53" s="17">
        <f t="shared" si="4"/>
        <v>271.50400000000002</v>
      </c>
      <c r="Q53" s="17">
        <f t="shared" si="5"/>
        <v>1.2769999999999999</v>
      </c>
      <c r="R53" s="17">
        <f t="shared" si="6"/>
        <v>269.55500000000001</v>
      </c>
      <c r="S53" s="17">
        <f t="shared" si="7"/>
        <v>270.791</v>
      </c>
      <c r="T53" s="17">
        <f t="shared" si="8"/>
        <v>1.236</v>
      </c>
      <c r="U53" s="17">
        <f t="shared" si="9"/>
        <v>266.35000000000002</v>
      </c>
      <c r="V53" s="17">
        <f t="shared" si="10"/>
        <v>266.85199999999998</v>
      </c>
      <c r="W53" s="17">
        <f t="shared" si="11"/>
        <v>3.9390000000000001</v>
      </c>
      <c r="X53" s="17">
        <f t="shared" si="12"/>
        <v>12.028</v>
      </c>
    </row>
    <row r="54" spans="1:24" x14ac:dyDescent="0.35">
      <c r="A54">
        <v>258060</v>
      </c>
      <c r="B54">
        <v>1146631.9383201285</v>
      </c>
      <c r="C54">
        <v>270.25637381385366</v>
      </c>
      <c r="D54">
        <v>271.46093681385366</v>
      </c>
      <c r="E54">
        <v>1.2045630000000074</v>
      </c>
      <c r="F54">
        <v>269.58437381385363</v>
      </c>
      <c r="G54">
        <v>270.74793681385364</v>
      </c>
      <c r="H54">
        <v>1.1635630000000106</v>
      </c>
      <c r="I54">
        <v>267.19124921385361</v>
      </c>
      <c r="J54">
        <v>267.23498081385361</v>
      </c>
      <c r="K54">
        <v>3.5129560000000311</v>
      </c>
      <c r="L54">
        <v>12.0050702</v>
      </c>
      <c r="M54">
        <f t="shared" si="1"/>
        <v>258060</v>
      </c>
      <c r="N54" s="18">
        <f t="shared" si="2"/>
        <v>1146631.8999999999</v>
      </c>
      <c r="O54" s="17">
        <f t="shared" si="3"/>
        <v>270.25599999999997</v>
      </c>
      <c r="P54" s="17">
        <f t="shared" si="4"/>
        <v>271.46100000000001</v>
      </c>
      <c r="Q54" s="17">
        <f t="shared" si="5"/>
        <v>1.2050000000000001</v>
      </c>
      <c r="R54" s="17">
        <f t="shared" si="6"/>
        <v>269.584</v>
      </c>
      <c r="S54" s="17">
        <f t="shared" si="7"/>
        <v>270.74799999999999</v>
      </c>
      <c r="T54" s="17">
        <f t="shared" si="8"/>
        <v>1.1639999999999999</v>
      </c>
      <c r="U54" s="17">
        <f t="shared" si="9"/>
        <v>267.19099999999997</v>
      </c>
      <c r="V54" s="17">
        <f t="shared" si="10"/>
        <v>267.23500000000001</v>
      </c>
      <c r="W54" s="17">
        <f t="shared" si="11"/>
        <v>3.5129999999999999</v>
      </c>
      <c r="X54" s="17">
        <f t="shared" si="12"/>
        <v>12.005000000000001</v>
      </c>
    </row>
    <row r="55" spans="1:24" x14ac:dyDescent="0.35">
      <c r="A55">
        <v>258080</v>
      </c>
      <c r="B55">
        <v>1146651.9484413408</v>
      </c>
      <c r="C55">
        <v>270.29812297956795</v>
      </c>
      <c r="D55">
        <v>271.41804817956796</v>
      </c>
      <c r="E55">
        <v>1.1199252000000115</v>
      </c>
      <c r="F55">
        <v>269.62612297956792</v>
      </c>
      <c r="G55">
        <v>270.70504817956794</v>
      </c>
      <c r="H55">
        <v>1.0789252000000147</v>
      </c>
      <c r="I55">
        <v>266.46374567956798</v>
      </c>
      <c r="J55">
        <v>266.49134487956798</v>
      </c>
      <c r="K55">
        <v>4.2137032999999633</v>
      </c>
      <c r="L55">
        <v>11.991005899999999</v>
      </c>
      <c r="M55">
        <f t="shared" si="1"/>
        <v>258080</v>
      </c>
      <c r="N55" s="18">
        <f t="shared" si="2"/>
        <v>1146651.8999999999</v>
      </c>
      <c r="O55" s="17">
        <f t="shared" si="3"/>
        <v>270.298</v>
      </c>
      <c r="P55" s="17">
        <f t="shared" si="4"/>
        <v>271.41800000000001</v>
      </c>
      <c r="Q55" s="17">
        <f t="shared" si="5"/>
        <v>1.1200000000000001</v>
      </c>
      <c r="R55" s="17">
        <f t="shared" si="6"/>
        <v>269.62599999999998</v>
      </c>
      <c r="S55" s="17">
        <f t="shared" si="7"/>
        <v>270.70499999999998</v>
      </c>
      <c r="T55" s="17">
        <f t="shared" si="8"/>
        <v>1.079</v>
      </c>
      <c r="U55" s="17">
        <f t="shared" si="9"/>
        <v>266.464</v>
      </c>
      <c r="V55" s="17">
        <f t="shared" si="10"/>
        <v>266.49099999999999</v>
      </c>
      <c r="W55" s="17">
        <f t="shared" si="11"/>
        <v>4.2140000000000004</v>
      </c>
      <c r="X55" s="17">
        <f t="shared" si="12"/>
        <v>11.991</v>
      </c>
    </row>
    <row r="56" spans="1:24" x14ac:dyDescent="0.35">
      <c r="A56">
        <v>258100</v>
      </c>
      <c r="B56">
        <v>1146671.9614443481</v>
      </c>
      <c r="C56">
        <v>270.34549536859561</v>
      </c>
      <c r="D56">
        <v>271.37515336859559</v>
      </c>
      <c r="E56">
        <v>1.0296579999999835</v>
      </c>
      <c r="F56">
        <v>269.67349536859558</v>
      </c>
      <c r="G56">
        <v>270.66215336859557</v>
      </c>
      <c r="H56">
        <v>0.98865799999998671</v>
      </c>
      <c r="I56">
        <v>268.25763546859559</v>
      </c>
      <c r="J56">
        <v>269.12390456859561</v>
      </c>
      <c r="K56">
        <v>1.5382487999999626</v>
      </c>
      <c r="L56">
        <v>11.9947353</v>
      </c>
      <c r="M56">
        <f t="shared" si="1"/>
        <v>258100</v>
      </c>
      <c r="N56" s="18">
        <f t="shared" si="2"/>
        <v>1146672</v>
      </c>
      <c r="O56" s="17">
        <f t="shared" si="3"/>
        <v>270.34500000000003</v>
      </c>
      <c r="P56" s="17">
        <f t="shared" si="4"/>
        <v>271.375</v>
      </c>
      <c r="Q56" s="17">
        <f t="shared" si="5"/>
        <v>1.03</v>
      </c>
      <c r="R56" s="17">
        <f t="shared" si="6"/>
        <v>269.673</v>
      </c>
      <c r="S56" s="17">
        <f t="shared" si="7"/>
        <v>270.66199999999998</v>
      </c>
      <c r="T56" s="17">
        <f t="shared" si="8"/>
        <v>0.98899999999999999</v>
      </c>
      <c r="U56" s="17">
        <f t="shared" si="9"/>
        <v>268.25799999999998</v>
      </c>
      <c r="V56" s="17">
        <f t="shared" si="10"/>
        <v>269.12400000000002</v>
      </c>
      <c r="W56" s="17">
        <f t="shared" si="11"/>
        <v>1.538</v>
      </c>
      <c r="X56" s="17">
        <f t="shared" si="12"/>
        <v>11.994999999999999</v>
      </c>
    </row>
    <row r="57" spans="1:24" x14ac:dyDescent="0.35">
      <c r="A57">
        <v>258120</v>
      </c>
      <c r="B57">
        <v>1146691.9960678087</v>
      </c>
      <c r="C57">
        <v>270.32604771748828</v>
      </c>
      <c r="D57">
        <v>271.33221221748829</v>
      </c>
      <c r="E57">
        <v>1.0061645000000112</v>
      </c>
      <c r="F57">
        <v>269.65404771748825</v>
      </c>
      <c r="G57">
        <v>270.61921221748827</v>
      </c>
      <c r="H57">
        <v>0.96516450000001441</v>
      </c>
      <c r="I57">
        <v>267.59935561748824</v>
      </c>
      <c r="J57">
        <v>267.82412821748824</v>
      </c>
      <c r="K57">
        <v>2.7950840000000312</v>
      </c>
      <c r="L57">
        <v>12.044566</v>
      </c>
      <c r="M57">
        <f t="shared" si="1"/>
        <v>258120</v>
      </c>
      <c r="N57" s="18">
        <f t="shared" si="2"/>
        <v>1146692</v>
      </c>
      <c r="O57" s="17">
        <f t="shared" si="3"/>
        <v>270.32600000000002</v>
      </c>
      <c r="P57" s="17">
        <f t="shared" si="4"/>
        <v>271.33199999999999</v>
      </c>
      <c r="Q57" s="17">
        <f t="shared" si="5"/>
        <v>1.006</v>
      </c>
      <c r="R57" s="17">
        <f t="shared" si="6"/>
        <v>269.654</v>
      </c>
      <c r="S57" s="17">
        <f t="shared" si="7"/>
        <v>270.61900000000003</v>
      </c>
      <c r="T57" s="17">
        <f t="shared" si="8"/>
        <v>0.96499999999999997</v>
      </c>
      <c r="U57" s="17">
        <f t="shared" si="9"/>
        <v>267.59899999999999</v>
      </c>
      <c r="V57" s="17">
        <f t="shared" si="10"/>
        <v>267.82400000000001</v>
      </c>
      <c r="W57" s="17">
        <f t="shared" si="11"/>
        <v>2.7949999999999999</v>
      </c>
      <c r="X57" s="17">
        <f t="shared" si="12"/>
        <v>12.045</v>
      </c>
    </row>
    <row r="58" spans="1:24" x14ac:dyDescent="0.35">
      <c r="A58">
        <v>258140</v>
      </c>
      <c r="B58">
        <v>1146711.93971513</v>
      </c>
      <c r="C58">
        <v>270.29489265982085</v>
      </c>
      <c r="D58">
        <v>271.28946605982088</v>
      </c>
      <c r="E58">
        <v>0.99457340000003569</v>
      </c>
      <c r="F58">
        <v>269.62289265982082</v>
      </c>
      <c r="G58">
        <v>270.57646605982086</v>
      </c>
      <c r="H58">
        <v>0.95357340000003887</v>
      </c>
      <c r="I58">
        <v>267.92859255982086</v>
      </c>
      <c r="J58">
        <v>268.70644285982087</v>
      </c>
      <c r="K58">
        <v>1.8700231999999914</v>
      </c>
      <c r="L58">
        <v>12.096278999999999</v>
      </c>
      <c r="M58">
        <f t="shared" si="1"/>
        <v>258140</v>
      </c>
      <c r="N58" s="18">
        <f t="shared" si="2"/>
        <v>1146711.8999999999</v>
      </c>
      <c r="O58" s="17">
        <f t="shared" si="3"/>
        <v>270.29500000000002</v>
      </c>
      <c r="P58" s="17">
        <f t="shared" si="4"/>
        <v>271.28899999999999</v>
      </c>
      <c r="Q58" s="17">
        <f t="shared" si="5"/>
        <v>0.995</v>
      </c>
      <c r="R58" s="17">
        <f t="shared" si="6"/>
        <v>269.62299999999999</v>
      </c>
      <c r="S58" s="17">
        <f t="shared" si="7"/>
        <v>270.57600000000002</v>
      </c>
      <c r="T58" s="17">
        <f t="shared" si="8"/>
        <v>0.95399999999999996</v>
      </c>
      <c r="U58" s="17">
        <f t="shared" si="9"/>
        <v>267.92899999999997</v>
      </c>
      <c r="V58" s="17">
        <f t="shared" si="10"/>
        <v>268.70600000000002</v>
      </c>
      <c r="W58" s="17">
        <f t="shared" si="11"/>
        <v>1.87</v>
      </c>
      <c r="X58" s="17">
        <f t="shared" si="12"/>
        <v>12.096</v>
      </c>
    </row>
    <row r="59" spans="1:24" x14ac:dyDescent="0.35">
      <c r="A59">
        <v>258160</v>
      </c>
      <c r="B59">
        <v>1146731.9220937539</v>
      </c>
      <c r="C59">
        <v>270.31321728753022</v>
      </c>
      <c r="D59">
        <v>271.24663688753026</v>
      </c>
      <c r="E59">
        <v>0.9334196000000361</v>
      </c>
      <c r="F59">
        <v>269.6412172875302</v>
      </c>
      <c r="G59">
        <v>270.53363688753024</v>
      </c>
      <c r="H59">
        <v>0.89241960000003928</v>
      </c>
      <c r="I59">
        <v>267.17423598753021</v>
      </c>
      <c r="J59">
        <v>268.72705138753025</v>
      </c>
      <c r="K59">
        <v>1.8065854999999829</v>
      </c>
      <c r="L59">
        <v>12.059713800000001</v>
      </c>
      <c r="M59">
        <f t="shared" si="1"/>
        <v>258160</v>
      </c>
      <c r="N59" s="18">
        <f t="shared" si="2"/>
        <v>1146731.8999999999</v>
      </c>
      <c r="O59" s="17">
        <f t="shared" si="3"/>
        <v>270.31299999999999</v>
      </c>
      <c r="P59" s="17">
        <f t="shared" si="4"/>
        <v>271.24700000000001</v>
      </c>
      <c r="Q59" s="17">
        <f t="shared" si="5"/>
        <v>0.93300000000000005</v>
      </c>
      <c r="R59" s="17">
        <f t="shared" si="6"/>
        <v>269.64100000000002</v>
      </c>
      <c r="S59" s="17">
        <f t="shared" si="7"/>
        <v>270.53399999999999</v>
      </c>
      <c r="T59" s="17">
        <f t="shared" si="8"/>
        <v>0.89200000000000002</v>
      </c>
      <c r="U59" s="17">
        <f t="shared" si="9"/>
        <v>267.17399999999998</v>
      </c>
      <c r="V59" s="17">
        <f t="shared" si="10"/>
        <v>268.72699999999998</v>
      </c>
      <c r="W59" s="17">
        <f t="shared" si="11"/>
        <v>1.8069999999999999</v>
      </c>
      <c r="X59" s="17">
        <f t="shared" si="12"/>
        <v>12.06</v>
      </c>
    </row>
    <row r="60" spans="1:24" x14ac:dyDescent="0.35">
      <c r="A60">
        <v>258180</v>
      </c>
      <c r="B60">
        <v>1146751.8952840902</v>
      </c>
      <c r="C60">
        <v>270.28892370892891</v>
      </c>
      <c r="D60">
        <v>271.20382740892887</v>
      </c>
      <c r="E60">
        <v>0.91490369999996801</v>
      </c>
      <c r="F60">
        <v>269.61692370892888</v>
      </c>
      <c r="G60">
        <v>270.49082740892885</v>
      </c>
      <c r="H60">
        <v>0.8739036999999712</v>
      </c>
      <c r="I60">
        <v>266.20459710892891</v>
      </c>
      <c r="J60">
        <v>265.98766130892892</v>
      </c>
      <c r="K60">
        <v>4.5031660999999303</v>
      </c>
      <c r="L60">
        <v>11.972310200000001</v>
      </c>
      <c r="M60">
        <f t="shared" si="1"/>
        <v>258180</v>
      </c>
      <c r="N60" s="18">
        <f t="shared" si="2"/>
        <v>1146751.8999999999</v>
      </c>
      <c r="O60" s="17">
        <f t="shared" si="3"/>
        <v>270.28899999999999</v>
      </c>
      <c r="P60" s="17">
        <f t="shared" si="4"/>
        <v>271.20400000000001</v>
      </c>
      <c r="Q60" s="17">
        <f t="shared" si="5"/>
        <v>0.91500000000000004</v>
      </c>
      <c r="R60" s="17">
        <f t="shared" si="6"/>
        <v>269.61700000000002</v>
      </c>
      <c r="S60" s="17">
        <f t="shared" si="7"/>
        <v>270.49099999999999</v>
      </c>
      <c r="T60" s="17">
        <f t="shared" si="8"/>
        <v>0.874</v>
      </c>
      <c r="U60" s="17">
        <f t="shared" si="9"/>
        <v>266.20499999999998</v>
      </c>
      <c r="V60" s="17">
        <f t="shared" si="10"/>
        <v>265.988</v>
      </c>
      <c r="W60" s="17">
        <f t="shared" si="11"/>
        <v>4.5030000000000001</v>
      </c>
      <c r="X60" s="17">
        <f t="shared" si="12"/>
        <v>11.972</v>
      </c>
    </row>
    <row r="61" spans="1:24" x14ac:dyDescent="0.35">
      <c r="A61">
        <v>258200</v>
      </c>
      <c r="B61">
        <v>1146771.9402389925</v>
      </c>
      <c r="C61">
        <v>270.27048441395664</v>
      </c>
      <c r="D61">
        <v>271.16086411395662</v>
      </c>
      <c r="E61">
        <v>0.89037969999998268</v>
      </c>
      <c r="F61">
        <v>269.59848441395661</v>
      </c>
      <c r="G61">
        <v>270.4478641139566</v>
      </c>
      <c r="H61">
        <v>0.84937969999998586</v>
      </c>
      <c r="I61">
        <v>265.92521071395663</v>
      </c>
      <c r="J61">
        <v>266.64798321395665</v>
      </c>
      <c r="K61">
        <v>3.7998808999999483</v>
      </c>
      <c r="L61">
        <v>11.913324299999999</v>
      </c>
      <c r="M61">
        <f t="shared" si="1"/>
        <v>258200</v>
      </c>
      <c r="N61" s="18">
        <f t="shared" si="2"/>
        <v>1146771.8999999999</v>
      </c>
      <c r="O61" s="17">
        <f t="shared" si="3"/>
        <v>270.27</v>
      </c>
      <c r="P61" s="17">
        <f t="shared" si="4"/>
        <v>271.161</v>
      </c>
      <c r="Q61" s="17">
        <f t="shared" si="5"/>
        <v>0.89</v>
      </c>
      <c r="R61" s="17">
        <f t="shared" si="6"/>
        <v>269.59800000000001</v>
      </c>
      <c r="S61" s="17">
        <f t="shared" si="7"/>
        <v>270.44799999999998</v>
      </c>
      <c r="T61" s="17">
        <f t="shared" si="8"/>
        <v>0.84899999999999998</v>
      </c>
      <c r="U61" s="17">
        <f t="shared" si="9"/>
        <v>265.92500000000001</v>
      </c>
      <c r="V61" s="17">
        <f t="shared" si="10"/>
        <v>266.64800000000002</v>
      </c>
      <c r="W61" s="17">
        <f t="shared" si="11"/>
        <v>3.8</v>
      </c>
      <c r="X61" s="17">
        <f t="shared" si="12"/>
        <v>11.913</v>
      </c>
    </row>
    <row r="62" spans="1:24" x14ac:dyDescent="0.35">
      <c r="A62">
        <v>258220</v>
      </c>
      <c r="B62">
        <v>1146791.8525761305</v>
      </c>
      <c r="C62">
        <v>270.28977526487807</v>
      </c>
      <c r="D62">
        <v>271.11818506487811</v>
      </c>
      <c r="E62">
        <v>0.82840980000003128</v>
      </c>
      <c r="F62">
        <v>269.61777526487805</v>
      </c>
      <c r="G62">
        <v>270.40518506487808</v>
      </c>
      <c r="H62">
        <v>0.78740980000003447</v>
      </c>
      <c r="I62">
        <v>266.58867146487808</v>
      </c>
      <c r="J62">
        <v>266.99879336487805</v>
      </c>
      <c r="K62">
        <v>3.4063917000000288</v>
      </c>
      <c r="L62">
        <v>11.823802499999999</v>
      </c>
      <c r="M62">
        <f t="shared" si="1"/>
        <v>258220</v>
      </c>
      <c r="N62" s="18">
        <f t="shared" si="2"/>
        <v>1146791.8999999999</v>
      </c>
      <c r="O62" s="17">
        <f t="shared" si="3"/>
        <v>270.29000000000002</v>
      </c>
      <c r="P62" s="17">
        <f t="shared" si="4"/>
        <v>271.11799999999999</v>
      </c>
      <c r="Q62" s="17">
        <f t="shared" si="5"/>
        <v>0.82799999999999996</v>
      </c>
      <c r="R62" s="17">
        <f t="shared" si="6"/>
        <v>269.61799999999999</v>
      </c>
      <c r="S62" s="17">
        <f t="shared" si="7"/>
        <v>270.40499999999997</v>
      </c>
      <c r="T62" s="17">
        <f t="shared" si="8"/>
        <v>0.78700000000000003</v>
      </c>
      <c r="U62" s="17">
        <f t="shared" si="9"/>
        <v>266.589</v>
      </c>
      <c r="V62" s="17">
        <f t="shared" si="10"/>
        <v>266.99900000000002</v>
      </c>
      <c r="W62" s="17">
        <f t="shared" si="11"/>
        <v>3.4060000000000001</v>
      </c>
      <c r="X62" s="17">
        <f t="shared" si="12"/>
        <v>11.824</v>
      </c>
    </row>
    <row r="63" spans="1:24" x14ac:dyDescent="0.35">
      <c r="A63">
        <v>258240</v>
      </c>
      <c r="B63">
        <v>1146811.961955081</v>
      </c>
      <c r="C63">
        <v>270.3002349868122</v>
      </c>
      <c r="D63">
        <v>271.07508368681221</v>
      </c>
      <c r="E63">
        <v>0.77484870000000683</v>
      </c>
      <c r="F63">
        <v>269.62823498681217</v>
      </c>
      <c r="G63">
        <v>270.36208368681218</v>
      </c>
      <c r="H63">
        <v>0.73384870000001001</v>
      </c>
      <c r="I63">
        <v>265.21611408681224</v>
      </c>
      <c r="J63">
        <v>266.66251078681222</v>
      </c>
      <c r="K63">
        <v>3.6995728999999642</v>
      </c>
      <c r="L63">
        <v>11.803392199999999</v>
      </c>
      <c r="M63">
        <f t="shared" si="1"/>
        <v>258240</v>
      </c>
      <c r="N63" s="18">
        <f t="shared" si="2"/>
        <v>1146812</v>
      </c>
      <c r="O63" s="17">
        <f t="shared" si="3"/>
        <v>270.3</v>
      </c>
      <c r="P63" s="17">
        <f t="shared" si="4"/>
        <v>271.07499999999999</v>
      </c>
      <c r="Q63" s="17">
        <f t="shared" si="5"/>
        <v>0.77500000000000002</v>
      </c>
      <c r="R63" s="17">
        <f t="shared" si="6"/>
        <v>269.62799999999999</v>
      </c>
      <c r="S63" s="17">
        <f t="shared" si="7"/>
        <v>270.36200000000002</v>
      </c>
      <c r="T63" s="17">
        <f t="shared" si="8"/>
        <v>0.73399999999999999</v>
      </c>
      <c r="U63" s="17">
        <f t="shared" si="9"/>
        <v>265.21600000000001</v>
      </c>
      <c r="V63" s="17">
        <f t="shared" si="10"/>
        <v>266.66300000000001</v>
      </c>
      <c r="W63" s="17">
        <f t="shared" si="11"/>
        <v>3.7</v>
      </c>
      <c r="X63" s="17">
        <f t="shared" si="12"/>
        <v>11.803000000000001</v>
      </c>
    </row>
    <row r="64" spans="1:24" x14ac:dyDescent="0.35">
      <c r="A64">
        <v>258260</v>
      </c>
      <c r="B64">
        <v>1146831.9349248856</v>
      </c>
      <c r="C64">
        <v>270.26114268088662</v>
      </c>
      <c r="D64">
        <v>271.03227468088659</v>
      </c>
      <c r="E64">
        <v>0.77113199999996596</v>
      </c>
      <c r="F64">
        <v>269.5891426808866</v>
      </c>
      <c r="G64">
        <v>270.31927468088656</v>
      </c>
      <c r="H64">
        <v>0.73013199999996914</v>
      </c>
      <c r="I64">
        <v>266.40074098088661</v>
      </c>
      <c r="J64">
        <v>266.67641948088658</v>
      </c>
      <c r="K64">
        <v>3.6428551999999854</v>
      </c>
      <c r="L64">
        <v>11.78575</v>
      </c>
      <c r="M64">
        <f t="shared" si="1"/>
        <v>258260</v>
      </c>
      <c r="N64" s="18">
        <f t="shared" si="2"/>
        <v>1146831.8999999999</v>
      </c>
      <c r="O64" s="17">
        <f t="shared" si="3"/>
        <v>270.26100000000002</v>
      </c>
      <c r="P64" s="17">
        <f t="shared" si="4"/>
        <v>271.03199999999998</v>
      </c>
      <c r="Q64" s="17">
        <f t="shared" si="5"/>
        <v>0.77100000000000002</v>
      </c>
      <c r="R64" s="17">
        <f t="shared" si="6"/>
        <v>269.589</v>
      </c>
      <c r="S64" s="17">
        <f t="shared" si="7"/>
        <v>270.31900000000002</v>
      </c>
      <c r="T64" s="17">
        <f t="shared" si="8"/>
        <v>0.73</v>
      </c>
      <c r="U64" s="17">
        <f t="shared" si="9"/>
        <v>266.40100000000001</v>
      </c>
      <c r="V64" s="17">
        <f t="shared" si="10"/>
        <v>266.67599999999999</v>
      </c>
      <c r="W64" s="17">
        <f t="shared" si="11"/>
        <v>3.6429999999999998</v>
      </c>
      <c r="X64" s="17">
        <f t="shared" si="12"/>
        <v>11.786</v>
      </c>
    </row>
    <row r="65" spans="1:24" x14ac:dyDescent="0.35">
      <c r="A65">
        <v>258280</v>
      </c>
      <c r="B65">
        <v>1146851.9162848538</v>
      </c>
      <c r="C65">
        <v>270.27039649192869</v>
      </c>
      <c r="D65">
        <v>270.98944769192872</v>
      </c>
      <c r="E65">
        <v>0.71905120000002398</v>
      </c>
      <c r="F65">
        <v>269.59839649192867</v>
      </c>
      <c r="G65">
        <v>270.27644769192869</v>
      </c>
      <c r="H65">
        <v>0.67805120000002717</v>
      </c>
      <c r="I65">
        <v>266.73476099192868</v>
      </c>
      <c r="J65">
        <v>266.82151789192869</v>
      </c>
      <c r="K65">
        <v>3.4549298000000022</v>
      </c>
      <c r="L65">
        <v>11.7321732</v>
      </c>
      <c r="M65">
        <f t="shared" si="1"/>
        <v>258280</v>
      </c>
      <c r="N65" s="18">
        <f t="shared" si="2"/>
        <v>1146851.8999999999</v>
      </c>
      <c r="O65" s="17">
        <f t="shared" si="3"/>
        <v>270.27</v>
      </c>
      <c r="P65" s="17">
        <f t="shared" si="4"/>
        <v>270.98899999999998</v>
      </c>
      <c r="Q65" s="17">
        <f t="shared" si="5"/>
        <v>0.71899999999999997</v>
      </c>
      <c r="R65" s="17">
        <f t="shared" si="6"/>
        <v>269.59800000000001</v>
      </c>
      <c r="S65" s="17">
        <f t="shared" si="7"/>
        <v>270.27600000000001</v>
      </c>
      <c r="T65" s="17">
        <f t="shared" si="8"/>
        <v>0.67800000000000005</v>
      </c>
      <c r="U65" s="17">
        <f t="shared" si="9"/>
        <v>266.73500000000001</v>
      </c>
      <c r="V65" s="17">
        <f t="shared" si="10"/>
        <v>266.822</v>
      </c>
      <c r="W65" s="17">
        <f t="shared" si="11"/>
        <v>3.4550000000000001</v>
      </c>
      <c r="X65" s="17">
        <f t="shared" si="12"/>
        <v>11.731999999999999</v>
      </c>
    </row>
    <row r="66" spans="1:24" x14ac:dyDescent="0.35">
      <c r="A66">
        <v>258300</v>
      </c>
      <c r="B66">
        <v>1146871.9211795179</v>
      </c>
      <c r="C66">
        <v>270.27586565994994</v>
      </c>
      <c r="D66">
        <v>270.94657025994991</v>
      </c>
      <c r="E66">
        <v>0.67070459999996501</v>
      </c>
      <c r="F66">
        <v>269.60386565994992</v>
      </c>
      <c r="G66">
        <v>270.23357025994989</v>
      </c>
      <c r="H66">
        <v>0.6297045999999682</v>
      </c>
      <c r="I66">
        <v>266.84659245994993</v>
      </c>
      <c r="J66">
        <v>266.83212015994991</v>
      </c>
      <c r="K66">
        <v>3.4014500999999768</v>
      </c>
      <c r="L66">
        <v>11.6758927</v>
      </c>
      <c r="M66">
        <f t="shared" ref="M66:M129" si="13">A66</f>
        <v>258300</v>
      </c>
      <c r="N66" s="18">
        <f t="shared" ref="N66:N129" si="14">ROUND(B66,1)</f>
        <v>1146871.8999999999</v>
      </c>
      <c r="O66" s="17">
        <f t="shared" ref="O66:O129" si="15">ROUND(C66,3)</f>
        <v>270.27600000000001</v>
      </c>
      <c r="P66" s="17">
        <f t="shared" ref="P66:P129" si="16">ROUND(D66,3)</f>
        <v>270.947</v>
      </c>
      <c r="Q66" s="17">
        <f t="shared" ref="Q66:Q129" si="17">ROUND(E66,3)</f>
        <v>0.67100000000000004</v>
      </c>
      <c r="R66" s="17">
        <f t="shared" ref="R66:R129" si="18">ROUND(F66,3)</f>
        <v>269.60399999999998</v>
      </c>
      <c r="S66" s="17">
        <f t="shared" ref="S66:S129" si="19">ROUND(G66,3)</f>
        <v>270.23399999999998</v>
      </c>
      <c r="T66" s="17">
        <f t="shared" ref="T66:T129" si="20">ROUND(H66,3)</f>
        <v>0.63</v>
      </c>
      <c r="U66" s="17">
        <f t="shared" ref="U66:U129" si="21">ROUND(I66,3)</f>
        <v>266.84699999999998</v>
      </c>
      <c r="V66" s="17">
        <f t="shared" ref="V66:V129" si="22">ROUND(J66,3)</f>
        <v>266.83199999999999</v>
      </c>
      <c r="W66" s="17">
        <f t="shared" ref="W66:W129" si="23">ROUND(K66,3)</f>
        <v>3.4009999999999998</v>
      </c>
      <c r="X66" s="17">
        <f t="shared" ref="X66:X129" si="24">ROUND(L66,3)</f>
        <v>11.676</v>
      </c>
    </row>
    <row r="67" spans="1:24" x14ac:dyDescent="0.35">
      <c r="A67">
        <v>258320</v>
      </c>
      <c r="B67">
        <v>1146891.965357244</v>
      </c>
      <c r="C67">
        <v>270.2743165307358</v>
      </c>
      <c r="D67">
        <v>270.90360863073579</v>
      </c>
      <c r="E67">
        <v>0.62929209999998648</v>
      </c>
      <c r="F67">
        <v>269.60231653073578</v>
      </c>
      <c r="G67">
        <v>270.19060863073577</v>
      </c>
      <c r="H67">
        <v>0.58829209999998966</v>
      </c>
      <c r="I67">
        <v>267.13513243073578</v>
      </c>
      <c r="J67">
        <v>266.70993543073581</v>
      </c>
      <c r="K67">
        <v>3.4806731999999556</v>
      </c>
      <c r="L67">
        <v>11.616245299999999</v>
      </c>
      <c r="M67">
        <f t="shared" si="13"/>
        <v>258320</v>
      </c>
      <c r="N67" s="18">
        <f t="shared" si="14"/>
        <v>1146892</v>
      </c>
      <c r="O67" s="17">
        <f t="shared" si="15"/>
        <v>270.274</v>
      </c>
      <c r="P67" s="17">
        <f t="shared" si="16"/>
        <v>270.904</v>
      </c>
      <c r="Q67" s="17">
        <f t="shared" si="17"/>
        <v>0.629</v>
      </c>
      <c r="R67" s="17">
        <f t="shared" si="18"/>
        <v>269.60199999999998</v>
      </c>
      <c r="S67" s="17">
        <f t="shared" si="19"/>
        <v>270.19099999999997</v>
      </c>
      <c r="T67" s="17">
        <f t="shared" si="20"/>
        <v>0.58799999999999997</v>
      </c>
      <c r="U67" s="17">
        <f t="shared" si="21"/>
        <v>267.13499999999999</v>
      </c>
      <c r="V67" s="17">
        <f t="shared" si="22"/>
        <v>266.70999999999998</v>
      </c>
      <c r="W67" s="17">
        <f t="shared" si="23"/>
        <v>3.4809999999999999</v>
      </c>
      <c r="X67" s="17">
        <f t="shared" si="24"/>
        <v>11.616</v>
      </c>
    </row>
    <row r="68" spans="1:24" x14ac:dyDescent="0.35">
      <c r="A68">
        <v>258340</v>
      </c>
      <c r="B68">
        <v>1146911.8856916793</v>
      </c>
      <c r="C68">
        <v>270.29586404067385</v>
      </c>
      <c r="D68">
        <v>270.86091244067387</v>
      </c>
      <c r="E68">
        <v>0.56504840000002332</v>
      </c>
      <c r="F68">
        <v>269.62386404067382</v>
      </c>
      <c r="G68">
        <v>270.14791244067385</v>
      </c>
      <c r="H68">
        <v>0.5240484000000265</v>
      </c>
      <c r="I68">
        <v>266.86106384067386</v>
      </c>
      <c r="J68">
        <v>267.24197554067388</v>
      </c>
      <c r="K68">
        <v>2.905936899999972</v>
      </c>
      <c r="L68">
        <v>11.5978669</v>
      </c>
      <c r="M68">
        <f t="shared" si="13"/>
        <v>258340</v>
      </c>
      <c r="N68" s="18">
        <f t="shared" si="14"/>
        <v>1146911.8999999999</v>
      </c>
      <c r="O68" s="17">
        <f t="shared" si="15"/>
        <v>270.29599999999999</v>
      </c>
      <c r="P68" s="17">
        <f t="shared" si="16"/>
        <v>270.86099999999999</v>
      </c>
      <c r="Q68" s="17">
        <f t="shared" si="17"/>
        <v>0.56499999999999995</v>
      </c>
      <c r="R68" s="17">
        <f t="shared" si="18"/>
        <v>269.62400000000002</v>
      </c>
      <c r="S68" s="17">
        <f t="shared" si="19"/>
        <v>270.14800000000002</v>
      </c>
      <c r="T68" s="17">
        <f t="shared" si="20"/>
        <v>0.52400000000000002</v>
      </c>
      <c r="U68" s="17">
        <f t="shared" si="21"/>
        <v>266.86099999999999</v>
      </c>
      <c r="V68" s="17">
        <f t="shared" si="22"/>
        <v>267.24200000000002</v>
      </c>
      <c r="W68" s="17">
        <f t="shared" si="23"/>
        <v>2.9060000000000001</v>
      </c>
      <c r="X68" s="17">
        <f t="shared" si="24"/>
        <v>11.598000000000001</v>
      </c>
    </row>
    <row r="69" spans="1:24" x14ac:dyDescent="0.35">
      <c r="A69">
        <v>258360</v>
      </c>
      <c r="B69">
        <v>1146931.920225895</v>
      </c>
      <c r="C69">
        <v>270.32289278084943</v>
      </c>
      <c r="D69">
        <v>270.81797148084945</v>
      </c>
      <c r="E69">
        <v>0.49507870000002185</v>
      </c>
      <c r="F69">
        <v>269.6508927808494</v>
      </c>
      <c r="G69">
        <v>270.10497148084943</v>
      </c>
      <c r="H69">
        <v>0.45407870000002504</v>
      </c>
      <c r="I69">
        <v>266.41600648084943</v>
      </c>
      <c r="J69">
        <v>267.82919258084945</v>
      </c>
      <c r="K69">
        <v>2.2757788999999775</v>
      </c>
      <c r="L69">
        <v>11.5133698</v>
      </c>
      <c r="M69">
        <f t="shared" si="13"/>
        <v>258360</v>
      </c>
      <c r="N69" s="18">
        <f t="shared" si="14"/>
        <v>1146931.8999999999</v>
      </c>
      <c r="O69" s="17">
        <f t="shared" si="15"/>
        <v>270.32299999999998</v>
      </c>
      <c r="P69" s="17">
        <f t="shared" si="16"/>
        <v>270.81799999999998</v>
      </c>
      <c r="Q69" s="17">
        <f t="shared" si="17"/>
        <v>0.495</v>
      </c>
      <c r="R69" s="17">
        <f t="shared" si="18"/>
        <v>269.65100000000001</v>
      </c>
      <c r="S69" s="17">
        <f t="shared" si="19"/>
        <v>270.10500000000002</v>
      </c>
      <c r="T69" s="17">
        <f t="shared" si="20"/>
        <v>0.45400000000000001</v>
      </c>
      <c r="U69" s="17">
        <f t="shared" si="21"/>
        <v>266.416</v>
      </c>
      <c r="V69" s="17">
        <f t="shared" si="22"/>
        <v>267.82900000000001</v>
      </c>
      <c r="W69" s="17">
        <f t="shared" si="23"/>
        <v>2.2759999999999998</v>
      </c>
      <c r="X69" s="17">
        <f t="shared" si="24"/>
        <v>11.513</v>
      </c>
    </row>
    <row r="70" spans="1:24" x14ac:dyDescent="0.35">
      <c r="A70">
        <v>258380</v>
      </c>
      <c r="B70">
        <v>1146951.9098659081</v>
      </c>
      <c r="C70">
        <v>270.35277004488177</v>
      </c>
      <c r="D70">
        <v>270.77512674488179</v>
      </c>
      <c r="E70">
        <v>0.42235670000002301</v>
      </c>
      <c r="F70">
        <v>269.68077004488174</v>
      </c>
      <c r="G70">
        <v>270.06212674488177</v>
      </c>
      <c r="H70">
        <v>0.38135670000002619</v>
      </c>
      <c r="I70">
        <v>267.89407874488177</v>
      </c>
      <c r="J70">
        <v>268.03097974488179</v>
      </c>
      <c r="K70">
        <v>2.0311469999999758</v>
      </c>
      <c r="L70">
        <v>11.4560104</v>
      </c>
      <c r="M70">
        <f t="shared" si="13"/>
        <v>258380</v>
      </c>
      <c r="N70" s="18">
        <f t="shared" si="14"/>
        <v>1146951.8999999999</v>
      </c>
      <c r="O70" s="17">
        <f t="shared" si="15"/>
        <v>270.35300000000001</v>
      </c>
      <c r="P70" s="17">
        <f t="shared" si="16"/>
        <v>270.77499999999998</v>
      </c>
      <c r="Q70" s="17">
        <f t="shared" si="17"/>
        <v>0.42199999999999999</v>
      </c>
      <c r="R70" s="17">
        <f t="shared" si="18"/>
        <v>269.68099999999998</v>
      </c>
      <c r="S70" s="17">
        <f t="shared" si="19"/>
        <v>270.06200000000001</v>
      </c>
      <c r="T70" s="17">
        <f t="shared" si="20"/>
        <v>0.38100000000000001</v>
      </c>
      <c r="U70" s="17">
        <f t="shared" si="21"/>
        <v>267.89400000000001</v>
      </c>
      <c r="V70" s="17">
        <f t="shared" si="22"/>
        <v>268.03100000000001</v>
      </c>
      <c r="W70" s="17">
        <f t="shared" si="23"/>
        <v>2.0310000000000001</v>
      </c>
      <c r="X70" s="17">
        <f t="shared" si="24"/>
        <v>11.456</v>
      </c>
    </row>
    <row r="71" spans="1:24" x14ac:dyDescent="0.35">
      <c r="A71">
        <v>258400</v>
      </c>
      <c r="B71">
        <v>1146971.8969089934</v>
      </c>
      <c r="C71">
        <v>270.35911822760312</v>
      </c>
      <c r="D71">
        <v>270.78270192760311</v>
      </c>
      <c r="E71">
        <v>0.42358369999999468</v>
      </c>
      <c r="F71">
        <v>269.68711822760309</v>
      </c>
      <c r="G71">
        <v>270.06970192760309</v>
      </c>
      <c r="H71">
        <v>0.38258369999999786</v>
      </c>
      <c r="I71">
        <v>268.66049252760314</v>
      </c>
      <c r="J71">
        <v>268.97779752760312</v>
      </c>
      <c r="K71">
        <v>1.0919043999999758</v>
      </c>
      <c r="L71">
        <v>11.3746838</v>
      </c>
      <c r="M71">
        <f t="shared" si="13"/>
        <v>258400</v>
      </c>
      <c r="N71" s="18">
        <f t="shared" si="14"/>
        <v>1146971.8999999999</v>
      </c>
      <c r="O71" s="17">
        <f t="shared" si="15"/>
        <v>270.35899999999998</v>
      </c>
      <c r="P71" s="17">
        <f t="shared" si="16"/>
        <v>270.78300000000002</v>
      </c>
      <c r="Q71" s="17">
        <f t="shared" si="17"/>
        <v>0.42399999999999999</v>
      </c>
      <c r="R71" s="17">
        <f t="shared" si="18"/>
        <v>269.68700000000001</v>
      </c>
      <c r="S71" s="17">
        <f t="shared" si="19"/>
        <v>270.07</v>
      </c>
      <c r="T71" s="17">
        <f t="shared" si="20"/>
        <v>0.38300000000000001</v>
      </c>
      <c r="U71" s="17">
        <f t="shared" si="21"/>
        <v>268.66000000000003</v>
      </c>
      <c r="V71" s="17">
        <f t="shared" si="22"/>
        <v>268.97800000000001</v>
      </c>
      <c r="W71" s="17">
        <f t="shared" si="23"/>
        <v>1.0920000000000001</v>
      </c>
      <c r="X71" s="17">
        <f t="shared" si="24"/>
        <v>11.375</v>
      </c>
    </row>
    <row r="72" spans="1:24" x14ac:dyDescent="0.35">
      <c r="A72">
        <v>258420</v>
      </c>
      <c r="B72">
        <v>1146991.9671443081</v>
      </c>
      <c r="C72">
        <v>270.34078757561082</v>
      </c>
      <c r="D72">
        <v>270.86323477561081</v>
      </c>
      <c r="E72">
        <v>0.52244719999998779</v>
      </c>
      <c r="F72">
        <v>269.66878757561079</v>
      </c>
      <c r="G72">
        <v>270.15023477561078</v>
      </c>
      <c r="H72">
        <v>0.48144719999999097</v>
      </c>
      <c r="I72">
        <v>266.76536087561078</v>
      </c>
      <c r="J72">
        <v>267.55442727561081</v>
      </c>
      <c r="K72">
        <v>2.5958074999999781</v>
      </c>
      <c r="L72">
        <v>11.3474863</v>
      </c>
      <c r="M72">
        <f t="shared" si="13"/>
        <v>258420</v>
      </c>
      <c r="N72" s="18">
        <f t="shared" si="14"/>
        <v>1146992</v>
      </c>
      <c r="O72" s="17">
        <f t="shared" si="15"/>
        <v>270.34100000000001</v>
      </c>
      <c r="P72" s="17">
        <f t="shared" si="16"/>
        <v>270.863</v>
      </c>
      <c r="Q72" s="17">
        <f t="shared" si="17"/>
        <v>0.52200000000000002</v>
      </c>
      <c r="R72" s="17">
        <f t="shared" si="18"/>
        <v>269.66899999999998</v>
      </c>
      <c r="S72" s="17">
        <f t="shared" si="19"/>
        <v>270.14999999999998</v>
      </c>
      <c r="T72" s="17">
        <f t="shared" si="20"/>
        <v>0.48099999999999998</v>
      </c>
      <c r="U72" s="17">
        <f t="shared" si="21"/>
        <v>266.76499999999999</v>
      </c>
      <c r="V72" s="17">
        <f t="shared" si="22"/>
        <v>267.55399999999997</v>
      </c>
      <c r="W72" s="17">
        <f t="shared" si="23"/>
        <v>2.5960000000000001</v>
      </c>
      <c r="X72" s="17">
        <f t="shared" si="24"/>
        <v>11.347</v>
      </c>
    </row>
    <row r="73" spans="1:24" x14ac:dyDescent="0.35">
      <c r="A73">
        <v>258440</v>
      </c>
      <c r="B73">
        <v>1147011.9724088395</v>
      </c>
      <c r="C73">
        <v>270.30136052501956</v>
      </c>
      <c r="D73">
        <v>270.94350692501956</v>
      </c>
      <c r="E73">
        <v>0.64214640000000145</v>
      </c>
      <c r="F73">
        <v>269.62936052501954</v>
      </c>
      <c r="G73">
        <v>270.23050692501954</v>
      </c>
      <c r="H73">
        <v>0.60114640000000463</v>
      </c>
      <c r="I73">
        <v>268.24113772501954</v>
      </c>
      <c r="J73">
        <v>269.04098902501954</v>
      </c>
      <c r="K73">
        <v>1.1895178999999985</v>
      </c>
      <c r="L73">
        <v>11.381190200000001</v>
      </c>
      <c r="M73">
        <f t="shared" si="13"/>
        <v>258440</v>
      </c>
      <c r="N73" s="18">
        <f t="shared" si="14"/>
        <v>1147012</v>
      </c>
      <c r="O73" s="17">
        <f t="shared" si="15"/>
        <v>270.30099999999999</v>
      </c>
      <c r="P73" s="17">
        <f t="shared" si="16"/>
        <v>270.94400000000002</v>
      </c>
      <c r="Q73" s="17">
        <f t="shared" si="17"/>
        <v>0.64200000000000002</v>
      </c>
      <c r="R73" s="17">
        <f t="shared" si="18"/>
        <v>269.62900000000002</v>
      </c>
      <c r="S73" s="17">
        <f t="shared" si="19"/>
        <v>270.23099999999999</v>
      </c>
      <c r="T73" s="17">
        <f t="shared" si="20"/>
        <v>0.60099999999999998</v>
      </c>
      <c r="U73" s="17">
        <f t="shared" si="21"/>
        <v>268.24099999999999</v>
      </c>
      <c r="V73" s="17">
        <f t="shared" si="22"/>
        <v>269.041</v>
      </c>
      <c r="W73" s="17">
        <f t="shared" si="23"/>
        <v>1.19</v>
      </c>
      <c r="X73" s="17">
        <f t="shared" si="24"/>
        <v>11.381</v>
      </c>
    </row>
    <row r="74" spans="1:24" x14ac:dyDescent="0.35">
      <c r="A74">
        <v>258460</v>
      </c>
      <c r="B74">
        <v>1147032.0393177571</v>
      </c>
      <c r="C74">
        <v>270.32392652568814</v>
      </c>
      <c r="D74">
        <v>271.02402642568813</v>
      </c>
      <c r="E74">
        <v>0.70009989999999789</v>
      </c>
      <c r="F74">
        <v>269.65192652568811</v>
      </c>
      <c r="G74">
        <v>270.31102642568811</v>
      </c>
      <c r="H74">
        <v>0.65909990000000107</v>
      </c>
      <c r="I74">
        <v>268.75943102568817</v>
      </c>
      <c r="J74">
        <v>269.43560452568818</v>
      </c>
      <c r="K74">
        <v>0.87542189999993525</v>
      </c>
      <c r="L74">
        <v>11.532194799999999</v>
      </c>
      <c r="M74">
        <f t="shared" si="13"/>
        <v>258460</v>
      </c>
      <c r="N74" s="18">
        <f t="shared" si="14"/>
        <v>1147032</v>
      </c>
      <c r="O74" s="17">
        <f t="shared" si="15"/>
        <v>270.32400000000001</v>
      </c>
      <c r="P74" s="17">
        <f t="shared" si="16"/>
        <v>271.024</v>
      </c>
      <c r="Q74" s="17">
        <f t="shared" si="17"/>
        <v>0.7</v>
      </c>
      <c r="R74" s="17">
        <f t="shared" si="18"/>
        <v>269.65199999999999</v>
      </c>
      <c r="S74" s="17">
        <f t="shared" si="19"/>
        <v>270.31099999999998</v>
      </c>
      <c r="T74" s="17">
        <f t="shared" si="20"/>
        <v>0.65900000000000003</v>
      </c>
      <c r="U74" s="17">
        <f t="shared" si="21"/>
        <v>268.75900000000001</v>
      </c>
      <c r="V74" s="17">
        <f t="shared" si="22"/>
        <v>269.43599999999998</v>
      </c>
      <c r="W74" s="17">
        <f t="shared" si="23"/>
        <v>0.875</v>
      </c>
      <c r="X74" s="17">
        <f t="shared" si="24"/>
        <v>11.532</v>
      </c>
    </row>
    <row r="75" spans="1:24" x14ac:dyDescent="0.35">
      <c r="A75">
        <v>258480</v>
      </c>
      <c r="B75">
        <v>1147052.1686415102</v>
      </c>
      <c r="C75">
        <v>270.29414566908326</v>
      </c>
      <c r="D75">
        <v>271.10479636908332</v>
      </c>
      <c r="E75">
        <v>0.81065070000005335</v>
      </c>
      <c r="F75">
        <v>269.62214566908324</v>
      </c>
      <c r="G75">
        <v>270.39179636908329</v>
      </c>
      <c r="H75">
        <v>0.76965070000005653</v>
      </c>
      <c r="I75">
        <v>267.37187586908328</v>
      </c>
      <c r="J75">
        <v>267.9001698690833</v>
      </c>
      <c r="K75">
        <v>2.4916264999999953</v>
      </c>
      <c r="L75">
        <v>11.852364100000001</v>
      </c>
      <c r="M75">
        <f t="shared" si="13"/>
        <v>258480</v>
      </c>
      <c r="N75" s="18">
        <f t="shared" si="14"/>
        <v>1147052.2</v>
      </c>
      <c r="O75" s="17">
        <f t="shared" si="15"/>
        <v>270.29399999999998</v>
      </c>
      <c r="P75" s="17">
        <f t="shared" si="16"/>
        <v>271.10500000000002</v>
      </c>
      <c r="Q75" s="17">
        <f t="shared" si="17"/>
        <v>0.81100000000000005</v>
      </c>
      <c r="R75" s="17">
        <f t="shared" si="18"/>
        <v>269.62200000000001</v>
      </c>
      <c r="S75" s="17">
        <f t="shared" si="19"/>
        <v>270.392</v>
      </c>
      <c r="T75" s="17">
        <f t="shared" si="20"/>
        <v>0.77</v>
      </c>
      <c r="U75" s="17">
        <f t="shared" si="21"/>
        <v>267.37200000000001</v>
      </c>
      <c r="V75" s="17">
        <f t="shared" si="22"/>
        <v>267.89999999999998</v>
      </c>
      <c r="W75" s="17">
        <f t="shared" si="23"/>
        <v>2.492</v>
      </c>
      <c r="X75" s="17">
        <f t="shared" si="24"/>
        <v>11.852</v>
      </c>
    </row>
    <row r="76" spans="1:24" x14ac:dyDescent="0.35">
      <c r="A76">
        <v>258500</v>
      </c>
      <c r="B76">
        <v>1147072.1519999995</v>
      </c>
      <c r="C76">
        <v>270.24640751937557</v>
      </c>
      <c r="D76">
        <v>271.18498061937561</v>
      </c>
      <c r="E76">
        <v>0.9385731000000419</v>
      </c>
      <c r="F76">
        <v>269.57440751937554</v>
      </c>
      <c r="G76">
        <v>270.47198061937559</v>
      </c>
      <c r="H76">
        <v>0.89757310000004509</v>
      </c>
      <c r="I76">
        <v>267.43309531937558</v>
      </c>
      <c r="J76">
        <v>267.44590301937558</v>
      </c>
      <c r="K76">
        <v>3.0260776000000078</v>
      </c>
      <c r="L76">
        <v>12.206211100000001</v>
      </c>
      <c r="M76">
        <f t="shared" si="13"/>
        <v>258500</v>
      </c>
      <c r="N76" s="18">
        <f t="shared" si="14"/>
        <v>1147072.2</v>
      </c>
      <c r="O76" s="17">
        <f t="shared" si="15"/>
        <v>270.24599999999998</v>
      </c>
      <c r="P76" s="17">
        <f t="shared" si="16"/>
        <v>271.185</v>
      </c>
      <c r="Q76" s="17">
        <f t="shared" si="17"/>
        <v>0.93899999999999995</v>
      </c>
      <c r="R76" s="17">
        <f t="shared" si="18"/>
        <v>269.57400000000001</v>
      </c>
      <c r="S76" s="17">
        <f t="shared" si="19"/>
        <v>270.47199999999998</v>
      </c>
      <c r="T76" s="17">
        <f t="shared" si="20"/>
        <v>0.89800000000000002</v>
      </c>
      <c r="U76" s="17">
        <f t="shared" si="21"/>
        <v>267.43299999999999</v>
      </c>
      <c r="V76" s="17">
        <f t="shared" si="22"/>
        <v>267.44600000000003</v>
      </c>
      <c r="W76" s="17">
        <f t="shared" si="23"/>
        <v>3.0259999999999998</v>
      </c>
      <c r="X76" s="17">
        <f t="shared" si="24"/>
        <v>12.206</v>
      </c>
    </row>
    <row r="77" spans="1:24" x14ac:dyDescent="0.35">
      <c r="A77">
        <v>258520</v>
      </c>
      <c r="B77">
        <v>1147092.3259269632</v>
      </c>
      <c r="C77">
        <v>270.2017048354399</v>
      </c>
      <c r="D77">
        <v>271.26592953543985</v>
      </c>
      <c r="E77">
        <v>1.0642246999999543</v>
      </c>
      <c r="F77">
        <v>269.52970483543987</v>
      </c>
      <c r="G77">
        <v>270.55292953543983</v>
      </c>
      <c r="H77">
        <v>1.0232246999999575</v>
      </c>
      <c r="I77">
        <v>267.47180663543986</v>
      </c>
      <c r="J77">
        <v>267.47146163543988</v>
      </c>
      <c r="K77">
        <v>3.0814678999999501</v>
      </c>
      <c r="L77">
        <v>12.6423679</v>
      </c>
      <c r="M77">
        <f t="shared" si="13"/>
        <v>258520</v>
      </c>
      <c r="N77" s="18">
        <f t="shared" si="14"/>
        <v>1147092.3</v>
      </c>
      <c r="O77" s="17">
        <f t="shared" si="15"/>
        <v>270.202</v>
      </c>
      <c r="P77" s="17">
        <f t="shared" si="16"/>
        <v>271.26600000000002</v>
      </c>
      <c r="Q77" s="17">
        <f t="shared" si="17"/>
        <v>1.0640000000000001</v>
      </c>
      <c r="R77" s="17">
        <f t="shared" si="18"/>
        <v>269.52999999999997</v>
      </c>
      <c r="S77" s="17">
        <f t="shared" si="19"/>
        <v>270.553</v>
      </c>
      <c r="T77" s="17">
        <f t="shared" si="20"/>
        <v>1.0229999999999999</v>
      </c>
      <c r="U77" s="17">
        <f t="shared" si="21"/>
        <v>267.47199999999998</v>
      </c>
      <c r="V77" s="17">
        <f t="shared" si="22"/>
        <v>267.471</v>
      </c>
      <c r="W77" s="17">
        <f t="shared" si="23"/>
        <v>3.081</v>
      </c>
      <c r="X77" s="17">
        <f t="shared" si="24"/>
        <v>12.641999999999999</v>
      </c>
    </row>
    <row r="78" spans="1:24" x14ac:dyDescent="0.35">
      <c r="A78">
        <v>258540</v>
      </c>
      <c r="B78">
        <v>1147112.5239593573</v>
      </c>
      <c r="C78">
        <v>270.16093167577907</v>
      </c>
      <c r="D78">
        <v>271.34697517577905</v>
      </c>
      <c r="E78">
        <v>1.1860434999999825</v>
      </c>
      <c r="F78">
        <v>269.48893167577904</v>
      </c>
      <c r="G78">
        <v>270.63397517577903</v>
      </c>
      <c r="H78">
        <v>1.1450434999999857</v>
      </c>
      <c r="I78">
        <v>267.54837647577904</v>
      </c>
      <c r="J78">
        <v>267.47375327577907</v>
      </c>
      <c r="K78">
        <v>3.1602218999999536</v>
      </c>
      <c r="L78">
        <v>13.189905700000001</v>
      </c>
      <c r="M78">
        <f t="shared" si="13"/>
        <v>258540</v>
      </c>
      <c r="N78" s="18">
        <f t="shared" si="14"/>
        <v>1147112.5</v>
      </c>
      <c r="O78" s="17">
        <f t="shared" si="15"/>
        <v>270.161</v>
      </c>
      <c r="P78" s="17">
        <f t="shared" si="16"/>
        <v>271.34699999999998</v>
      </c>
      <c r="Q78" s="17">
        <f t="shared" si="17"/>
        <v>1.1859999999999999</v>
      </c>
      <c r="R78" s="17">
        <f t="shared" si="18"/>
        <v>269.48899999999998</v>
      </c>
      <c r="S78" s="17">
        <f t="shared" si="19"/>
        <v>270.63400000000001</v>
      </c>
      <c r="T78" s="17">
        <f t="shared" si="20"/>
        <v>1.145</v>
      </c>
      <c r="U78" s="17">
        <f t="shared" si="21"/>
        <v>267.548</v>
      </c>
      <c r="V78" s="17">
        <f t="shared" si="22"/>
        <v>267.47399999999999</v>
      </c>
      <c r="W78" s="17">
        <f t="shared" si="23"/>
        <v>3.16</v>
      </c>
      <c r="X78" s="17">
        <f t="shared" si="24"/>
        <v>13.19</v>
      </c>
    </row>
    <row r="79" spans="1:24" x14ac:dyDescent="0.35">
      <c r="A79">
        <v>258560</v>
      </c>
      <c r="B79">
        <v>1147132.5214812723</v>
      </c>
      <c r="C79">
        <v>270.12698515754289</v>
      </c>
      <c r="D79">
        <v>271.42721625754285</v>
      </c>
      <c r="E79">
        <v>1.3002310999999622</v>
      </c>
      <c r="F79">
        <v>269.45498515754286</v>
      </c>
      <c r="G79">
        <v>270.71421625754283</v>
      </c>
      <c r="H79">
        <v>1.2592310999999654</v>
      </c>
      <c r="I79">
        <v>267.46288765754286</v>
      </c>
      <c r="J79">
        <v>267.45835635754287</v>
      </c>
      <c r="K79">
        <v>3.2558598999999617</v>
      </c>
      <c r="L79">
        <v>13.845699700000001</v>
      </c>
      <c r="M79">
        <f t="shared" si="13"/>
        <v>258560</v>
      </c>
      <c r="N79" s="18">
        <f t="shared" si="14"/>
        <v>1147132.5</v>
      </c>
      <c r="O79" s="17">
        <f t="shared" si="15"/>
        <v>270.12700000000001</v>
      </c>
      <c r="P79" s="17">
        <f t="shared" si="16"/>
        <v>271.42700000000002</v>
      </c>
      <c r="Q79" s="17">
        <f t="shared" si="17"/>
        <v>1.3</v>
      </c>
      <c r="R79" s="17">
        <f t="shared" si="18"/>
        <v>269.45499999999998</v>
      </c>
      <c r="S79" s="17">
        <f t="shared" si="19"/>
        <v>270.714</v>
      </c>
      <c r="T79" s="17">
        <f t="shared" si="20"/>
        <v>1.2589999999999999</v>
      </c>
      <c r="U79" s="17">
        <f t="shared" si="21"/>
        <v>267.46300000000002</v>
      </c>
      <c r="V79" s="17">
        <f t="shared" si="22"/>
        <v>267.45800000000003</v>
      </c>
      <c r="W79" s="17">
        <f t="shared" si="23"/>
        <v>3.2559999999999998</v>
      </c>
      <c r="X79" s="17">
        <f t="shared" si="24"/>
        <v>13.846</v>
      </c>
    </row>
    <row r="80" spans="1:24" x14ac:dyDescent="0.35">
      <c r="A80">
        <v>258580</v>
      </c>
      <c r="B80">
        <v>1147152.7428507765</v>
      </c>
      <c r="C80">
        <v>270.07974443923297</v>
      </c>
      <c r="D80">
        <v>271.50835553923292</v>
      </c>
      <c r="E80">
        <v>1.4286110999999551</v>
      </c>
      <c r="F80">
        <v>269.40774443923294</v>
      </c>
      <c r="G80">
        <v>270.7953555392329</v>
      </c>
      <c r="H80">
        <v>1.3876110999999582</v>
      </c>
      <c r="I80">
        <v>267.57963763923294</v>
      </c>
      <c r="J80">
        <v>267.44367843923294</v>
      </c>
      <c r="K80">
        <v>3.3516770999999608</v>
      </c>
      <c r="L80">
        <v>14.4326487</v>
      </c>
      <c r="M80">
        <f t="shared" si="13"/>
        <v>258580</v>
      </c>
      <c r="N80" s="18">
        <f t="shared" si="14"/>
        <v>1147152.7</v>
      </c>
      <c r="O80" s="17">
        <f t="shared" si="15"/>
        <v>270.08</v>
      </c>
      <c r="P80" s="17">
        <f t="shared" si="16"/>
        <v>271.50799999999998</v>
      </c>
      <c r="Q80" s="17">
        <f t="shared" si="17"/>
        <v>1.429</v>
      </c>
      <c r="R80" s="17">
        <f t="shared" si="18"/>
        <v>269.40800000000002</v>
      </c>
      <c r="S80" s="17">
        <f t="shared" si="19"/>
        <v>270.79500000000002</v>
      </c>
      <c r="T80" s="17">
        <f t="shared" si="20"/>
        <v>1.3879999999999999</v>
      </c>
      <c r="U80" s="17">
        <f t="shared" si="21"/>
        <v>267.58</v>
      </c>
      <c r="V80" s="17">
        <f t="shared" si="22"/>
        <v>267.44400000000002</v>
      </c>
      <c r="W80" s="17">
        <f t="shared" si="23"/>
        <v>3.3519999999999999</v>
      </c>
      <c r="X80" s="17">
        <f t="shared" si="24"/>
        <v>14.433</v>
      </c>
    </row>
    <row r="81" spans="1:24" x14ac:dyDescent="0.35">
      <c r="A81">
        <v>258600</v>
      </c>
      <c r="B81">
        <v>1147172.7937002238</v>
      </c>
      <c r="C81">
        <v>270.01824500045348</v>
      </c>
      <c r="D81">
        <v>271.58881060045348</v>
      </c>
      <c r="E81">
        <v>1.570565600000009</v>
      </c>
      <c r="F81">
        <v>269.34624500045345</v>
      </c>
      <c r="G81">
        <v>270.87581060045346</v>
      </c>
      <c r="H81">
        <v>1.5295656000000122</v>
      </c>
      <c r="I81">
        <v>267.60662920045348</v>
      </c>
      <c r="J81">
        <v>267.39219960045347</v>
      </c>
      <c r="K81">
        <v>3.4836109999999962</v>
      </c>
      <c r="L81">
        <v>14.967082400000001</v>
      </c>
      <c r="M81">
        <f t="shared" si="13"/>
        <v>258600</v>
      </c>
      <c r="N81" s="18">
        <f t="shared" si="14"/>
        <v>1147172.8</v>
      </c>
      <c r="O81" s="17">
        <f t="shared" si="15"/>
        <v>270.01799999999997</v>
      </c>
      <c r="P81" s="17">
        <f t="shared" si="16"/>
        <v>271.589</v>
      </c>
      <c r="Q81" s="17">
        <f t="shared" si="17"/>
        <v>1.571</v>
      </c>
      <c r="R81" s="17">
        <f t="shared" si="18"/>
        <v>269.346</v>
      </c>
      <c r="S81" s="17">
        <f t="shared" si="19"/>
        <v>270.87599999999998</v>
      </c>
      <c r="T81" s="17">
        <f t="shared" si="20"/>
        <v>1.53</v>
      </c>
      <c r="U81" s="17">
        <f t="shared" si="21"/>
        <v>267.60700000000003</v>
      </c>
      <c r="V81" s="17">
        <f t="shared" si="22"/>
        <v>267.392</v>
      </c>
      <c r="W81" s="17">
        <f t="shared" si="23"/>
        <v>3.484</v>
      </c>
      <c r="X81" s="17">
        <f t="shared" si="24"/>
        <v>14.967000000000001</v>
      </c>
    </row>
    <row r="82" spans="1:24" x14ac:dyDescent="0.35">
      <c r="A82">
        <v>258620</v>
      </c>
      <c r="B82">
        <v>1147192.9817156878</v>
      </c>
      <c r="C82">
        <v>269.96989524734738</v>
      </c>
      <c r="D82">
        <v>271.66981604734735</v>
      </c>
      <c r="E82">
        <v>1.6999207999999726</v>
      </c>
      <c r="F82">
        <v>269.29789524734736</v>
      </c>
      <c r="G82">
        <v>270.95681604734733</v>
      </c>
      <c r="H82">
        <v>1.6589207999999758</v>
      </c>
      <c r="I82">
        <v>267.49982334734739</v>
      </c>
      <c r="J82">
        <v>267.30964704734737</v>
      </c>
      <c r="K82">
        <v>3.6471689999999626</v>
      </c>
      <c r="L82">
        <v>15.4092927</v>
      </c>
      <c r="M82">
        <f t="shared" si="13"/>
        <v>258620</v>
      </c>
      <c r="N82" s="18">
        <f t="shared" si="14"/>
        <v>1147193</v>
      </c>
      <c r="O82" s="17">
        <f t="shared" si="15"/>
        <v>269.97000000000003</v>
      </c>
      <c r="P82" s="17">
        <f t="shared" si="16"/>
        <v>271.67</v>
      </c>
      <c r="Q82" s="17">
        <f t="shared" si="17"/>
        <v>1.7</v>
      </c>
      <c r="R82" s="17">
        <f t="shared" si="18"/>
        <v>269.298</v>
      </c>
      <c r="S82" s="17">
        <f t="shared" si="19"/>
        <v>270.95699999999999</v>
      </c>
      <c r="T82" s="17">
        <f t="shared" si="20"/>
        <v>1.659</v>
      </c>
      <c r="U82" s="17">
        <f t="shared" si="21"/>
        <v>267.5</v>
      </c>
      <c r="V82" s="17">
        <f t="shared" si="22"/>
        <v>267.31</v>
      </c>
      <c r="W82" s="17">
        <f t="shared" si="23"/>
        <v>3.6469999999999998</v>
      </c>
      <c r="X82" s="17">
        <f t="shared" si="24"/>
        <v>15.409000000000001</v>
      </c>
    </row>
    <row r="83" spans="1:24" x14ac:dyDescent="0.35">
      <c r="A83">
        <v>258640</v>
      </c>
      <c r="B83">
        <v>1147212.9847395865</v>
      </c>
      <c r="C83">
        <v>269.9395530061027</v>
      </c>
      <c r="D83">
        <v>271.75007920610273</v>
      </c>
      <c r="E83">
        <v>1.8105262000000266</v>
      </c>
      <c r="F83">
        <v>269.26755300610267</v>
      </c>
      <c r="G83">
        <v>271.0370792061027</v>
      </c>
      <c r="H83">
        <v>1.7695262000000298</v>
      </c>
      <c r="I83">
        <v>267.31011730610271</v>
      </c>
      <c r="J83">
        <v>267.08631300610273</v>
      </c>
      <c r="K83">
        <v>3.9507661999999755</v>
      </c>
      <c r="L83">
        <v>15.757092099999999</v>
      </c>
      <c r="M83">
        <f t="shared" si="13"/>
        <v>258640</v>
      </c>
      <c r="N83" s="18">
        <f t="shared" si="14"/>
        <v>1147213</v>
      </c>
      <c r="O83" s="17">
        <f t="shared" si="15"/>
        <v>269.94</v>
      </c>
      <c r="P83" s="17">
        <f t="shared" si="16"/>
        <v>271.75</v>
      </c>
      <c r="Q83" s="17">
        <f t="shared" si="17"/>
        <v>1.8109999999999999</v>
      </c>
      <c r="R83" s="17">
        <f t="shared" si="18"/>
        <v>269.26799999999997</v>
      </c>
      <c r="S83" s="17">
        <f t="shared" si="19"/>
        <v>271.03699999999998</v>
      </c>
      <c r="T83" s="17">
        <f t="shared" si="20"/>
        <v>1.77</v>
      </c>
      <c r="U83" s="17">
        <f t="shared" si="21"/>
        <v>267.31</v>
      </c>
      <c r="V83" s="17">
        <f t="shared" si="22"/>
        <v>267.08600000000001</v>
      </c>
      <c r="W83" s="17">
        <f t="shared" si="23"/>
        <v>3.9510000000000001</v>
      </c>
      <c r="X83" s="17">
        <f t="shared" si="24"/>
        <v>15.757</v>
      </c>
    </row>
    <row r="84" spans="1:24" x14ac:dyDescent="0.35">
      <c r="A84">
        <v>258660</v>
      </c>
      <c r="B84">
        <v>1147233.2302174885</v>
      </c>
      <c r="C84">
        <v>269.93075432397467</v>
      </c>
      <c r="D84">
        <v>271.83131522397463</v>
      </c>
      <c r="E84">
        <v>1.9005608999999595</v>
      </c>
      <c r="F84">
        <v>269.25875432397464</v>
      </c>
      <c r="G84">
        <v>271.11831522397461</v>
      </c>
      <c r="H84">
        <v>1.8595608999999627</v>
      </c>
      <c r="I84">
        <v>267.26546132397465</v>
      </c>
      <c r="J84">
        <v>266.92972022397464</v>
      </c>
      <c r="K84">
        <v>4.1885949999999639</v>
      </c>
      <c r="L84">
        <v>16.1794294</v>
      </c>
      <c r="M84">
        <f t="shared" si="13"/>
        <v>258660</v>
      </c>
      <c r="N84" s="18">
        <f t="shared" si="14"/>
        <v>1147233.2</v>
      </c>
      <c r="O84" s="17">
        <f t="shared" si="15"/>
        <v>269.93099999999998</v>
      </c>
      <c r="P84" s="17">
        <f t="shared" si="16"/>
        <v>271.83100000000002</v>
      </c>
      <c r="Q84" s="17">
        <f t="shared" si="17"/>
        <v>1.901</v>
      </c>
      <c r="R84" s="17">
        <f t="shared" si="18"/>
        <v>269.25900000000001</v>
      </c>
      <c r="S84" s="17">
        <f t="shared" si="19"/>
        <v>271.11799999999999</v>
      </c>
      <c r="T84" s="17">
        <f t="shared" si="20"/>
        <v>1.86</v>
      </c>
      <c r="U84" s="17">
        <f t="shared" si="21"/>
        <v>267.26499999999999</v>
      </c>
      <c r="V84" s="17">
        <f t="shared" si="22"/>
        <v>266.93</v>
      </c>
      <c r="W84" s="17">
        <f t="shared" si="23"/>
        <v>4.1890000000000001</v>
      </c>
      <c r="X84" s="17">
        <f t="shared" si="24"/>
        <v>16.178999999999998</v>
      </c>
    </row>
    <row r="85" spans="1:24" x14ac:dyDescent="0.35">
      <c r="A85">
        <v>258680</v>
      </c>
      <c r="B85">
        <v>1147253.2082464201</v>
      </c>
      <c r="C85">
        <v>269.92228428914353</v>
      </c>
      <c r="D85">
        <v>271.91147808914349</v>
      </c>
      <c r="E85">
        <v>1.9891937999999527</v>
      </c>
      <c r="F85">
        <v>269.25028428914351</v>
      </c>
      <c r="G85">
        <v>271.19847808914346</v>
      </c>
      <c r="H85">
        <v>1.9481937999999559</v>
      </c>
      <c r="I85">
        <v>267.2083111891435</v>
      </c>
      <c r="J85">
        <v>267.09253998914352</v>
      </c>
      <c r="K85">
        <v>4.1059380999999462</v>
      </c>
      <c r="L85">
        <v>16.3459191</v>
      </c>
      <c r="M85">
        <f t="shared" si="13"/>
        <v>258680</v>
      </c>
      <c r="N85" s="18">
        <f t="shared" si="14"/>
        <v>1147253.2</v>
      </c>
      <c r="O85" s="17">
        <f t="shared" si="15"/>
        <v>269.92200000000003</v>
      </c>
      <c r="P85" s="17">
        <f t="shared" si="16"/>
        <v>271.911</v>
      </c>
      <c r="Q85" s="17">
        <f t="shared" si="17"/>
        <v>1.9890000000000001</v>
      </c>
      <c r="R85" s="17">
        <f t="shared" si="18"/>
        <v>269.25</v>
      </c>
      <c r="S85" s="17">
        <f t="shared" si="19"/>
        <v>271.19799999999998</v>
      </c>
      <c r="T85" s="17">
        <f t="shared" si="20"/>
        <v>1.948</v>
      </c>
      <c r="U85" s="17">
        <f t="shared" si="21"/>
        <v>267.20800000000003</v>
      </c>
      <c r="V85" s="17">
        <f t="shared" si="22"/>
        <v>267.09300000000002</v>
      </c>
      <c r="W85" s="17">
        <f t="shared" si="23"/>
        <v>4.1059999999999999</v>
      </c>
      <c r="X85" s="17">
        <f t="shared" si="24"/>
        <v>16.346</v>
      </c>
    </row>
    <row r="86" spans="1:24" x14ac:dyDescent="0.35">
      <c r="A86">
        <v>258700</v>
      </c>
      <c r="B86">
        <v>1147273.4394644522</v>
      </c>
      <c r="C86">
        <v>269.92762098855627</v>
      </c>
      <c r="D86">
        <v>271.99265688855633</v>
      </c>
      <c r="E86">
        <v>2.0650359000000549</v>
      </c>
      <c r="F86">
        <v>269.25562098855625</v>
      </c>
      <c r="G86">
        <v>271.2796568885563</v>
      </c>
      <c r="H86">
        <v>2.0240359000000581</v>
      </c>
      <c r="I86">
        <v>267.36383418855632</v>
      </c>
      <c r="J86">
        <v>267.44891868855632</v>
      </c>
      <c r="K86">
        <v>3.8307381999999848</v>
      </c>
      <c r="L86">
        <v>16.674838600000001</v>
      </c>
      <c r="M86">
        <f t="shared" si="13"/>
        <v>258700</v>
      </c>
      <c r="N86" s="18">
        <f t="shared" si="14"/>
        <v>1147273.3999999999</v>
      </c>
      <c r="O86" s="17">
        <f t="shared" si="15"/>
        <v>269.928</v>
      </c>
      <c r="P86" s="17">
        <f t="shared" si="16"/>
        <v>271.99299999999999</v>
      </c>
      <c r="Q86" s="17">
        <f t="shared" si="17"/>
        <v>2.0649999999999999</v>
      </c>
      <c r="R86" s="17">
        <f t="shared" si="18"/>
        <v>269.25599999999997</v>
      </c>
      <c r="S86" s="17">
        <f t="shared" si="19"/>
        <v>271.27999999999997</v>
      </c>
      <c r="T86" s="17">
        <f t="shared" si="20"/>
        <v>2.024</v>
      </c>
      <c r="U86" s="17">
        <f t="shared" si="21"/>
        <v>267.36399999999998</v>
      </c>
      <c r="V86" s="17">
        <f t="shared" si="22"/>
        <v>267.44900000000001</v>
      </c>
      <c r="W86" s="17">
        <f t="shared" si="23"/>
        <v>3.831</v>
      </c>
      <c r="X86" s="17">
        <f t="shared" si="24"/>
        <v>16.675000000000001</v>
      </c>
    </row>
    <row r="87" spans="1:24" x14ac:dyDescent="0.35">
      <c r="A87">
        <v>258720</v>
      </c>
      <c r="B87">
        <v>1147293.6174045433</v>
      </c>
      <c r="C87">
        <v>269.93585400750004</v>
      </c>
      <c r="D87">
        <v>272.07362190750007</v>
      </c>
      <c r="E87">
        <v>2.1377679000000285</v>
      </c>
      <c r="F87">
        <v>269.26385400750002</v>
      </c>
      <c r="G87">
        <v>271.36062190750005</v>
      </c>
      <c r="H87">
        <v>2.0967679000000317</v>
      </c>
      <c r="I87">
        <v>267.71631860750006</v>
      </c>
      <c r="J87">
        <v>267.80266140750007</v>
      </c>
      <c r="K87">
        <v>3.5579604999999788</v>
      </c>
      <c r="L87">
        <v>16.691705599999999</v>
      </c>
      <c r="M87">
        <f t="shared" si="13"/>
        <v>258720</v>
      </c>
      <c r="N87" s="18">
        <f t="shared" si="14"/>
        <v>1147293.6000000001</v>
      </c>
      <c r="O87" s="17">
        <f t="shared" si="15"/>
        <v>269.93599999999998</v>
      </c>
      <c r="P87" s="17">
        <f t="shared" si="16"/>
        <v>272.07400000000001</v>
      </c>
      <c r="Q87" s="17">
        <f t="shared" si="17"/>
        <v>2.1379999999999999</v>
      </c>
      <c r="R87" s="17">
        <f t="shared" si="18"/>
        <v>269.26400000000001</v>
      </c>
      <c r="S87" s="17">
        <f t="shared" si="19"/>
        <v>271.36099999999999</v>
      </c>
      <c r="T87" s="17">
        <f t="shared" si="20"/>
        <v>2.097</v>
      </c>
      <c r="U87" s="17">
        <f t="shared" si="21"/>
        <v>267.71600000000001</v>
      </c>
      <c r="V87" s="17">
        <f t="shared" si="22"/>
        <v>267.803</v>
      </c>
      <c r="W87" s="17">
        <f t="shared" si="23"/>
        <v>3.5579999999999998</v>
      </c>
      <c r="X87" s="17">
        <f t="shared" si="24"/>
        <v>16.692</v>
      </c>
    </row>
    <row r="88" spans="1:24" x14ac:dyDescent="0.35">
      <c r="A88">
        <v>258740</v>
      </c>
      <c r="B88">
        <v>1147313.7074548553</v>
      </c>
      <c r="C88">
        <v>269.94984736419974</v>
      </c>
      <c r="D88">
        <v>272.15423426419977</v>
      </c>
      <c r="E88">
        <v>2.2043869000000313</v>
      </c>
      <c r="F88">
        <v>269.27784736419972</v>
      </c>
      <c r="G88">
        <v>271.44123426419975</v>
      </c>
      <c r="H88">
        <v>2.1633869000000345</v>
      </c>
      <c r="I88">
        <v>269.22144676419975</v>
      </c>
      <c r="J88">
        <v>267.94120876419976</v>
      </c>
      <c r="K88">
        <v>3.5000254999999925</v>
      </c>
      <c r="L88">
        <v>16.751974199999999</v>
      </c>
      <c r="M88">
        <f t="shared" si="13"/>
        <v>258740</v>
      </c>
      <c r="N88" s="18">
        <f t="shared" si="14"/>
        <v>1147313.7</v>
      </c>
      <c r="O88" s="17">
        <f t="shared" si="15"/>
        <v>269.95</v>
      </c>
      <c r="P88" s="17">
        <f t="shared" si="16"/>
        <v>272.154</v>
      </c>
      <c r="Q88" s="17">
        <f t="shared" si="17"/>
        <v>2.2040000000000002</v>
      </c>
      <c r="R88" s="17">
        <f t="shared" si="18"/>
        <v>269.27800000000002</v>
      </c>
      <c r="S88" s="17">
        <f t="shared" si="19"/>
        <v>271.44099999999997</v>
      </c>
      <c r="T88" s="17">
        <f t="shared" si="20"/>
        <v>2.1629999999999998</v>
      </c>
      <c r="U88" s="17">
        <f t="shared" si="21"/>
        <v>269.221</v>
      </c>
      <c r="V88" s="17">
        <f t="shared" si="22"/>
        <v>267.94099999999997</v>
      </c>
      <c r="W88" s="17">
        <f t="shared" si="23"/>
        <v>3.5</v>
      </c>
      <c r="X88" s="17">
        <f t="shared" si="24"/>
        <v>16.751999999999999</v>
      </c>
    </row>
    <row r="89" spans="1:24" x14ac:dyDescent="0.35">
      <c r="A89">
        <v>258760</v>
      </c>
      <c r="B89">
        <v>1147333.8866359752</v>
      </c>
      <c r="C89">
        <v>269.93074326283505</v>
      </c>
      <c r="D89">
        <v>272.23520426283505</v>
      </c>
      <c r="E89">
        <v>2.3044610000000034</v>
      </c>
      <c r="F89">
        <v>269.25874326283503</v>
      </c>
      <c r="G89">
        <v>271.52220426283503</v>
      </c>
      <c r="H89">
        <v>2.2634610000000066</v>
      </c>
      <c r="I89">
        <v>267.07452266283502</v>
      </c>
      <c r="J89">
        <v>266.86564366283505</v>
      </c>
      <c r="K89">
        <v>4.6565605999999775</v>
      </c>
      <c r="L89">
        <v>16.7556966</v>
      </c>
      <c r="M89">
        <f t="shared" si="13"/>
        <v>258760</v>
      </c>
      <c r="N89" s="18">
        <f t="shared" si="14"/>
        <v>1147333.8999999999</v>
      </c>
      <c r="O89" s="17">
        <f t="shared" si="15"/>
        <v>269.93099999999998</v>
      </c>
      <c r="P89" s="17">
        <f t="shared" si="16"/>
        <v>272.23500000000001</v>
      </c>
      <c r="Q89" s="17">
        <f t="shared" si="17"/>
        <v>2.3039999999999998</v>
      </c>
      <c r="R89" s="17">
        <f t="shared" si="18"/>
        <v>269.25900000000001</v>
      </c>
      <c r="S89" s="17">
        <f t="shared" si="19"/>
        <v>271.52199999999999</v>
      </c>
      <c r="T89" s="17">
        <f t="shared" si="20"/>
        <v>2.2629999999999999</v>
      </c>
      <c r="U89" s="17">
        <f t="shared" si="21"/>
        <v>267.07499999999999</v>
      </c>
      <c r="V89" s="17">
        <f t="shared" si="22"/>
        <v>266.86599999999999</v>
      </c>
      <c r="W89" s="17">
        <f t="shared" si="23"/>
        <v>4.657</v>
      </c>
      <c r="X89" s="17">
        <f t="shared" si="24"/>
        <v>16.756</v>
      </c>
    </row>
    <row r="90" spans="1:24" x14ac:dyDescent="0.35">
      <c r="A90">
        <v>258780</v>
      </c>
      <c r="B90">
        <v>1147353.9734938333</v>
      </c>
      <c r="C90">
        <v>269.94625770964996</v>
      </c>
      <c r="D90">
        <v>272.31580380964994</v>
      </c>
      <c r="E90">
        <v>2.3695460999999796</v>
      </c>
      <c r="F90">
        <v>269.27425770964993</v>
      </c>
      <c r="G90">
        <v>271.60280380964991</v>
      </c>
      <c r="H90">
        <v>2.3285460999999827</v>
      </c>
      <c r="I90">
        <v>267.51906510964994</v>
      </c>
      <c r="J90">
        <v>267.23258660964996</v>
      </c>
      <c r="K90">
        <v>4.3702171999999564</v>
      </c>
      <c r="L90">
        <v>16.6613088</v>
      </c>
      <c r="M90">
        <f t="shared" si="13"/>
        <v>258780</v>
      </c>
      <c r="N90" s="18">
        <f t="shared" si="14"/>
        <v>1147354</v>
      </c>
      <c r="O90" s="17">
        <f t="shared" si="15"/>
        <v>269.94600000000003</v>
      </c>
      <c r="P90" s="17">
        <f t="shared" si="16"/>
        <v>272.31599999999997</v>
      </c>
      <c r="Q90" s="17">
        <f t="shared" si="17"/>
        <v>2.37</v>
      </c>
      <c r="R90" s="17">
        <f t="shared" si="18"/>
        <v>269.274</v>
      </c>
      <c r="S90" s="17">
        <f t="shared" si="19"/>
        <v>271.60300000000001</v>
      </c>
      <c r="T90" s="17">
        <f t="shared" si="20"/>
        <v>2.3290000000000002</v>
      </c>
      <c r="U90" s="17">
        <f t="shared" si="21"/>
        <v>267.51900000000001</v>
      </c>
      <c r="V90" s="17">
        <f t="shared" si="22"/>
        <v>267.233</v>
      </c>
      <c r="W90" s="17">
        <f t="shared" si="23"/>
        <v>4.37</v>
      </c>
      <c r="X90" s="17">
        <f t="shared" si="24"/>
        <v>16.661000000000001</v>
      </c>
    </row>
    <row r="91" spans="1:24" x14ac:dyDescent="0.35">
      <c r="A91">
        <v>258800</v>
      </c>
      <c r="B91">
        <v>1147374.1855689855</v>
      </c>
      <c r="C91">
        <v>269.91609729727605</v>
      </c>
      <c r="D91">
        <v>272.39690579727602</v>
      </c>
      <c r="E91">
        <v>2.4808084999999664</v>
      </c>
      <c r="F91">
        <v>269.24409729727603</v>
      </c>
      <c r="G91">
        <v>271.683905797276</v>
      </c>
      <c r="H91">
        <v>2.4398084999999696</v>
      </c>
      <c r="I91">
        <v>267.51570649727603</v>
      </c>
      <c r="J91">
        <v>267.37817689727603</v>
      </c>
      <c r="K91">
        <v>4.3057288999999628</v>
      </c>
      <c r="L91">
        <v>16.533557399999999</v>
      </c>
      <c r="M91">
        <f t="shared" si="13"/>
        <v>258800</v>
      </c>
      <c r="N91" s="18">
        <f t="shared" si="14"/>
        <v>1147374.2</v>
      </c>
      <c r="O91" s="17">
        <f t="shared" si="15"/>
        <v>269.916</v>
      </c>
      <c r="P91" s="17">
        <f t="shared" si="16"/>
        <v>272.39699999999999</v>
      </c>
      <c r="Q91" s="17">
        <f t="shared" si="17"/>
        <v>2.4809999999999999</v>
      </c>
      <c r="R91" s="17">
        <f t="shared" si="18"/>
        <v>269.24400000000003</v>
      </c>
      <c r="S91" s="17">
        <f t="shared" si="19"/>
        <v>271.68400000000003</v>
      </c>
      <c r="T91" s="17">
        <f t="shared" si="20"/>
        <v>2.44</v>
      </c>
      <c r="U91" s="17">
        <f t="shared" si="21"/>
        <v>267.51600000000002</v>
      </c>
      <c r="V91" s="17">
        <f t="shared" si="22"/>
        <v>267.37799999999999</v>
      </c>
      <c r="W91" s="17">
        <f t="shared" si="23"/>
        <v>4.306</v>
      </c>
      <c r="X91" s="17">
        <f t="shared" si="24"/>
        <v>16.533999999999999</v>
      </c>
    </row>
    <row r="92" spans="1:24" x14ac:dyDescent="0.35">
      <c r="A92">
        <v>258820</v>
      </c>
      <c r="B92">
        <v>1147394.3112869449</v>
      </c>
      <c r="C92">
        <v>269.90545017223917</v>
      </c>
      <c r="D92">
        <v>272.47766127223917</v>
      </c>
      <c r="E92">
        <v>2.5722111000000041</v>
      </c>
      <c r="F92">
        <v>269.23345017223915</v>
      </c>
      <c r="G92">
        <v>271.76466127223915</v>
      </c>
      <c r="H92">
        <v>2.5312111000000073</v>
      </c>
      <c r="I92">
        <v>267.26291177223914</v>
      </c>
      <c r="J92">
        <v>267.10111717223913</v>
      </c>
      <c r="K92">
        <v>4.6635441000000242</v>
      </c>
      <c r="L92">
        <v>16.336340700000001</v>
      </c>
      <c r="M92">
        <f t="shared" si="13"/>
        <v>258820</v>
      </c>
      <c r="N92" s="18">
        <f t="shared" si="14"/>
        <v>1147394.3</v>
      </c>
      <c r="O92" s="17">
        <f t="shared" si="15"/>
        <v>269.90499999999997</v>
      </c>
      <c r="P92" s="17">
        <f t="shared" si="16"/>
        <v>272.47800000000001</v>
      </c>
      <c r="Q92" s="17">
        <f t="shared" si="17"/>
        <v>2.5720000000000001</v>
      </c>
      <c r="R92" s="17">
        <f t="shared" si="18"/>
        <v>269.233</v>
      </c>
      <c r="S92" s="17">
        <f t="shared" si="19"/>
        <v>271.76499999999999</v>
      </c>
      <c r="T92" s="17">
        <f t="shared" si="20"/>
        <v>2.5310000000000001</v>
      </c>
      <c r="U92" s="17">
        <f t="shared" si="21"/>
        <v>267.26299999999998</v>
      </c>
      <c r="V92" s="17">
        <f t="shared" si="22"/>
        <v>267.101</v>
      </c>
      <c r="W92" s="17">
        <f t="shared" si="23"/>
        <v>4.6639999999999997</v>
      </c>
      <c r="X92" s="17">
        <f t="shared" si="24"/>
        <v>16.335999999999999</v>
      </c>
    </row>
    <row r="93" spans="1:24" x14ac:dyDescent="0.35">
      <c r="A93">
        <v>258840</v>
      </c>
      <c r="B93">
        <v>1147414.4648947048</v>
      </c>
      <c r="C93">
        <v>269.93350845645642</v>
      </c>
      <c r="D93">
        <v>272.55852865645642</v>
      </c>
      <c r="E93">
        <v>2.6250201999999945</v>
      </c>
      <c r="F93">
        <v>269.2615084564564</v>
      </c>
      <c r="G93">
        <v>271.84552865645639</v>
      </c>
      <c r="H93">
        <v>2.5840201999999977</v>
      </c>
      <c r="I93">
        <v>267.13914175645641</v>
      </c>
      <c r="J93">
        <v>267.33462025645639</v>
      </c>
      <c r="K93">
        <v>4.5109084000000053</v>
      </c>
      <c r="L93">
        <v>16.079230599999999</v>
      </c>
      <c r="M93">
        <f t="shared" si="13"/>
        <v>258840</v>
      </c>
      <c r="N93" s="18">
        <f t="shared" si="14"/>
        <v>1147414.5</v>
      </c>
      <c r="O93" s="17">
        <f t="shared" si="15"/>
        <v>269.93400000000003</v>
      </c>
      <c r="P93" s="17">
        <f t="shared" si="16"/>
        <v>272.55900000000003</v>
      </c>
      <c r="Q93" s="17">
        <f t="shared" si="17"/>
        <v>2.625</v>
      </c>
      <c r="R93" s="17">
        <f t="shared" si="18"/>
        <v>269.262</v>
      </c>
      <c r="S93" s="17">
        <f t="shared" si="19"/>
        <v>271.846</v>
      </c>
      <c r="T93" s="17">
        <f t="shared" si="20"/>
        <v>2.5840000000000001</v>
      </c>
      <c r="U93" s="17">
        <f t="shared" si="21"/>
        <v>267.13900000000001</v>
      </c>
      <c r="V93" s="17">
        <f t="shared" si="22"/>
        <v>267.33499999999998</v>
      </c>
      <c r="W93" s="17">
        <f t="shared" si="23"/>
        <v>4.5110000000000001</v>
      </c>
      <c r="X93" s="17">
        <f t="shared" si="24"/>
        <v>16.079000000000001</v>
      </c>
    </row>
    <row r="94" spans="1:24" x14ac:dyDescent="0.35">
      <c r="A94">
        <v>258860</v>
      </c>
      <c r="B94">
        <v>1147434.6116416196</v>
      </c>
      <c r="C94">
        <v>269.94648271118132</v>
      </c>
      <c r="D94">
        <v>272.63936851118132</v>
      </c>
      <c r="E94">
        <v>2.6928857999999991</v>
      </c>
      <c r="F94">
        <v>269.27448271118129</v>
      </c>
      <c r="G94">
        <v>271.92636851118129</v>
      </c>
      <c r="H94">
        <v>2.6518858000000023</v>
      </c>
      <c r="I94">
        <v>267.01067791118135</v>
      </c>
      <c r="J94">
        <v>266.97374081118136</v>
      </c>
      <c r="K94">
        <v>4.9526276999999368</v>
      </c>
      <c r="L94">
        <v>15.773637900000001</v>
      </c>
      <c r="M94">
        <f t="shared" si="13"/>
        <v>258860</v>
      </c>
      <c r="N94" s="18">
        <f t="shared" si="14"/>
        <v>1147434.6000000001</v>
      </c>
      <c r="O94" s="17">
        <f t="shared" si="15"/>
        <v>269.94600000000003</v>
      </c>
      <c r="P94" s="17">
        <f t="shared" si="16"/>
        <v>272.63900000000001</v>
      </c>
      <c r="Q94" s="17">
        <f t="shared" si="17"/>
        <v>2.6930000000000001</v>
      </c>
      <c r="R94" s="17">
        <f t="shared" si="18"/>
        <v>269.274</v>
      </c>
      <c r="S94" s="17">
        <f t="shared" si="19"/>
        <v>271.92599999999999</v>
      </c>
      <c r="T94" s="17">
        <f t="shared" si="20"/>
        <v>2.6520000000000001</v>
      </c>
      <c r="U94" s="17">
        <f t="shared" si="21"/>
        <v>267.01100000000002</v>
      </c>
      <c r="V94" s="17">
        <f t="shared" si="22"/>
        <v>266.97399999999999</v>
      </c>
      <c r="W94" s="17">
        <f t="shared" si="23"/>
        <v>4.9530000000000003</v>
      </c>
      <c r="X94" s="17">
        <f t="shared" si="24"/>
        <v>15.773999999999999</v>
      </c>
    </row>
    <row r="95" spans="1:24" x14ac:dyDescent="0.35">
      <c r="A95">
        <v>258880</v>
      </c>
      <c r="B95">
        <v>1147454.742018264</v>
      </c>
      <c r="C95">
        <v>269.97505677935703</v>
      </c>
      <c r="D95">
        <v>272.72014267935708</v>
      </c>
      <c r="E95">
        <v>2.7450859000000492</v>
      </c>
      <c r="F95">
        <v>269.30305677935701</v>
      </c>
      <c r="G95">
        <v>272.00714267935706</v>
      </c>
      <c r="H95">
        <v>2.7040859000000523</v>
      </c>
      <c r="I95">
        <v>266.89905257935703</v>
      </c>
      <c r="J95">
        <v>266.81829957935707</v>
      </c>
      <c r="K95">
        <v>5.1888430999999855</v>
      </c>
      <c r="L95">
        <v>15.4357761</v>
      </c>
      <c r="M95">
        <f t="shared" si="13"/>
        <v>258880</v>
      </c>
      <c r="N95" s="18">
        <f t="shared" si="14"/>
        <v>1147454.7</v>
      </c>
      <c r="O95" s="17">
        <f t="shared" si="15"/>
        <v>269.97500000000002</v>
      </c>
      <c r="P95" s="17">
        <f t="shared" si="16"/>
        <v>272.72000000000003</v>
      </c>
      <c r="Q95" s="17">
        <f t="shared" si="17"/>
        <v>2.7450000000000001</v>
      </c>
      <c r="R95" s="17">
        <f t="shared" si="18"/>
        <v>269.303</v>
      </c>
      <c r="S95" s="17">
        <f t="shared" si="19"/>
        <v>272.00700000000001</v>
      </c>
      <c r="T95" s="17">
        <f t="shared" si="20"/>
        <v>2.7040000000000002</v>
      </c>
      <c r="U95" s="17">
        <f t="shared" si="21"/>
        <v>266.899</v>
      </c>
      <c r="V95" s="17">
        <f t="shared" si="22"/>
        <v>266.81799999999998</v>
      </c>
      <c r="W95" s="17">
        <f t="shared" si="23"/>
        <v>5.1890000000000001</v>
      </c>
      <c r="X95" s="17">
        <f t="shared" si="24"/>
        <v>15.436</v>
      </c>
    </row>
    <row r="96" spans="1:24" x14ac:dyDescent="0.35">
      <c r="A96">
        <v>258900</v>
      </c>
      <c r="B96">
        <v>1147474.8182248629</v>
      </c>
      <c r="C96">
        <v>270.01997398744834</v>
      </c>
      <c r="D96">
        <v>272.80069948744836</v>
      </c>
      <c r="E96">
        <v>2.7807255000000168</v>
      </c>
      <c r="F96">
        <v>269.34797398744831</v>
      </c>
      <c r="G96">
        <v>272.08769948744833</v>
      </c>
      <c r="H96">
        <v>2.73972550000002</v>
      </c>
      <c r="I96">
        <v>266.77946538744834</v>
      </c>
      <c r="J96">
        <v>266.64870358744832</v>
      </c>
      <c r="K96">
        <v>5.438995900000009</v>
      </c>
      <c r="L96">
        <v>15.096639100000001</v>
      </c>
      <c r="M96">
        <f t="shared" si="13"/>
        <v>258900</v>
      </c>
      <c r="N96" s="18">
        <f t="shared" si="14"/>
        <v>1147474.8</v>
      </c>
      <c r="O96" s="17">
        <f t="shared" si="15"/>
        <v>270.02</v>
      </c>
      <c r="P96" s="17">
        <f t="shared" si="16"/>
        <v>272.80099999999999</v>
      </c>
      <c r="Q96" s="17">
        <f t="shared" si="17"/>
        <v>2.7810000000000001</v>
      </c>
      <c r="R96" s="17">
        <f t="shared" si="18"/>
        <v>269.34800000000001</v>
      </c>
      <c r="S96" s="17">
        <f t="shared" si="19"/>
        <v>272.08800000000002</v>
      </c>
      <c r="T96" s="17">
        <f t="shared" si="20"/>
        <v>2.74</v>
      </c>
      <c r="U96" s="17">
        <f t="shared" si="21"/>
        <v>266.779</v>
      </c>
      <c r="V96" s="17">
        <f t="shared" si="22"/>
        <v>266.649</v>
      </c>
      <c r="W96" s="17">
        <f t="shared" si="23"/>
        <v>5.4390000000000001</v>
      </c>
      <c r="X96" s="17">
        <f t="shared" si="24"/>
        <v>15.097</v>
      </c>
    </row>
    <row r="97" spans="1:24" x14ac:dyDescent="0.35">
      <c r="A97">
        <v>258920</v>
      </c>
      <c r="B97">
        <v>1147494.8969196596</v>
      </c>
      <c r="C97">
        <v>270.04984157956068</v>
      </c>
      <c r="D97">
        <v>272.88126627956069</v>
      </c>
      <c r="E97">
        <v>2.8314247000000137</v>
      </c>
      <c r="F97">
        <v>269.37784157956065</v>
      </c>
      <c r="G97">
        <v>272.16826627956067</v>
      </c>
      <c r="H97">
        <v>2.7904247000000169</v>
      </c>
      <c r="I97">
        <v>266.67482007956067</v>
      </c>
      <c r="J97">
        <v>266.65555337956067</v>
      </c>
      <c r="K97">
        <v>5.5127128999999968</v>
      </c>
      <c r="L97">
        <v>14.781773599999999</v>
      </c>
      <c r="M97">
        <f t="shared" si="13"/>
        <v>258920</v>
      </c>
      <c r="N97" s="18">
        <f t="shared" si="14"/>
        <v>1147494.8999999999</v>
      </c>
      <c r="O97" s="17">
        <f t="shared" si="15"/>
        <v>270.05</v>
      </c>
      <c r="P97" s="17">
        <f t="shared" si="16"/>
        <v>272.88099999999997</v>
      </c>
      <c r="Q97" s="17">
        <f t="shared" si="17"/>
        <v>2.831</v>
      </c>
      <c r="R97" s="17">
        <f t="shared" si="18"/>
        <v>269.37799999999999</v>
      </c>
      <c r="S97" s="17">
        <f t="shared" si="19"/>
        <v>272.16800000000001</v>
      </c>
      <c r="T97" s="17">
        <f t="shared" si="20"/>
        <v>2.79</v>
      </c>
      <c r="U97" s="17">
        <f t="shared" si="21"/>
        <v>266.67500000000001</v>
      </c>
      <c r="V97" s="17">
        <f t="shared" si="22"/>
        <v>266.65600000000001</v>
      </c>
      <c r="W97" s="17">
        <f t="shared" si="23"/>
        <v>5.5129999999999999</v>
      </c>
      <c r="X97" s="17">
        <f t="shared" si="24"/>
        <v>14.782</v>
      </c>
    </row>
    <row r="98" spans="1:24" x14ac:dyDescent="0.35">
      <c r="A98">
        <v>258940</v>
      </c>
      <c r="B98">
        <v>1147514.932827363</v>
      </c>
      <c r="C98">
        <v>270.04169528626829</v>
      </c>
      <c r="D98">
        <v>272.9616613862683</v>
      </c>
      <c r="E98">
        <v>2.9199661000000106</v>
      </c>
      <c r="F98">
        <v>269.36969528626827</v>
      </c>
      <c r="G98">
        <v>272.24866138626828</v>
      </c>
      <c r="H98">
        <v>2.8789661000000137</v>
      </c>
      <c r="I98">
        <v>266.84101148626831</v>
      </c>
      <c r="J98">
        <v>266.67990088626829</v>
      </c>
      <c r="K98">
        <v>5.5687604999999962</v>
      </c>
      <c r="L98">
        <v>14.5429391</v>
      </c>
      <c r="M98">
        <f t="shared" si="13"/>
        <v>258940</v>
      </c>
      <c r="N98" s="18">
        <f t="shared" si="14"/>
        <v>1147514.8999999999</v>
      </c>
      <c r="O98" s="17">
        <f t="shared" si="15"/>
        <v>270.04199999999997</v>
      </c>
      <c r="P98" s="17">
        <f t="shared" si="16"/>
        <v>272.96199999999999</v>
      </c>
      <c r="Q98" s="17">
        <f t="shared" si="17"/>
        <v>2.92</v>
      </c>
      <c r="R98" s="17">
        <f t="shared" si="18"/>
        <v>269.37</v>
      </c>
      <c r="S98" s="17">
        <f t="shared" si="19"/>
        <v>272.24900000000002</v>
      </c>
      <c r="T98" s="17">
        <f t="shared" si="20"/>
        <v>2.879</v>
      </c>
      <c r="U98" s="17">
        <f t="shared" si="21"/>
        <v>266.84100000000001</v>
      </c>
      <c r="V98" s="17">
        <f t="shared" si="22"/>
        <v>266.68</v>
      </c>
      <c r="W98" s="17">
        <f t="shared" si="23"/>
        <v>5.569</v>
      </c>
      <c r="X98" s="17">
        <f t="shared" si="24"/>
        <v>14.542999999999999</v>
      </c>
    </row>
    <row r="99" spans="1:24" x14ac:dyDescent="0.35">
      <c r="A99">
        <v>258960</v>
      </c>
      <c r="B99">
        <v>1147534.9404532146</v>
      </c>
      <c r="C99">
        <v>270.0273634105954</v>
      </c>
      <c r="D99">
        <v>273.04194301059539</v>
      </c>
      <c r="E99">
        <v>3.0145795999999905</v>
      </c>
      <c r="F99">
        <v>269.35536341059537</v>
      </c>
      <c r="G99">
        <v>272.32894301059537</v>
      </c>
      <c r="H99">
        <v>2.9735795999999937</v>
      </c>
      <c r="I99">
        <v>266.6511560105954</v>
      </c>
      <c r="J99">
        <v>266.59091521059537</v>
      </c>
      <c r="K99">
        <v>5.7380277999999976</v>
      </c>
      <c r="L99">
        <v>14.3417849</v>
      </c>
      <c r="M99">
        <f t="shared" si="13"/>
        <v>258960</v>
      </c>
      <c r="N99" s="18">
        <f t="shared" si="14"/>
        <v>1147534.8999999999</v>
      </c>
      <c r="O99" s="17">
        <f t="shared" si="15"/>
        <v>270.02699999999999</v>
      </c>
      <c r="P99" s="17">
        <f t="shared" si="16"/>
        <v>273.04199999999997</v>
      </c>
      <c r="Q99" s="17">
        <f t="shared" si="17"/>
        <v>3.0150000000000001</v>
      </c>
      <c r="R99" s="17">
        <f t="shared" si="18"/>
        <v>269.35500000000002</v>
      </c>
      <c r="S99" s="17">
        <f t="shared" si="19"/>
        <v>272.32900000000001</v>
      </c>
      <c r="T99" s="17">
        <f t="shared" si="20"/>
        <v>2.9740000000000002</v>
      </c>
      <c r="U99" s="17">
        <f t="shared" si="21"/>
        <v>266.65100000000001</v>
      </c>
      <c r="V99" s="17">
        <f t="shared" si="22"/>
        <v>266.59100000000001</v>
      </c>
      <c r="W99" s="17">
        <f t="shared" si="23"/>
        <v>5.7380000000000004</v>
      </c>
      <c r="X99" s="17">
        <f t="shared" si="24"/>
        <v>14.342000000000001</v>
      </c>
    </row>
    <row r="100" spans="1:24" x14ac:dyDescent="0.35">
      <c r="A100">
        <v>258975.33286550001</v>
      </c>
      <c r="B100">
        <v>1147550.277</v>
      </c>
      <c r="C100">
        <v>270.01203299072858</v>
      </c>
      <c r="D100">
        <v>273.10348169072859</v>
      </c>
      <c r="E100">
        <v>3.0914487000000008</v>
      </c>
      <c r="F100">
        <v>269.34003299072856</v>
      </c>
      <c r="G100">
        <v>272.39048169072856</v>
      </c>
      <c r="H100">
        <v>3.050448700000004</v>
      </c>
      <c r="I100">
        <v>266.39044019072861</v>
      </c>
      <c r="J100">
        <v>266.21884209072863</v>
      </c>
      <c r="K100">
        <v>6.1716395999999349</v>
      </c>
      <c r="L100">
        <v>14.1933112</v>
      </c>
      <c r="M100">
        <f t="shared" si="13"/>
        <v>258975.33286550001</v>
      </c>
      <c r="N100" s="18">
        <f t="shared" si="14"/>
        <v>1147550.3</v>
      </c>
      <c r="O100" s="17">
        <f t="shared" si="15"/>
        <v>270.012</v>
      </c>
      <c r="P100" s="17">
        <f t="shared" si="16"/>
        <v>273.10300000000001</v>
      </c>
      <c r="Q100" s="17">
        <f t="shared" si="17"/>
        <v>3.0910000000000002</v>
      </c>
      <c r="R100" s="17">
        <f t="shared" si="18"/>
        <v>269.33999999999997</v>
      </c>
      <c r="S100" s="17">
        <f t="shared" si="19"/>
        <v>272.39</v>
      </c>
      <c r="T100" s="17">
        <f t="shared" si="20"/>
        <v>3.05</v>
      </c>
      <c r="U100" s="17">
        <f t="shared" si="21"/>
        <v>266.39</v>
      </c>
      <c r="V100" s="17">
        <f t="shared" si="22"/>
        <v>266.21899999999999</v>
      </c>
      <c r="W100" s="17">
        <f t="shared" si="23"/>
        <v>6.1719999999999997</v>
      </c>
      <c r="X100" s="17">
        <f t="shared" si="24"/>
        <v>14.193</v>
      </c>
    </row>
    <row r="101" spans="1:24" x14ac:dyDescent="0.35">
      <c r="A101">
        <v>259000</v>
      </c>
      <c r="B101">
        <v>1147550.277</v>
      </c>
      <c r="C101">
        <v>270.01203299072858</v>
      </c>
      <c r="D101">
        <v>273.10348169072859</v>
      </c>
      <c r="E101">
        <v>3.0914487000000008</v>
      </c>
      <c r="F101">
        <v>269.34003299072856</v>
      </c>
      <c r="G101">
        <v>272.39048169072856</v>
      </c>
      <c r="H101">
        <v>3.050448700000004</v>
      </c>
      <c r="I101">
        <v>266.39044019072861</v>
      </c>
      <c r="J101">
        <v>266.21884209072863</v>
      </c>
      <c r="K101">
        <v>6.1716395999999349</v>
      </c>
      <c r="L101">
        <v>14.0293528</v>
      </c>
      <c r="M101">
        <f t="shared" si="13"/>
        <v>259000</v>
      </c>
      <c r="N101" s="18">
        <f t="shared" si="14"/>
        <v>1147550.3</v>
      </c>
      <c r="O101" s="17">
        <f t="shared" si="15"/>
        <v>270.012</v>
      </c>
      <c r="P101" s="17">
        <f t="shared" si="16"/>
        <v>273.10300000000001</v>
      </c>
      <c r="Q101" s="17">
        <f t="shared" si="17"/>
        <v>3.0910000000000002</v>
      </c>
      <c r="R101" s="17">
        <f t="shared" si="18"/>
        <v>269.33999999999997</v>
      </c>
      <c r="S101" s="17">
        <f t="shared" si="19"/>
        <v>272.39</v>
      </c>
      <c r="T101" s="17">
        <f t="shared" si="20"/>
        <v>3.05</v>
      </c>
      <c r="U101" s="17">
        <f t="shared" si="21"/>
        <v>266.39</v>
      </c>
      <c r="V101" s="17">
        <f t="shared" si="22"/>
        <v>266.21899999999999</v>
      </c>
      <c r="W101" s="17">
        <f t="shared" si="23"/>
        <v>6.1719999999999997</v>
      </c>
      <c r="X101" s="17">
        <f t="shared" si="24"/>
        <v>14.029</v>
      </c>
    </row>
    <row r="102" spans="1:24" x14ac:dyDescent="0.35">
      <c r="A102">
        <v>259020</v>
      </c>
      <c r="B102">
        <v>1147570.3020136503</v>
      </c>
      <c r="C102">
        <v>269.98968978448949</v>
      </c>
      <c r="D102">
        <v>273.18383308448949</v>
      </c>
      <c r="E102">
        <v>3.1941433000000075</v>
      </c>
      <c r="F102">
        <v>269.31768978448946</v>
      </c>
      <c r="G102">
        <v>272.47083308448947</v>
      </c>
      <c r="H102">
        <v>3.1531433000000106</v>
      </c>
      <c r="I102">
        <v>266.42088478448949</v>
      </c>
      <c r="J102">
        <v>265.79189888448951</v>
      </c>
      <c r="K102">
        <v>6.6789341999999579</v>
      </c>
      <c r="L102">
        <v>14.0293528</v>
      </c>
      <c r="M102">
        <f t="shared" si="13"/>
        <v>259020</v>
      </c>
      <c r="N102" s="18">
        <f t="shared" si="14"/>
        <v>1147570.3</v>
      </c>
      <c r="O102" s="17">
        <f t="shared" si="15"/>
        <v>269.99</v>
      </c>
      <c r="P102" s="17">
        <f t="shared" si="16"/>
        <v>273.18400000000003</v>
      </c>
      <c r="Q102" s="17">
        <f t="shared" si="17"/>
        <v>3.194</v>
      </c>
      <c r="R102" s="17">
        <f t="shared" si="18"/>
        <v>269.31799999999998</v>
      </c>
      <c r="S102" s="17">
        <f t="shared" si="19"/>
        <v>272.471</v>
      </c>
      <c r="T102" s="17">
        <f t="shared" si="20"/>
        <v>3.153</v>
      </c>
      <c r="U102" s="17">
        <f t="shared" si="21"/>
        <v>266.42099999999999</v>
      </c>
      <c r="V102" s="17">
        <f t="shared" si="22"/>
        <v>265.79199999999997</v>
      </c>
      <c r="W102" s="17">
        <f t="shared" si="23"/>
        <v>6.6790000000000003</v>
      </c>
      <c r="X102" s="17">
        <f t="shared" si="24"/>
        <v>14.029</v>
      </c>
    </row>
    <row r="103" spans="1:24" x14ac:dyDescent="0.35">
      <c r="A103">
        <v>259040</v>
      </c>
      <c r="B103">
        <v>1147590.2998975876</v>
      </c>
      <c r="C103">
        <v>269.98022541888633</v>
      </c>
      <c r="D103">
        <v>273.26407561888635</v>
      </c>
      <c r="E103">
        <v>3.2838502000000176</v>
      </c>
      <c r="F103">
        <v>269.30822541888631</v>
      </c>
      <c r="G103">
        <v>272.55107561888633</v>
      </c>
      <c r="H103">
        <v>3.2428502000000208</v>
      </c>
      <c r="I103">
        <v>266.51480581888637</v>
      </c>
      <c r="J103">
        <v>265.90319281888634</v>
      </c>
      <c r="K103">
        <v>6.6478827999999908</v>
      </c>
      <c r="L103">
        <v>13.866786899999999</v>
      </c>
      <c r="M103">
        <f t="shared" si="13"/>
        <v>259040</v>
      </c>
      <c r="N103" s="18">
        <f t="shared" si="14"/>
        <v>1147590.3</v>
      </c>
      <c r="O103" s="17">
        <f t="shared" si="15"/>
        <v>269.98</v>
      </c>
      <c r="P103" s="17">
        <f t="shared" si="16"/>
        <v>273.26400000000001</v>
      </c>
      <c r="Q103" s="17">
        <f t="shared" si="17"/>
        <v>3.2839999999999998</v>
      </c>
      <c r="R103" s="17">
        <f t="shared" si="18"/>
        <v>269.30799999999999</v>
      </c>
      <c r="S103" s="17">
        <f t="shared" si="19"/>
        <v>272.55099999999999</v>
      </c>
      <c r="T103" s="17">
        <f t="shared" si="20"/>
        <v>3.2429999999999999</v>
      </c>
      <c r="U103" s="17">
        <f t="shared" si="21"/>
        <v>266.51499999999999</v>
      </c>
      <c r="V103" s="17">
        <f t="shared" si="22"/>
        <v>265.90300000000002</v>
      </c>
      <c r="W103" s="17">
        <f t="shared" si="23"/>
        <v>6.6479999999999997</v>
      </c>
      <c r="X103" s="17">
        <f t="shared" si="24"/>
        <v>13.867000000000001</v>
      </c>
    </row>
    <row r="104" spans="1:24" x14ac:dyDescent="0.35">
      <c r="A104">
        <v>259060</v>
      </c>
      <c r="B104">
        <v>1147610.3180123777</v>
      </c>
      <c r="C104">
        <v>269.97841743061701</v>
      </c>
      <c r="D104">
        <v>273.34439933061702</v>
      </c>
      <c r="E104">
        <v>3.3659819000000084</v>
      </c>
      <c r="F104">
        <v>269.30641743061699</v>
      </c>
      <c r="G104">
        <v>272.631399330617</v>
      </c>
      <c r="H104">
        <v>3.3249819000000116</v>
      </c>
      <c r="I104">
        <v>266.60702523061701</v>
      </c>
      <c r="J104">
        <v>265.73214533061702</v>
      </c>
      <c r="K104">
        <v>6.8992539999999849</v>
      </c>
      <c r="L104">
        <v>13.7240837</v>
      </c>
      <c r="M104">
        <f t="shared" si="13"/>
        <v>259060</v>
      </c>
      <c r="N104" s="18">
        <f t="shared" si="14"/>
        <v>1147610.3</v>
      </c>
      <c r="O104" s="17">
        <f t="shared" si="15"/>
        <v>269.97800000000001</v>
      </c>
      <c r="P104" s="17">
        <f t="shared" si="16"/>
        <v>273.34399999999999</v>
      </c>
      <c r="Q104" s="17">
        <f t="shared" si="17"/>
        <v>3.3660000000000001</v>
      </c>
      <c r="R104" s="17">
        <f t="shared" si="18"/>
        <v>269.30599999999998</v>
      </c>
      <c r="S104" s="17">
        <f t="shared" si="19"/>
        <v>272.63099999999997</v>
      </c>
      <c r="T104" s="17">
        <f t="shared" si="20"/>
        <v>3.3250000000000002</v>
      </c>
      <c r="U104" s="17">
        <f t="shared" si="21"/>
        <v>266.60700000000003</v>
      </c>
      <c r="V104" s="17">
        <f t="shared" si="22"/>
        <v>265.73200000000003</v>
      </c>
      <c r="W104" s="17">
        <f t="shared" si="23"/>
        <v>6.899</v>
      </c>
      <c r="X104" s="17">
        <f t="shared" si="24"/>
        <v>13.724</v>
      </c>
    </row>
    <row r="105" spans="1:24" x14ac:dyDescent="0.35">
      <c r="A105">
        <v>259080</v>
      </c>
      <c r="B105">
        <v>1147630.2962719761</v>
      </c>
      <c r="C105">
        <v>269.96972242134791</v>
      </c>
      <c r="D105">
        <v>273.42456312134789</v>
      </c>
      <c r="E105">
        <v>3.454840699999977</v>
      </c>
      <c r="F105">
        <v>269.29772242134788</v>
      </c>
      <c r="G105">
        <v>272.71156312134787</v>
      </c>
      <c r="H105">
        <v>3.4138406999999802</v>
      </c>
      <c r="I105">
        <v>266.72221772134787</v>
      </c>
      <c r="J105">
        <v>266.13489452134786</v>
      </c>
      <c r="K105">
        <v>6.576668600000005</v>
      </c>
      <c r="L105">
        <v>13.5622609</v>
      </c>
      <c r="M105">
        <f t="shared" si="13"/>
        <v>259080</v>
      </c>
      <c r="N105" s="18">
        <f t="shared" si="14"/>
        <v>1147630.3</v>
      </c>
      <c r="O105" s="17">
        <f t="shared" si="15"/>
        <v>269.97000000000003</v>
      </c>
      <c r="P105" s="17">
        <f t="shared" si="16"/>
        <v>273.42500000000001</v>
      </c>
      <c r="Q105" s="17">
        <f t="shared" si="17"/>
        <v>3.4550000000000001</v>
      </c>
      <c r="R105" s="17">
        <f t="shared" si="18"/>
        <v>269.298</v>
      </c>
      <c r="S105" s="17">
        <f t="shared" si="19"/>
        <v>272.71199999999999</v>
      </c>
      <c r="T105" s="17">
        <f t="shared" si="20"/>
        <v>3.4140000000000001</v>
      </c>
      <c r="U105" s="17">
        <f t="shared" si="21"/>
        <v>266.72199999999998</v>
      </c>
      <c r="V105" s="17">
        <f t="shared" si="22"/>
        <v>266.13499999999999</v>
      </c>
      <c r="W105" s="17">
        <f t="shared" si="23"/>
        <v>6.577</v>
      </c>
      <c r="X105" s="17">
        <f t="shared" si="24"/>
        <v>13.561999999999999</v>
      </c>
    </row>
    <row r="106" spans="1:24" x14ac:dyDescent="0.35">
      <c r="A106">
        <v>259100</v>
      </c>
      <c r="B106">
        <v>1147650.3198559561</v>
      </c>
      <c r="C106">
        <v>269.94795327848357</v>
      </c>
      <c r="D106">
        <v>273.50490877848358</v>
      </c>
      <c r="E106">
        <v>3.556955500000015</v>
      </c>
      <c r="F106">
        <v>269.27595327848354</v>
      </c>
      <c r="G106">
        <v>272.79190877848356</v>
      </c>
      <c r="H106">
        <v>3.5159555000000182</v>
      </c>
      <c r="I106">
        <v>266.84542017848355</v>
      </c>
      <c r="J106">
        <v>266.06721537848358</v>
      </c>
      <c r="K106">
        <v>6.7246933999999783</v>
      </c>
      <c r="L106">
        <v>13.4160947</v>
      </c>
      <c r="M106">
        <f t="shared" si="13"/>
        <v>259100</v>
      </c>
      <c r="N106" s="18">
        <f t="shared" si="14"/>
        <v>1147650.3</v>
      </c>
      <c r="O106" s="17">
        <f t="shared" si="15"/>
        <v>269.94799999999998</v>
      </c>
      <c r="P106" s="17">
        <f t="shared" si="16"/>
        <v>273.505</v>
      </c>
      <c r="Q106" s="17">
        <f t="shared" si="17"/>
        <v>3.5569999999999999</v>
      </c>
      <c r="R106" s="17">
        <f t="shared" si="18"/>
        <v>269.27600000000001</v>
      </c>
      <c r="S106" s="17">
        <f t="shared" si="19"/>
        <v>272.79199999999997</v>
      </c>
      <c r="T106" s="17">
        <f t="shared" si="20"/>
        <v>3.516</v>
      </c>
      <c r="U106" s="17">
        <f t="shared" si="21"/>
        <v>266.84500000000003</v>
      </c>
      <c r="V106" s="17">
        <f t="shared" si="22"/>
        <v>266.06700000000001</v>
      </c>
      <c r="W106" s="17">
        <f t="shared" si="23"/>
        <v>6.7249999999999996</v>
      </c>
      <c r="X106" s="17">
        <f t="shared" si="24"/>
        <v>13.416</v>
      </c>
    </row>
    <row r="107" spans="1:24" x14ac:dyDescent="0.35">
      <c r="A107">
        <v>259120</v>
      </c>
      <c r="B107">
        <v>1147670.3231355089</v>
      </c>
      <c r="C107">
        <v>269.93515196306413</v>
      </c>
      <c r="D107">
        <v>273.58517296306411</v>
      </c>
      <c r="E107">
        <v>3.6500209999999811</v>
      </c>
      <c r="F107">
        <v>269.2631519630641</v>
      </c>
      <c r="G107">
        <v>272.87217296306409</v>
      </c>
      <c r="H107">
        <v>3.6090209999999843</v>
      </c>
      <c r="I107">
        <v>266.86061756306412</v>
      </c>
      <c r="J107">
        <v>266.05365676306411</v>
      </c>
      <c r="K107">
        <v>6.8185161999999764</v>
      </c>
      <c r="L107">
        <v>13.2828354</v>
      </c>
      <c r="M107">
        <f t="shared" si="13"/>
        <v>259120</v>
      </c>
      <c r="N107" s="18">
        <f t="shared" si="14"/>
        <v>1147670.3</v>
      </c>
      <c r="O107" s="17">
        <f t="shared" si="15"/>
        <v>269.935</v>
      </c>
      <c r="P107" s="17">
        <f t="shared" si="16"/>
        <v>273.58499999999998</v>
      </c>
      <c r="Q107" s="17">
        <f t="shared" si="17"/>
        <v>3.65</v>
      </c>
      <c r="R107" s="17">
        <f t="shared" si="18"/>
        <v>269.26299999999998</v>
      </c>
      <c r="S107" s="17">
        <f t="shared" si="19"/>
        <v>272.87200000000001</v>
      </c>
      <c r="T107" s="17">
        <f t="shared" si="20"/>
        <v>3.609</v>
      </c>
      <c r="U107" s="17">
        <f t="shared" si="21"/>
        <v>266.86099999999999</v>
      </c>
      <c r="V107" s="17">
        <f t="shared" si="22"/>
        <v>266.05399999999997</v>
      </c>
      <c r="W107" s="17">
        <f t="shared" si="23"/>
        <v>6.819</v>
      </c>
      <c r="X107" s="17">
        <f t="shared" si="24"/>
        <v>13.282999999999999</v>
      </c>
    </row>
    <row r="108" spans="1:24" x14ac:dyDescent="0.35">
      <c r="A108">
        <v>259140</v>
      </c>
      <c r="B108">
        <v>1147690.3301623899</v>
      </c>
      <c r="C108">
        <v>269.93548158399102</v>
      </c>
      <c r="D108">
        <v>273.66545218399108</v>
      </c>
      <c r="E108">
        <v>3.7299706000000583</v>
      </c>
      <c r="F108">
        <v>269.26348158399099</v>
      </c>
      <c r="G108">
        <v>272.95245218399106</v>
      </c>
      <c r="H108">
        <v>3.6889706000000615</v>
      </c>
      <c r="I108">
        <v>266.54315408399106</v>
      </c>
      <c r="J108">
        <v>266.10068608399104</v>
      </c>
      <c r="K108">
        <v>6.8517661000000203</v>
      </c>
      <c r="L108">
        <v>13.158103300000001</v>
      </c>
      <c r="M108">
        <f t="shared" si="13"/>
        <v>259140</v>
      </c>
      <c r="N108" s="18">
        <f t="shared" si="14"/>
        <v>1147690.3</v>
      </c>
      <c r="O108" s="17">
        <f t="shared" si="15"/>
        <v>269.935</v>
      </c>
      <c r="P108" s="17">
        <f t="shared" si="16"/>
        <v>273.66500000000002</v>
      </c>
      <c r="Q108" s="17">
        <f t="shared" si="17"/>
        <v>3.73</v>
      </c>
      <c r="R108" s="17">
        <f t="shared" si="18"/>
        <v>269.26299999999998</v>
      </c>
      <c r="S108" s="17">
        <f t="shared" si="19"/>
        <v>272.952</v>
      </c>
      <c r="T108" s="17">
        <f t="shared" si="20"/>
        <v>3.6890000000000001</v>
      </c>
      <c r="U108" s="17">
        <f t="shared" si="21"/>
        <v>266.54300000000001</v>
      </c>
      <c r="V108" s="17">
        <f t="shared" si="22"/>
        <v>266.101</v>
      </c>
      <c r="W108" s="17">
        <f t="shared" si="23"/>
        <v>6.8520000000000003</v>
      </c>
      <c r="X108" s="17">
        <f t="shared" si="24"/>
        <v>13.157999999999999</v>
      </c>
    </row>
    <row r="109" spans="1:24" x14ac:dyDescent="0.35">
      <c r="A109">
        <v>259160</v>
      </c>
      <c r="B109">
        <v>1147710.2991050321</v>
      </c>
      <c r="C109">
        <v>269.9545967899578</v>
      </c>
      <c r="D109">
        <v>273.7455785899578</v>
      </c>
      <c r="E109">
        <v>3.7909817999999973</v>
      </c>
      <c r="F109">
        <v>269.28259678995778</v>
      </c>
      <c r="G109">
        <v>273.03257858995778</v>
      </c>
      <c r="H109">
        <v>3.7499818000000005</v>
      </c>
      <c r="I109">
        <v>266.60667438995779</v>
      </c>
      <c r="J109">
        <v>266.2928757899578</v>
      </c>
      <c r="K109">
        <v>6.739702799999975</v>
      </c>
      <c r="L109">
        <v>12.9987224</v>
      </c>
      <c r="M109">
        <f t="shared" si="13"/>
        <v>259160</v>
      </c>
      <c r="N109" s="18">
        <f t="shared" si="14"/>
        <v>1147710.3</v>
      </c>
      <c r="O109" s="17">
        <f t="shared" si="15"/>
        <v>269.95499999999998</v>
      </c>
      <c r="P109" s="17">
        <f t="shared" si="16"/>
        <v>273.74599999999998</v>
      </c>
      <c r="Q109" s="17">
        <f t="shared" si="17"/>
        <v>3.7909999999999999</v>
      </c>
      <c r="R109" s="17">
        <f t="shared" si="18"/>
        <v>269.28300000000002</v>
      </c>
      <c r="S109" s="17">
        <f t="shared" si="19"/>
        <v>273.03300000000002</v>
      </c>
      <c r="T109" s="17">
        <f t="shared" si="20"/>
        <v>3.75</v>
      </c>
      <c r="U109" s="17">
        <f t="shared" si="21"/>
        <v>266.60700000000003</v>
      </c>
      <c r="V109" s="17">
        <f t="shared" si="22"/>
        <v>266.29300000000001</v>
      </c>
      <c r="W109" s="17">
        <f t="shared" si="23"/>
        <v>6.74</v>
      </c>
      <c r="X109" s="17">
        <f t="shared" si="24"/>
        <v>12.999000000000001</v>
      </c>
    </row>
    <row r="110" spans="1:24" x14ac:dyDescent="0.35">
      <c r="A110">
        <v>259180</v>
      </c>
      <c r="B110">
        <v>1147730.3135788152</v>
      </c>
      <c r="C110">
        <v>269.95226329196123</v>
      </c>
      <c r="D110">
        <v>273.82588769196121</v>
      </c>
      <c r="E110">
        <v>3.8736243999999829</v>
      </c>
      <c r="F110">
        <v>269.28026329196121</v>
      </c>
      <c r="G110">
        <v>273.11288769196119</v>
      </c>
      <c r="H110">
        <v>3.8326243999999861</v>
      </c>
      <c r="I110">
        <v>266.86006189196121</v>
      </c>
      <c r="J110">
        <v>266.28468749196122</v>
      </c>
      <c r="K110">
        <v>6.8282001999999693</v>
      </c>
      <c r="L110">
        <v>12.8451349</v>
      </c>
      <c r="M110">
        <f t="shared" si="13"/>
        <v>259180</v>
      </c>
      <c r="N110" s="18">
        <f t="shared" si="14"/>
        <v>1147730.3</v>
      </c>
      <c r="O110" s="17">
        <f t="shared" si="15"/>
        <v>269.952</v>
      </c>
      <c r="P110" s="17">
        <f t="shared" si="16"/>
        <v>273.82600000000002</v>
      </c>
      <c r="Q110" s="17">
        <f t="shared" si="17"/>
        <v>3.8740000000000001</v>
      </c>
      <c r="R110" s="17">
        <f t="shared" si="18"/>
        <v>269.27999999999997</v>
      </c>
      <c r="S110" s="17">
        <f t="shared" si="19"/>
        <v>273.113</v>
      </c>
      <c r="T110" s="17">
        <f t="shared" si="20"/>
        <v>3.8330000000000002</v>
      </c>
      <c r="U110" s="17">
        <f t="shared" si="21"/>
        <v>266.86</v>
      </c>
      <c r="V110" s="17">
        <f t="shared" si="22"/>
        <v>266.28500000000003</v>
      </c>
      <c r="W110" s="17">
        <f t="shared" si="23"/>
        <v>6.8280000000000003</v>
      </c>
      <c r="X110" s="17">
        <f t="shared" si="24"/>
        <v>12.845000000000001</v>
      </c>
    </row>
    <row r="111" spans="1:24" x14ac:dyDescent="0.35">
      <c r="A111">
        <v>259200</v>
      </c>
      <c r="B111">
        <v>1147750.2964938516</v>
      </c>
      <c r="C111">
        <v>269.90862366287581</v>
      </c>
      <c r="D111">
        <v>273.90607016287578</v>
      </c>
      <c r="E111">
        <v>3.9974464999999668</v>
      </c>
      <c r="F111">
        <v>269.23662366287579</v>
      </c>
      <c r="G111">
        <v>273.19307016287576</v>
      </c>
      <c r="H111">
        <v>3.95644649999997</v>
      </c>
      <c r="I111">
        <v>267.25728936287578</v>
      </c>
      <c r="J111">
        <v>266.34685646287579</v>
      </c>
      <c r="K111">
        <v>6.8462136999999643</v>
      </c>
      <c r="L111">
        <v>12.664605</v>
      </c>
      <c r="M111">
        <f t="shared" si="13"/>
        <v>259200</v>
      </c>
      <c r="N111" s="18">
        <f t="shared" si="14"/>
        <v>1147750.3</v>
      </c>
      <c r="O111" s="17">
        <f t="shared" si="15"/>
        <v>269.90899999999999</v>
      </c>
      <c r="P111" s="17">
        <f t="shared" si="16"/>
        <v>273.90600000000001</v>
      </c>
      <c r="Q111" s="17">
        <f t="shared" si="17"/>
        <v>3.9969999999999999</v>
      </c>
      <c r="R111" s="17">
        <f t="shared" si="18"/>
        <v>269.23700000000002</v>
      </c>
      <c r="S111" s="17">
        <f t="shared" si="19"/>
        <v>273.19299999999998</v>
      </c>
      <c r="T111" s="17">
        <f t="shared" si="20"/>
        <v>3.956</v>
      </c>
      <c r="U111" s="17">
        <f t="shared" si="21"/>
        <v>267.25700000000001</v>
      </c>
      <c r="V111" s="17">
        <f t="shared" si="22"/>
        <v>266.34699999999998</v>
      </c>
      <c r="W111" s="17">
        <f t="shared" si="23"/>
        <v>6.8460000000000001</v>
      </c>
      <c r="X111" s="17">
        <f t="shared" si="24"/>
        <v>12.664999999999999</v>
      </c>
    </row>
    <row r="112" spans="1:24" x14ac:dyDescent="0.35">
      <c r="A112">
        <v>259220</v>
      </c>
      <c r="B112">
        <v>1147770.2972759339</v>
      </c>
      <c r="C112">
        <v>269.87603592622804</v>
      </c>
      <c r="D112">
        <v>273.98632432622804</v>
      </c>
      <c r="E112">
        <v>4.1102884000000017</v>
      </c>
      <c r="F112">
        <v>269.20403592622802</v>
      </c>
      <c r="G112">
        <v>273.27332432622802</v>
      </c>
      <c r="H112">
        <v>4.0692884000000049</v>
      </c>
      <c r="I112">
        <v>267.26766912622804</v>
      </c>
      <c r="J112">
        <v>266.34861522622805</v>
      </c>
      <c r="K112">
        <v>6.9247090999999728</v>
      </c>
      <c r="L112">
        <v>12.4877319</v>
      </c>
      <c r="M112">
        <f t="shared" si="13"/>
        <v>259220</v>
      </c>
      <c r="N112" s="18">
        <f t="shared" si="14"/>
        <v>1147770.3</v>
      </c>
      <c r="O112" s="17">
        <f t="shared" si="15"/>
        <v>269.87599999999998</v>
      </c>
      <c r="P112" s="17">
        <f t="shared" si="16"/>
        <v>273.98599999999999</v>
      </c>
      <c r="Q112" s="17">
        <f t="shared" si="17"/>
        <v>4.1100000000000003</v>
      </c>
      <c r="R112" s="17">
        <f t="shared" si="18"/>
        <v>269.20400000000001</v>
      </c>
      <c r="S112" s="17">
        <f t="shared" si="19"/>
        <v>273.27300000000002</v>
      </c>
      <c r="T112" s="17">
        <f t="shared" si="20"/>
        <v>4.069</v>
      </c>
      <c r="U112" s="17">
        <f t="shared" si="21"/>
        <v>267.26799999999997</v>
      </c>
      <c r="V112" s="17">
        <f t="shared" si="22"/>
        <v>266.34899999999999</v>
      </c>
      <c r="W112" s="17">
        <f t="shared" si="23"/>
        <v>6.9249999999999998</v>
      </c>
      <c r="X112" s="17">
        <f t="shared" si="24"/>
        <v>12.488</v>
      </c>
    </row>
    <row r="113" spans="1:24" x14ac:dyDescent="0.35">
      <c r="A113">
        <v>259240</v>
      </c>
      <c r="B113">
        <v>1147790.3240838216</v>
      </c>
      <c r="C113">
        <v>269.84693951945849</v>
      </c>
      <c r="D113">
        <v>274.06668291945851</v>
      </c>
      <c r="E113">
        <v>4.2197434000000271</v>
      </c>
      <c r="F113">
        <v>269.17493951945846</v>
      </c>
      <c r="G113">
        <v>273.35368291945849</v>
      </c>
      <c r="H113">
        <v>4.1787434000000303</v>
      </c>
      <c r="I113">
        <v>267.22883341945851</v>
      </c>
      <c r="J113">
        <v>266.97755801945851</v>
      </c>
      <c r="K113">
        <v>6.3761248999999793</v>
      </c>
      <c r="L113">
        <v>12.351763200000001</v>
      </c>
      <c r="M113">
        <f t="shared" si="13"/>
        <v>259240</v>
      </c>
      <c r="N113" s="18">
        <f t="shared" si="14"/>
        <v>1147790.3</v>
      </c>
      <c r="O113" s="17">
        <f t="shared" si="15"/>
        <v>269.84699999999998</v>
      </c>
      <c r="P113" s="17">
        <f t="shared" si="16"/>
        <v>274.06700000000001</v>
      </c>
      <c r="Q113" s="17">
        <f t="shared" si="17"/>
        <v>4.22</v>
      </c>
      <c r="R113" s="17">
        <f t="shared" si="18"/>
        <v>269.17500000000001</v>
      </c>
      <c r="S113" s="17">
        <f t="shared" si="19"/>
        <v>273.35399999999998</v>
      </c>
      <c r="T113" s="17">
        <f t="shared" si="20"/>
        <v>4.1790000000000003</v>
      </c>
      <c r="U113" s="17">
        <f t="shared" si="21"/>
        <v>267.22899999999998</v>
      </c>
      <c r="V113" s="17">
        <f t="shared" si="22"/>
        <v>266.97800000000001</v>
      </c>
      <c r="W113" s="17">
        <f t="shared" si="23"/>
        <v>6.3760000000000003</v>
      </c>
      <c r="X113" s="17">
        <f t="shared" si="24"/>
        <v>12.352</v>
      </c>
    </row>
    <row r="114" spans="1:24" x14ac:dyDescent="0.35">
      <c r="A114">
        <v>259260</v>
      </c>
      <c r="B114">
        <v>1147810.2798594034</v>
      </c>
      <c r="C114">
        <v>269.80741849192026</v>
      </c>
      <c r="D114">
        <v>274.14675649192026</v>
      </c>
      <c r="E114">
        <v>4.3393379999999979</v>
      </c>
      <c r="F114">
        <v>269.13541849192023</v>
      </c>
      <c r="G114">
        <v>273.43375649192024</v>
      </c>
      <c r="H114">
        <v>4.2983380000000011</v>
      </c>
      <c r="I114">
        <v>267.20017779192028</v>
      </c>
      <c r="J114">
        <v>268.28674569192026</v>
      </c>
      <c r="K114">
        <v>5.1470107999999755</v>
      </c>
      <c r="L114">
        <v>12.244812700000001</v>
      </c>
      <c r="M114">
        <f t="shared" si="13"/>
        <v>259260</v>
      </c>
      <c r="N114" s="18">
        <f t="shared" si="14"/>
        <v>1147810.3</v>
      </c>
      <c r="O114" s="17">
        <f t="shared" si="15"/>
        <v>269.80700000000002</v>
      </c>
      <c r="P114" s="17">
        <f t="shared" si="16"/>
        <v>274.14699999999999</v>
      </c>
      <c r="Q114" s="17">
        <f t="shared" si="17"/>
        <v>4.3390000000000004</v>
      </c>
      <c r="R114" s="17">
        <f t="shared" si="18"/>
        <v>269.13499999999999</v>
      </c>
      <c r="S114" s="17">
        <f t="shared" si="19"/>
        <v>273.43400000000003</v>
      </c>
      <c r="T114" s="17">
        <f t="shared" si="20"/>
        <v>4.298</v>
      </c>
      <c r="U114" s="17">
        <f t="shared" si="21"/>
        <v>267.2</v>
      </c>
      <c r="V114" s="17">
        <f t="shared" si="22"/>
        <v>268.28699999999998</v>
      </c>
      <c r="W114" s="17">
        <f t="shared" si="23"/>
        <v>5.1470000000000002</v>
      </c>
      <c r="X114" s="17">
        <f t="shared" si="24"/>
        <v>12.244999999999999</v>
      </c>
    </row>
    <row r="115" spans="1:24" x14ac:dyDescent="0.35">
      <c r="A115">
        <v>259280</v>
      </c>
      <c r="B115">
        <v>1147830.2972906642</v>
      </c>
      <c r="C115">
        <v>269.7773163609545</v>
      </c>
      <c r="D115">
        <v>274.22707746095455</v>
      </c>
      <c r="E115">
        <v>4.4497611000000461</v>
      </c>
      <c r="F115">
        <v>269.10531636095448</v>
      </c>
      <c r="G115">
        <v>273.51407746095452</v>
      </c>
      <c r="H115">
        <v>4.4087611000000493</v>
      </c>
      <c r="I115">
        <v>267.20811966095454</v>
      </c>
      <c r="J115">
        <v>267.97547026095452</v>
      </c>
      <c r="K115">
        <v>5.5386072000000013</v>
      </c>
      <c r="L115">
        <v>12.044444500000001</v>
      </c>
      <c r="M115">
        <f t="shared" si="13"/>
        <v>259280</v>
      </c>
      <c r="N115" s="18">
        <f t="shared" si="14"/>
        <v>1147830.3</v>
      </c>
      <c r="O115" s="17">
        <f t="shared" si="15"/>
        <v>269.77699999999999</v>
      </c>
      <c r="P115" s="17">
        <f t="shared" si="16"/>
        <v>274.22699999999998</v>
      </c>
      <c r="Q115" s="17">
        <f t="shared" si="17"/>
        <v>4.45</v>
      </c>
      <c r="R115" s="17">
        <f t="shared" si="18"/>
        <v>269.10500000000002</v>
      </c>
      <c r="S115" s="17">
        <f t="shared" si="19"/>
        <v>273.51400000000001</v>
      </c>
      <c r="T115" s="17">
        <f t="shared" si="20"/>
        <v>4.4089999999999998</v>
      </c>
      <c r="U115" s="17">
        <f t="shared" si="21"/>
        <v>267.20800000000003</v>
      </c>
      <c r="V115" s="17">
        <f t="shared" si="22"/>
        <v>267.97500000000002</v>
      </c>
      <c r="W115" s="17">
        <f t="shared" si="23"/>
        <v>5.5389999999999997</v>
      </c>
      <c r="X115" s="17">
        <f t="shared" si="24"/>
        <v>12.044</v>
      </c>
    </row>
    <row r="116" spans="1:24" x14ac:dyDescent="0.35">
      <c r="A116">
        <v>259300</v>
      </c>
      <c r="B116">
        <v>1147850.3072684202</v>
      </c>
      <c r="C116">
        <v>269.77330222241909</v>
      </c>
      <c r="D116">
        <v>274.3073685224191</v>
      </c>
      <c r="E116">
        <v>4.5340663000000063</v>
      </c>
      <c r="F116">
        <v>269.10130222241906</v>
      </c>
      <c r="G116">
        <v>273.59436852241907</v>
      </c>
      <c r="H116">
        <v>4.4930663000000095</v>
      </c>
      <c r="I116">
        <v>267.32602372241911</v>
      </c>
      <c r="J116">
        <v>267.6994052224191</v>
      </c>
      <c r="K116">
        <v>5.8949632999999722</v>
      </c>
      <c r="L116">
        <v>11.8726767</v>
      </c>
      <c r="M116">
        <f t="shared" si="13"/>
        <v>259300</v>
      </c>
      <c r="N116" s="18">
        <f t="shared" si="14"/>
        <v>1147850.3</v>
      </c>
      <c r="O116" s="17">
        <f t="shared" si="15"/>
        <v>269.77300000000002</v>
      </c>
      <c r="P116" s="17">
        <f t="shared" si="16"/>
        <v>274.30700000000002</v>
      </c>
      <c r="Q116" s="17">
        <f t="shared" si="17"/>
        <v>4.5339999999999998</v>
      </c>
      <c r="R116" s="17">
        <f t="shared" si="18"/>
        <v>269.101</v>
      </c>
      <c r="S116" s="17">
        <f t="shared" si="19"/>
        <v>273.59399999999999</v>
      </c>
      <c r="T116" s="17">
        <f t="shared" si="20"/>
        <v>4.4930000000000003</v>
      </c>
      <c r="U116" s="17">
        <f t="shared" si="21"/>
        <v>267.32600000000002</v>
      </c>
      <c r="V116" s="17">
        <f t="shared" si="22"/>
        <v>267.69900000000001</v>
      </c>
      <c r="W116" s="17">
        <f t="shared" si="23"/>
        <v>5.8949999999999996</v>
      </c>
      <c r="X116" s="17">
        <f t="shared" si="24"/>
        <v>11.872999999999999</v>
      </c>
    </row>
    <row r="117" spans="1:24" x14ac:dyDescent="0.35">
      <c r="A117">
        <v>259320</v>
      </c>
      <c r="B117">
        <v>1147870.3206428762</v>
      </c>
      <c r="C117">
        <v>269.78726501331613</v>
      </c>
      <c r="D117">
        <v>274.38767321331613</v>
      </c>
      <c r="E117">
        <v>4.6004082000000039</v>
      </c>
      <c r="F117">
        <v>269.1152650133161</v>
      </c>
      <c r="G117">
        <v>273.67467321331611</v>
      </c>
      <c r="H117">
        <v>4.5594082000000071</v>
      </c>
      <c r="I117">
        <v>267.74736101331609</v>
      </c>
      <c r="J117">
        <v>267.9662655133161</v>
      </c>
      <c r="K117">
        <v>5.7084077000000093</v>
      </c>
      <c r="L117">
        <v>11.721569499999999</v>
      </c>
      <c r="M117">
        <f t="shared" si="13"/>
        <v>259320</v>
      </c>
      <c r="N117" s="18">
        <f t="shared" si="14"/>
        <v>1147870.3</v>
      </c>
      <c r="O117" s="17">
        <f t="shared" si="15"/>
        <v>269.78699999999998</v>
      </c>
      <c r="P117" s="17">
        <f t="shared" si="16"/>
        <v>274.38799999999998</v>
      </c>
      <c r="Q117" s="17">
        <f t="shared" si="17"/>
        <v>4.5999999999999996</v>
      </c>
      <c r="R117" s="17">
        <f t="shared" si="18"/>
        <v>269.11500000000001</v>
      </c>
      <c r="S117" s="17">
        <f t="shared" si="19"/>
        <v>273.67500000000001</v>
      </c>
      <c r="T117" s="17">
        <f t="shared" si="20"/>
        <v>4.5590000000000002</v>
      </c>
      <c r="U117" s="17">
        <f t="shared" si="21"/>
        <v>267.74700000000001</v>
      </c>
      <c r="V117" s="17">
        <f t="shared" si="22"/>
        <v>267.96600000000001</v>
      </c>
      <c r="W117" s="17">
        <f t="shared" si="23"/>
        <v>5.7080000000000002</v>
      </c>
      <c r="X117" s="17">
        <f t="shared" si="24"/>
        <v>11.722</v>
      </c>
    </row>
    <row r="118" spans="1:24" x14ac:dyDescent="0.35">
      <c r="A118">
        <v>259340</v>
      </c>
      <c r="B118">
        <v>1147890.2942752033</v>
      </c>
      <c r="C118">
        <v>269.81502853688363</v>
      </c>
      <c r="D118">
        <v>274.46781843688365</v>
      </c>
      <c r="E118">
        <v>4.6527899000000161</v>
      </c>
      <c r="F118">
        <v>269.14302853688361</v>
      </c>
      <c r="G118">
        <v>273.75481843688362</v>
      </c>
      <c r="H118">
        <v>4.6117899000000193</v>
      </c>
      <c r="I118">
        <v>268.79767963688363</v>
      </c>
      <c r="J118">
        <v>267.90809343688363</v>
      </c>
      <c r="K118">
        <v>5.8467249999999922</v>
      </c>
      <c r="L118">
        <v>11.551951799999999</v>
      </c>
      <c r="M118">
        <f t="shared" si="13"/>
        <v>259340</v>
      </c>
      <c r="N118" s="18">
        <f t="shared" si="14"/>
        <v>1147890.3</v>
      </c>
      <c r="O118" s="17">
        <f t="shared" si="15"/>
        <v>269.815</v>
      </c>
      <c r="P118" s="17">
        <f t="shared" si="16"/>
        <v>274.46800000000002</v>
      </c>
      <c r="Q118" s="17">
        <f t="shared" si="17"/>
        <v>4.6529999999999996</v>
      </c>
      <c r="R118" s="17">
        <f t="shared" si="18"/>
        <v>269.14299999999997</v>
      </c>
      <c r="S118" s="17">
        <f t="shared" si="19"/>
        <v>273.755</v>
      </c>
      <c r="T118" s="17">
        <f t="shared" si="20"/>
        <v>4.6120000000000001</v>
      </c>
      <c r="U118" s="17">
        <f t="shared" si="21"/>
        <v>268.798</v>
      </c>
      <c r="V118" s="17">
        <f t="shared" si="22"/>
        <v>267.90800000000002</v>
      </c>
      <c r="W118" s="17">
        <f t="shared" si="23"/>
        <v>5.8470000000000004</v>
      </c>
      <c r="X118" s="17">
        <f t="shared" si="24"/>
        <v>11.552</v>
      </c>
    </row>
    <row r="119" spans="1:24" x14ac:dyDescent="0.35">
      <c r="A119">
        <v>259360</v>
      </c>
      <c r="B119">
        <v>1147910.3247525212</v>
      </c>
      <c r="C119">
        <v>269.83679325389113</v>
      </c>
      <c r="D119">
        <v>274.54819175389116</v>
      </c>
      <c r="E119">
        <v>4.7113985000000298</v>
      </c>
      <c r="F119">
        <v>269.1647932538911</v>
      </c>
      <c r="G119">
        <v>273.83519175389114</v>
      </c>
      <c r="H119">
        <v>4.670398500000033</v>
      </c>
      <c r="I119">
        <v>268.69569885389114</v>
      </c>
      <c r="J119">
        <v>268.15343675389119</v>
      </c>
      <c r="K119">
        <v>5.6817549999999528</v>
      </c>
      <c r="L119">
        <v>11.386009100000001</v>
      </c>
      <c r="M119">
        <f t="shared" si="13"/>
        <v>259360</v>
      </c>
      <c r="N119" s="18">
        <f t="shared" si="14"/>
        <v>1147910.3</v>
      </c>
      <c r="O119" s="17">
        <f t="shared" si="15"/>
        <v>269.83699999999999</v>
      </c>
      <c r="P119" s="17">
        <f t="shared" si="16"/>
        <v>274.548</v>
      </c>
      <c r="Q119" s="17">
        <f t="shared" si="17"/>
        <v>4.7110000000000003</v>
      </c>
      <c r="R119" s="17">
        <f t="shared" si="18"/>
        <v>269.16500000000002</v>
      </c>
      <c r="S119" s="17">
        <f t="shared" si="19"/>
        <v>273.83499999999998</v>
      </c>
      <c r="T119" s="17">
        <f t="shared" si="20"/>
        <v>4.67</v>
      </c>
      <c r="U119" s="17">
        <f t="shared" si="21"/>
        <v>268.69600000000003</v>
      </c>
      <c r="V119" s="17">
        <f t="shared" si="22"/>
        <v>268.15300000000002</v>
      </c>
      <c r="W119" s="17">
        <f t="shared" si="23"/>
        <v>5.6820000000000004</v>
      </c>
      <c r="X119" s="17">
        <f t="shared" si="24"/>
        <v>11.385999999999999</v>
      </c>
    </row>
    <row r="120" spans="1:24" x14ac:dyDescent="0.35">
      <c r="A120">
        <v>259380</v>
      </c>
      <c r="B120">
        <v>1147930.3062320868</v>
      </c>
      <c r="C120">
        <v>269.8432745649057</v>
      </c>
      <c r="D120">
        <v>274.62836846490569</v>
      </c>
      <c r="E120">
        <v>4.7850938999999926</v>
      </c>
      <c r="F120">
        <v>269.17127456490567</v>
      </c>
      <c r="G120">
        <v>273.91536846490567</v>
      </c>
      <c r="H120">
        <v>4.7440938999999958</v>
      </c>
      <c r="I120">
        <v>268.48832986490572</v>
      </c>
      <c r="J120">
        <v>268.23338596490572</v>
      </c>
      <c r="K120">
        <v>5.6819824999999469</v>
      </c>
      <c r="L120">
        <v>11.2352553</v>
      </c>
      <c r="M120">
        <f t="shared" si="13"/>
        <v>259380</v>
      </c>
      <c r="N120" s="18">
        <f t="shared" si="14"/>
        <v>1147930.3</v>
      </c>
      <c r="O120" s="17">
        <f t="shared" si="15"/>
        <v>269.84300000000002</v>
      </c>
      <c r="P120" s="17">
        <f t="shared" si="16"/>
        <v>274.62799999999999</v>
      </c>
      <c r="Q120" s="17">
        <f t="shared" si="17"/>
        <v>4.7850000000000001</v>
      </c>
      <c r="R120" s="17">
        <f t="shared" si="18"/>
        <v>269.17099999999999</v>
      </c>
      <c r="S120" s="17">
        <f t="shared" si="19"/>
        <v>273.91500000000002</v>
      </c>
      <c r="T120" s="17">
        <f t="shared" si="20"/>
        <v>4.7439999999999998</v>
      </c>
      <c r="U120" s="17">
        <f t="shared" si="21"/>
        <v>268.488</v>
      </c>
      <c r="V120" s="17">
        <f t="shared" si="22"/>
        <v>268.233</v>
      </c>
      <c r="W120" s="17">
        <f t="shared" si="23"/>
        <v>5.6820000000000004</v>
      </c>
      <c r="X120" s="17">
        <f t="shared" si="24"/>
        <v>11.234999999999999</v>
      </c>
    </row>
    <row r="121" spans="1:24" x14ac:dyDescent="0.35">
      <c r="A121">
        <v>259400</v>
      </c>
      <c r="B121">
        <v>1147950.3263705596</v>
      </c>
      <c r="C121">
        <v>269.84367529676689</v>
      </c>
      <c r="D121">
        <v>274.70870029676689</v>
      </c>
      <c r="E121">
        <v>4.8650250000000028</v>
      </c>
      <c r="F121">
        <v>269.17167529676686</v>
      </c>
      <c r="G121">
        <v>273.99570029676687</v>
      </c>
      <c r="H121">
        <v>4.824025000000006</v>
      </c>
      <c r="I121">
        <v>268.28086859676688</v>
      </c>
      <c r="J121">
        <v>267.99557949676688</v>
      </c>
      <c r="K121">
        <v>6.0001207999999906</v>
      </c>
      <c r="L121">
        <v>11.0821898</v>
      </c>
      <c r="M121">
        <f t="shared" si="13"/>
        <v>259400</v>
      </c>
      <c r="N121" s="18">
        <f t="shared" si="14"/>
        <v>1147950.3</v>
      </c>
      <c r="O121" s="17">
        <f t="shared" si="15"/>
        <v>269.84399999999999</v>
      </c>
      <c r="P121" s="17">
        <f t="shared" si="16"/>
        <v>274.709</v>
      </c>
      <c r="Q121" s="17">
        <f t="shared" si="17"/>
        <v>4.8650000000000002</v>
      </c>
      <c r="R121" s="17">
        <f t="shared" si="18"/>
        <v>269.17200000000003</v>
      </c>
      <c r="S121" s="17">
        <f t="shared" si="19"/>
        <v>273.99599999999998</v>
      </c>
      <c r="T121" s="17">
        <f t="shared" si="20"/>
        <v>4.8239999999999998</v>
      </c>
      <c r="U121" s="17">
        <f t="shared" si="21"/>
        <v>268.28100000000001</v>
      </c>
      <c r="V121" s="17">
        <f t="shared" si="22"/>
        <v>267.99599999999998</v>
      </c>
      <c r="W121" s="17">
        <f t="shared" si="23"/>
        <v>6</v>
      </c>
      <c r="X121" s="17">
        <f t="shared" si="24"/>
        <v>11.082000000000001</v>
      </c>
    </row>
    <row r="122" spans="1:24" x14ac:dyDescent="0.35">
      <c r="A122">
        <v>259420</v>
      </c>
      <c r="B122">
        <v>1147970.3308463378</v>
      </c>
      <c r="C122">
        <v>269.85438758126315</v>
      </c>
      <c r="D122">
        <v>274.78896928126318</v>
      </c>
      <c r="E122">
        <v>4.9345817000000238</v>
      </c>
      <c r="F122">
        <v>269.18238758126313</v>
      </c>
      <c r="G122">
        <v>274.07596928126316</v>
      </c>
      <c r="H122">
        <v>4.893581700000027</v>
      </c>
      <c r="I122">
        <v>268.35087418126318</v>
      </c>
      <c r="J122">
        <v>268.19673728126315</v>
      </c>
      <c r="K122">
        <v>5.8792320000000018</v>
      </c>
      <c r="L122">
        <v>11.033950900000001</v>
      </c>
      <c r="M122">
        <f t="shared" si="13"/>
        <v>259420</v>
      </c>
      <c r="N122" s="18">
        <f t="shared" si="14"/>
        <v>1147970.3</v>
      </c>
      <c r="O122" s="17">
        <f t="shared" si="15"/>
        <v>269.85399999999998</v>
      </c>
      <c r="P122" s="17">
        <f t="shared" si="16"/>
        <v>274.78899999999999</v>
      </c>
      <c r="Q122" s="17">
        <f t="shared" si="17"/>
        <v>4.9349999999999996</v>
      </c>
      <c r="R122" s="17">
        <f t="shared" si="18"/>
        <v>269.18200000000002</v>
      </c>
      <c r="S122" s="17">
        <f t="shared" si="19"/>
        <v>274.07600000000002</v>
      </c>
      <c r="T122" s="17">
        <f t="shared" si="20"/>
        <v>4.8940000000000001</v>
      </c>
      <c r="U122" s="17">
        <f t="shared" si="21"/>
        <v>268.351</v>
      </c>
      <c r="V122" s="17">
        <f t="shared" si="22"/>
        <v>268.197</v>
      </c>
      <c r="W122" s="17">
        <f t="shared" si="23"/>
        <v>5.8789999999999996</v>
      </c>
      <c r="X122" s="17">
        <f t="shared" si="24"/>
        <v>11.034000000000001</v>
      </c>
    </row>
    <row r="123" spans="1:24" x14ac:dyDescent="0.35">
      <c r="A123">
        <v>259440</v>
      </c>
      <c r="B123">
        <v>1147990.3310812949</v>
      </c>
      <c r="C123">
        <v>269.80478754924741</v>
      </c>
      <c r="D123">
        <v>274.8692212492474</v>
      </c>
      <c r="E123">
        <v>5.064433699999995</v>
      </c>
      <c r="F123">
        <v>269.13278754924738</v>
      </c>
      <c r="G123">
        <v>274.15622124924738</v>
      </c>
      <c r="H123">
        <v>5.0234336999999982</v>
      </c>
      <c r="I123">
        <v>268.47710524924742</v>
      </c>
      <c r="J123">
        <v>268.27099874924744</v>
      </c>
      <c r="K123">
        <v>5.8852224999999407</v>
      </c>
      <c r="L123">
        <v>11.139264600000001</v>
      </c>
      <c r="M123">
        <f t="shared" si="13"/>
        <v>259440</v>
      </c>
      <c r="N123" s="18">
        <f t="shared" si="14"/>
        <v>1147990.3</v>
      </c>
      <c r="O123" s="17">
        <f t="shared" si="15"/>
        <v>269.80500000000001</v>
      </c>
      <c r="P123" s="17">
        <f t="shared" si="16"/>
        <v>274.86900000000003</v>
      </c>
      <c r="Q123" s="17">
        <f t="shared" si="17"/>
        <v>5.0640000000000001</v>
      </c>
      <c r="R123" s="17">
        <f t="shared" si="18"/>
        <v>269.13299999999998</v>
      </c>
      <c r="S123" s="17">
        <f t="shared" si="19"/>
        <v>274.15600000000001</v>
      </c>
      <c r="T123" s="17">
        <f t="shared" si="20"/>
        <v>5.0229999999999997</v>
      </c>
      <c r="U123" s="17">
        <f t="shared" si="21"/>
        <v>268.47699999999998</v>
      </c>
      <c r="V123" s="17">
        <f t="shared" si="22"/>
        <v>268.27100000000002</v>
      </c>
      <c r="W123" s="17">
        <f t="shared" si="23"/>
        <v>5.8849999999999998</v>
      </c>
      <c r="X123" s="17">
        <f t="shared" si="24"/>
        <v>11.138999999999999</v>
      </c>
    </row>
    <row r="124" spans="1:24" x14ac:dyDescent="0.35">
      <c r="A124">
        <v>259460</v>
      </c>
      <c r="B124">
        <v>1148010.3303339693</v>
      </c>
      <c r="C124">
        <v>269.81573077577195</v>
      </c>
      <c r="D124">
        <v>274.949469275772</v>
      </c>
      <c r="E124">
        <v>5.1337385000000495</v>
      </c>
      <c r="F124">
        <v>269.14373077577193</v>
      </c>
      <c r="G124">
        <v>274.23646927577198</v>
      </c>
      <c r="H124">
        <v>5.0927385000000527</v>
      </c>
      <c r="I124">
        <v>268.38284087577199</v>
      </c>
      <c r="J124">
        <v>268.42968797577197</v>
      </c>
      <c r="K124">
        <v>5.8067813000000115</v>
      </c>
      <c r="L124">
        <v>11.458589099999999</v>
      </c>
      <c r="M124">
        <f t="shared" si="13"/>
        <v>259460</v>
      </c>
      <c r="N124" s="18">
        <f t="shared" si="14"/>
        <v>1148010.3</v>
      </c>
      <c r="O124" s="17">
        <f t="shared" si="15"/>
        <v>269.81599999999997</v>
      </c>
      <c r="P124" s="17">
        <f t="shared" si="16"/>
        <v>274.94900000000001</v>
      </c>
      <c r="Q124" s="17">
        <f t="shared" si="17"/>
        <v>5.1340000000000003</v>
      </c>
      <c r="R124" s="17">
        <f t="shared" si="18"/>
        <v>269.14400000000001</v>
      </c>
      <c r="S124" s="17">
        <f t="shared" si="19"/>
        <v>274.23599999999999</v>
      </c>
      <c r="T124" s="17">
        <f t="shared" si="20"/>
        <v>5.093</v>
      </c>
      <c r="U124" s="17">
        <f t="shared" si="21"/>
        <v>268.38299999999998</v>
      </c>
      <c r="V124" s="17">
        <f t="shared" si="22"/>
        <v>268.43</v>
      </c>
      <c r="W124" s="17">
        <f t="shared" si="23"/>
        <v>5.8070000000000004</v>
      </c>
      <c r="X124" s="17">
        <f t="shared" si="24"/>
        <v>11.459</v>
      </c>
    </row>
    <row r="125" spans="1:24" x14ac:dyDescent="0.35">
      <c r="A125">
        <v>259480</v>
      </c>
      <c r="B125">
        <v>1148030.3047800504</v>
      </c>
      <c r="C125">
        <v>269.86012676456926</v>
      </c>
      <c r="D125">
        <v>275.02961776456931</v>
      </c>
      <c r="E125">
        <v>5.1694910000000505</v>
      </c>
      <c r="F125">
        <v>269.18812676456923</v>
      </c>
      <c r="G125">
        <v>274.31661776456929</v>
      </c>
      <c r="H125">
        <v>5.1284910000000536</v>
      </c>
      <c r="I125">
        <v>268.20106206456927</v>
      </c>
      <c r="J125">
        <v>268.3528655645693</v>
      </c>
      <c r="K125">
        <v>5.9637521999999876</v>
      </c>
      <c r="L125">
        <v>12.0126556</v>
      </c>
      <c r="M125">
        <f t="shared" si="13"/>
        <v>259480</v>
      </c>
      <c r="N125" s="18">
        <f t="shared" si="14"/>
        <v>1148030.3</v>
      </c>
      <c r="O125" s="17">
        <f t="shared" si="15"/>
        <v>269.86</v>
      </c>
      <c r="P125" s="17">
        <f t="shared" si="16"/>
        <v>275.02999999999997</v>
      </c>
      <c r="Q125" s="17">
        <f t="shared" si="17"/>
        <v>5.1689999999999996</v>
      </c>
      <c r="R125" s="17">
        <f t="shared" si="18"/>
        <v>269.18799999999999</v>
      </c>
      <c r="S125" s="17">
        <f t="shared" si="19"/>
        <v>274.31700000000001</v>
      </c>
      <c r="T125" s="17">
        <f t="shared" si="20"/>
        <v>5.1280000000000001</v>
      </c>
      <c r="U125" s="17">
        <f t="shared" si="21"/>
        <v>268.20100000000002</v>
      </c>
      <c r="V125" s="17">
        <f t="shared" si="22"/>
        <v>268.35300000000001</v>
      </c>
      <c r="W125" s="17">
        <f t="shared" si="23"/>
        <v>5.9640000000000004</v>
      </c>
      <c r="X125" s="17">
        <f t="shared" si="24"/>
        <v>12.013</v>
      </c>
    </row>
    <row r="126" spans="1:24" x14ac:dyDescent="0.35">
      <c r="A126">
        <v>259500</v>
      </c>
      <c r="B126">
        <v>1148050.3500000001</v>
      </c>
      <c r="C126">
        <v>269.86651443714226</v>
      </c>
      <c r="D126">
        <v>275.11005023714222</v>
      </c>
      <c r="E126">
        <v>5.243535799999961</v>
      </c>
      <c r="F126">
        <v>269.19451443714223</v>
      </c>
      <c r="G126">
        <v>274.3970502371422</v>
      </c>
      <c r="H126">
        <v>5.2025357999999642</v>
      </c>
      <c r="I126">
        <v>268.16990953714225</v>
      </c>
      <c r="J126">
        <v>267.97925283714221</v>
      </c>
      <c r="K126">
        <v>6.4177973999999836</v>
      </c>
      <c r="L126">
        <v>12.971490299999999</v>
      </c>
      <c r="M126">
        <f t="shared" si="13"/>
        <v>259500</v>
      </c>
      <c r="N126" s="18">
        <f t="shared" si="14"/>
        <v>1148050.3999999999</v>
      </c>
      <c r="O126" s="17">
        <f t="shared" si="15"/>
        <v>269.86700000000002</v>
      </c>
      <c r="P126" s="17">
        <f t="shared" si="16"/>
        <v>275.11</v>
      </c>
      <c r="Q126" s="17">
        <f t="shared" si="17"/>
        <v>5.2439999999999998</v>
      </c>
      <c r="R126" s="17">
        <f t="shared" si="18"/>
        <v>269.19499999999999</v>
      </c>
      <c r="S126" s="17">
        <f t="shared" si="19"/>
        <v>274.39699999999999</v>
      </c>
      <c r="T126" s="17">
        <f t="shared" si="20"/>
        <v>5.2030000000000003</v>
      </c>
      <c r="U126" s="17">
        <f t="shared" si="21"/>
        <v>268.17</v>
      </c>
      <c r="V126" s="17">
        <f t="shared" si="22"/>
        <v>267.97899999999998</v>
      </c>
      <c r="W126" s="17">
        <f t="shared" si="23"/>
        <v>6.4180000000000001</v>
      </c>
      <c r="X126" s="17">
        <f t="shared" si="24"/>
        <v>12.971</v>
      </c>
    </row>
    <row r="127" spans="1:24" x14ac:dyDescent="0.35">
      <c r="A127">
        <v>259500</v>
      </c>
      <c r="B127">
        <v>1148050.3500000001</v>
      </c>
      <c r="C127">
        <v>269.86651443714226</v>
      </c>
      <c r="D127">
        <v>275.11005023714222</v>
      </c>
      <c r="E127">
        <v>5.243535799999961</v>
      </c>
      <c r="F127">
        <v>269.19451443714223</v>
      </c>
      <c r="G127">
        <v>274.3970502371422</v>
      </c>
      <c r="H127">
        <v>5.2025357999999642</v>
      </c>
      <c r="I127">
        <v>268.16990953714225</v>
      </c>
      <c r="J127">
        <v>267.97925283714221</v>
      </c>
      <c r="K127">
        <v>6.4177973999999836</v>
      </c>
      <c r="L127">
        <v>12.971490299999999</v>
      </c>
      <c r="M127">
        <f t="shared" si="13"/>
        <v>259500</v>
      </c>
      <c r="N127" s="18">
        <f t="shared" si="14"/>
        <v>1148050.3999999999</v>
      </c>
      <c r="O127" s="17">
        <f t="shared" si="15"/>
        <v>269.86700000000002</v>
      </c>
      <c r="P127" s="17">
        <f t="shared" si="16"/>
        <v>275.11</v>
      </c>
      <c r="Q127" s="17">
        <f t="shared" si="17"/>
        <v>5.2439999999999998</v>
      </c>
      <c r="R127" s="17">
        <f t="shared" si="18"/>
        <v>269.19499999999999</v>
      </c>
      <c r="S127" s="17">
        <f t="shared" si="19"/>
        <v>274.39699999999999</v>
      </c>
      <c r="T127" s="17">
        <f t="shared" si="20"/>
        <v>5.2030000000000003</v>
      </c>
      <c r="U127" s="17">
        <f t="shared" si="21"/>
        <v>268.17</v>
      </c>
      <c r="V127" s="17">
        <f t="shared" si="22"/>
        <v>267.97899999999998</v>
      </c>
      <c r="W127" s="17">
        <f t="shared" si="23"/>
        <v>6.4180000000000001</v>
      </c>
      <c r="X127" s="17">
        <f t="shared" si="24"/>
        <v>12.971</v>
      </c>
    </row>
    <row r="128" spans="1:24" x14ac:dyDescent="0.35">
      <c r="A128">
        <v>259520</v>
      </c>
      <c r="B128">
        <v>1148070.3855989056</v>
      </c>
      <c r="C128">
        <v>269.90106440478229</v>
      </c>
      <c r="D128">
        <v>275.19044410478227</v>
      </c>
      <c r="E128">
        <v>5.2893796999999836</v>
      </c>
      <c r="F128">
        <v>269.22906440478226</v>
      </c>
      <c r="G128">
        <v>274.47744410478225</v>
      </c>
      <c r="H128">
        <v>5.2483796999999868</v>
      </c>
      <c r="I128">
        <v>268.20237720478229</v>
      </c>
      <c r="J128">
        <v>267.67826580478231</v>
      </c>
      <c r="K128">
        <v>6.7991782999999373</v>
      </c>
      <c r="L128">
        <v>14.351248999999999</v>
      </c>
      <c r="M128">
        <f t="shared" si="13"/>
        <v>259520</v>
      </c>
      <c r="N128" s="18">
        <f t="shared" si="14"/>
        <v>1148070.3999999999</v>
      </c>
      <c r="O128" s="17">
        <f t="shared" si="15"/>
        <v>269.90100000000001</v>
      </c>
      <c r="P128" s="17">
        <f t="shared" si="16"/>
        <v>275.19</v>
      </c>
      <c r="Q128" s="17">
        <f t="shared" si="17"/>
        <v>5.2889999999999997</v>
      </c>
      <c r="R128" s="17">
        <f t="shared" si="18"/>
        <v>269.22899999999998</v>
      </c>
      <c r="S128" s="17">
        <f t="shared" si="19"/>
        <v>274.47699999999998</v>
      </c>
      <c r="T128" s="17">
        <f t="shared" si="20"/>
        <v>5.2480000000000002</v>
      </c>
      <c r="U128" s="17">
        <f t="shared" si="21"/>
        <v>268.202</v>
      </c>
      <c r="V128" s="17">
        <f t="shared" si="22"/>
        <v>267.678</v>
      </c>
      <c r="W128" s="17">
        <f t="shared" si="23"/>
        <v>6.7990000000000004</v>
      </c>
      <c r="X128" s="17">
        <f t="shared" si="24"/>
        <v>14.351000000000001</v>
      </c>
    </row>
    <row r="129" spans="1:24" x14ac:dyDescent="0.35">
      <c r="A129">
        <v>259540</v>
      </c>
      <c r="B129">
        <v>1148090.4840900039</v>
      </c>
      <c r="C129">
        <v>269.91301073056962</v>
      </c>
      <c r="D129">
        <v>275.27109033056962</v>
      </c>
      <c r="E129">
        <v>5.3580795999999964</v>
      </c>
      <c r="F129">
        <v>269.2410107305696</v>
      </c>
      <c r="G129">
        <v>274.5580903305696</v>
      </c>
      <c r="H129">
        <v>5.3170795999999996</v>
      </c>
      <c r="I129">
        <v>268.08568213056958</v>
      </c>
      <c r="J129">
        <v>267.36903933056959</v>
      </c>
      <c r="K129">
        <v>7.1890510000000063</v>
      </c>
      <c r="L129">
        <v>16.248055600000001</v>
      </c>
      <c r="M129">
        <f t="shared" si="13"/>
        <v>259540</v>
      </c>
      <c r="N129" s="18">
        <f t="shared" si="14"/>
        <v>1148090.5</v>
      </c>
      <c r="O129" s="17">
        <f t="shared" si="15"/>
        <v>269.91300000000001</v>
      </c>
      <c r="P129" s="17">
        <f t="shared" si="16"/>
        <v>275.27100000000002</v>
      </c>
      <c r="Q129" s="17">
        <f t="shared" si="17"/>
        <v>5.3579999999999997</v>
      </c>
      <c r="R129" s="17">
        <f t="shared" si="18"/>
        <v>269.24099999999999</v>
      </c>
      <c r="S129" s="17">
        <f t="shared" si="19"/>
        <v>274.55799999999999</v>
      </c>
      <c r="T129" s="17">
        <f t="shared" si="20"/>
        <v>5.3170000000000002</v>
      </c>
      <c r="U129" s="17">
        <f t="shared" si="21"/>
        <v>268.08600000000001</v>
      </c>
      <c r="V129" s="17">
        <f t="shared" si="22"/>
        <v>267.36900000000003</v>
      </c>
      <c r="W129" s="17">
        <f t="shared" si="23"/>
        <v>7.1890000000000001</v>
      </c>
      <c r="X129" s="17">
        <f t="shared" si="24"/>
        <v>16.248000000000001</v>
      </c>
    </row>
    <row r="130" spans="1:24" x14ac:dyDescent="0.35">
      <c r="A130">
        <v>259560</v>
      </c>
      <c r="B130">
        <v>1148110.6467274223</v>
      </c>
      <c r="C130">
        <v>269.90927994675451</v>
      </c>
      <c r="D130">
        <v>275.35199394675453</v>
      </c>
      <c r="E130">
        <v>5.4427140000000236</v>
      </c>
      <c r="F130">
        <v>269.23727994675448</v>
      </c>
      <c r="G130">
        <v>274.63899394675451</v>
      </c>
      <c r="H130">
        <v>5.4017140000000268</v>
      </c>
      <c r="I130">
        <v>267.73555364675451</v>
      </c>
      <c r="J130">
        <v>268.77226004675452</v>
      </c>
      <c r="K130">
        <v>5.8667338999999856</v>
      </c>
      <c r="L130">
        <v>18.725904700000001</v>
      </c>
      <c r="M130">
        <f t="shared" ref="M130:M193" si="25">A130</f>
        <v>259560</v>
      </c>
      <c r="N130" s="18">
        <f t="shared" ref="N130:N140" si="26">ROUND(B130,1)</f>
        <v>1148110.6000000001</v>
      </c>
      <c r="O130" s="17">
        <f t="shared" ref="O130:O140" si="27">ROUND(C130,3)</f>
        <v>269.90899999999999</v>
      </c>
      <c r="P130" s="17">
        <f t="shared" ref="P130:P140" si="28">ROUND(D130,3)</f>
        <v>275.35199999999998</v>
      </c>
      <c r="Q130" s="17">
        <f t="shared" ref="Q130:Q140" si="29">ROUND(E130,3)</f>
        <v>5.4429999999999996</v>
      </c>
      <c r="R130" s="17">
        <f t="shared" ref="R130:R140" si="30">ROUND(F130,3)</f>
        <v>269.23700000000002</v>
      </c>
      <c r="S130" s="17">
        <f t="shared" ref="S130:S140" si="31">ROUND(G130,3)</f>
        <v>274.63900000000001</v>
      </c>
      <c r="T130" s="17">
        <f t="shared" ref="T130:T140" si="32">ROUND(H130,3)</f>
        <v>5.4020000000000001</v>
      </c>
      <c r="U130" s="17">
        <f t="shared" ref="U130:U140" si="33">ROUND(I130,3)</f>
        <v>267.73599999999999</v>
      </c>
      <c r="V130" s="17">
        <f t="shared" ref="V130:V140" si="34">ROUND(J130,3)</f>
        <v>268.77199999999999</v>
      </c>
      <c r="W130" s="17">
        <f t="shared" ref="W130:W140" si="35">ROUND(K130,3)</f>
        <v>5.867</v>
      </c>
      <c r="X130" s="17">
        <f t="shared" ref="X130:X140" si="36">ROUND(L130,3)</f>
        <v>18.725999999999999</v>
      </c>
    </row>
    <row r="131" spans="1:24" x14ac:dyDescent="0.35">
      <c r="A131">
        <v>259580</v>
      </c>
      <c r="B131">
        <v>1148130.8768499782</v>
      </c>
      <c r="C131">
        <v>269.90755635051346</v>
      </c>
      <c r="D131">
        <v>275.43316835051343</v>
      </c>
      <c r="E131">
        <v>5.5256119999999669</v>
      </c>
      <c r="F131">
        <v>269.23555635051343</v>
      </c>
      <c r="G131">
        <v>274.7201683505134</v>
      </c>
      <c r="H131">
        <v>5.4846119999999701</v>
      </c>
      <c r="I131">
        <v>267.74205455051344</v>
      </c>
      <c r="J131">
        <v>267.61836605051343</v>
      </c>
      <c r="K131">
        <v>7.1018022999999744</v>
      </c>
      <c r="L131">
        <v>21.7937011</v>
      </c>
      <c r="M131">
        <f t="shared" si="25"/>
        <v>259580</v>
      </c>
      <c r="N131" s="18">
        <f t="shared" si="26"/>
        <v>1148130.8999999999</v>
      </c>
      <c r="O131" s="17">
        <f t="shared" si="27"/>
        <v>269.90800000000002</v>
      </c>
      <c r="P131" s="17">
        <f t="shared" si="28"/>
        <v>275.43299999999999</v>
      </c>
      <c r="Q131" s="17">
        <f t="shared" si="29"/>
        <v>5.5259999999999998</v>
      </c>
      <c r="R131" s="17">
        <f t="shared" si="30"/>
        <v>269.23599999999999</v>
      </c>
      <c r="S131" s="17">
        <f t="shared" si="31"/>
        <v>274.72000000000003</v>
      </c>
      <c r="T131" s="17">
        <f t="shared" si="32"/>
        <v>5.4850000000000003</v>
      </c>
      <c r="U131" s="17">
        <f t="shared" si="33"/>
        <v>267.74200000000002</v>
      </c>
      <c r="V131" s="17">
        <f t="shared" si="34"/>
        <v>267.61799999999999</v>
      </c>
      <c r="W131" s="17">
        <f t="shared" si="35"/>
        <v>7.1020000000000003</v>
      </c>
      <c r="X131" s="17">
        <f t="shared" si="36"/>
        <v>21.794</v>
      </c>
    </row>
    <row r="132" spans="1:24" x14ac:dyDescent="0.35">
      <c r="A132">
        <v>259600</v>
      </c>
      <c r="B132">
        <v>1148151.2047484112</v>
      </c>
      <c r="C132">
        <v>269.91537158499068</v>
      </c>
      <c r="D132">
        <v>275.51473508499072</v>
      </c>
      <c r="E132">
        <v>5.5993635000000381</v>
      </c>
      <c r="F132">
        <v>269.24337158499065</v>
      </c>
      <c r="G132">
        <v>274.8017350849907</v>
      </c>
      <c r="H132">
        <v>5.5583635000000413</v>
      </c>
      <c r="I132">
        <v>267.81355198499068</v>
      </c>
      <c r="J132">
        <v>267.32201138499067</v>
      </c>
      <c r="K132">
        <v>7.4797237000000223</v>
      </c>
      <c r="L132">
        <v>25.4538358</v>
      </c>
      <c r="M132">
        <f t="shared" si="25"/>
        <v>259600</v>
      </c>
      <c r="N132" s="18">
        <f t="shared" si="26"/>
        <v>1148151.2</v>
      </c>
      <c r="O132" s="17">
        <f t="shared" si="27"/>
        <v>269.91500000000002</v>
      </c>
      <c r="P132" s="17">
        <f t="shared" si="28"/>
        <v>275.51499999999999</v>
      </c>
      <c r="Q132" s="17">
        <f t="shared" si="29"/>
        <v>5.5990000000000002</v>
      </c>
      <c r="R132" s="17">
        <f t="shared" si="30"/>
        <v>269.24299999999999</v>
      </c>
      <c r="S132" s="17">
        <f t="shared" si="31"/>
        <v>274.80200000000002</v>
      </c>
      <c r="T132" s="17">
        <f t="shared" si="32"/>
        <v>5.5579999999999998</v>
      </c>
      <c r="U132" s="17">
        <f t="shared" si="33"/>
        <v>267.81400000000002</v>
      </c>
      <c r="V132" s="17">
        <f t="shared" si="34"/>
        <v>267.322</v>
      </c>
      <c r="W132" s="17">
        <f t="shared" si="35"/>
        <v>7.48</v>
      </c>
      <c r="X132" s="17">
        <f t="shared" si="36"/>
        <v>25.454000000000001</v>
      </c>
    </row>
    <row r="133" spans="1:24" x14ac:dyDescent="0.35">
      <c r="A133">
        <v>259620</v>
      </c>
      <c r="B133">
        <v>1148171.7195991082</v>
      </c>
      <c r="C133">
        <v>269.92805567501074</v>
      </c>
      <c r="D133">
        <v>275.59705197501074</v>
      </c>
      <c r="E133">
        <v>5.6689963000000034</v>
      </c>
      <c r="F133">
        <v>269.25605567501071</v>
      </c>
      <c r="G133">
        <v>274.88405197501072</v>
      </c>
      <c r="H133">
        <v>5.6279963000000066</v>
      </c>
      <c r="I133">
        <v>267.63637687501074</v>
      </c>
      <c r="J133">
        <v>267.75219847501074</v>
      </c>
      <c r="K133">
        <v>7.131853499999977</v>
      </c>
      <c r="L133">
        <v>29.739136899999998</v>
      </c>
      <c r="M133">
        <f t="shared" si="25"/>
        <v>259620</v>
      </c>
      <c r="N133" s="18">
        <f t="shared" si="26"/>
        <v>1148171.7</v>
      </c>
      <c r="O133" s="17">
        <f t="shared" si="27"/>
        <v>269.928</v>
      </c>
      <c r="P133" s="17">
        <f t="shared" si="28"/>
        <v>275.59699999999998</v>
      </c>
      <c r="Q133" s="17">
        <f t="shared" si="29"/>
        <v>5.6689999999999996</v>
      </c>
      <c r="R133" s="17">
        <f t="shared" si="30"/>
        <v>269.25599999999997</v>
      </c>
      <c r="S133" s="17">
        <f t="shared" si="31"/>
        <v>274.88400000000001</v>
      </c>
      <c r="T133" s="17">
        <f t="shared" si="32"/>
        <v>5.6280000000000001</v>
      </c>
      <c r="U133" s="17">
        <f t="shared" si="33"/>
        <v>267.63600000000002</v>
      </c>
      <c r="V133" s="17">
        <f t="shared" si="34"/>
        <v>267.75200000000001</v>
      </c>
      <c r="W133" s="17">
        <f t="shared" si="35"/>
        <v>7.1319999999999997</v>
      </c>
      <c r="X133" s="17">
        <f t="shared" si="36"/>
        <v>29.739000000000001</v>
      </c>
    </row>
    <row r="134" spans="1:24" x14ac:dyDescent="0.35">
      <c r="A134">
        <v>259640</v>
      </c>
      <c r="B134">
        <v>1148192.2182713354</v>
      </c>
      <c r="C134">
        <v>269.93389234809115</v>
      </c>
      <c r="D134">
        <v>275.6793039480911</v>
      </c>
      <c r="E134">
        <v>5.7454115999999544</v>
      </c>
      <c r="F134">
        <v>269.26189234809112</v>
      </c>
      <c r="G134">
        <v>274.96630394809108</v>
      </c>
      <c r="H134">
        <v>5.7044115999999576</v>
      </c>
      <c r="I134">
        <v>267.75571394809111</v>
      </c>
      <c r="J134">
        <v>267.7561441480911</v>
      </c>
      <c r="K134">
        <v>7.2101597999999854</v>
      </c>
      <c r="L134">
        <v>34.639434000000001</v>
      </c>
      <c r="M134">
        <f t="shared" si="25"/>
        <v>259640</v>
      </c>
      <c r="N134" s="18">
        <f t="shared" si="26"/>
        <v>1148192.2</v>
      </c>
      <c r="O134" s="17">
        <f t="shared" si="27"/>
        <v>269.93400000000003</v>
      </c>
      <c r="P134" s="17">
        <f t="shared" si="28"/>
        <v>275.67899999999997</v>
      </c>
      <c r="Q134" s="17">
        <f t="shared" si="29"/>
        <v>5.7450000000000001</v>
      </c>
      <c r="R134" s="17">
        <f t="shared" si="30"/>
        <v>269.262</v>
      </c>
      <c r="S134" s="17">
        <f t="shared" si="31"/>
        <v>274.96600000000001</v>
      </c>
      <c r="T134" s="17">
        <f t="shared" si="32"/>
        <v>5.7039999999999997</v>
      </c>
      <c r="U134" s="17">
        <f t="shared" si="33"/>
        <v>267.75599999999997</v>
      </c>
      <c r="V134" s="17">
        <f t="shared" si="34"/>
        <v>267.75599999999997</v>
      </c>
      <c r="W134" s="17">
        <f t="shared" si="35"/>
        <v>7.21</v>
      </c>
      <c r="X134" s="17">
        <f t="shared" si="36"/>
        <v>34.639000000000003</v>
      </c>
    </row>
    <row r="135" spans="1:24" x14ac:dyDescent="0.35">
      <c r="A135">
        <v>259660</v>
      </c>
      <c r="B135">
        <v>1148213.0297903589</v>
      </c>
      <c r="C135">
        <v>269.93864013497847</v>
      </c>
      <c r="D135">
        <v>275.76281123497847</v>
      </c>
      <c r="E135">
        <v>5.8241711000000009</v>
      </c>
      <c r="F135">
        <v>269.26664013497845</v>
      </c>
      <c r="G135">
        <v>275.04981123497845</v>
      </c>
      <c r="H135">
        <v>5.7831711000000041</v>
      </c>
      <c r="I135">
        <v>267.66870553497847</v>
      </c>
      <c r="J135">
        <v>267.96529343497843</v>
      </c>
      <c r="K135">
        <v>7.0845178000000146</v>
      </c>
      <c r="L135">
        <v>40.1597504</v>
      </c>
      <c r="M135">
        <f t="shared" si="25"/>
        <v>259660</v>
      </c>
      <c r="N135" s="18">
        <f t="shared" si="26"/>
        <v>1148213</v>
      </c>
      <c r="O135" s="17">
        <f t="shared" si="27"/>
        <v>269.93900000000002</v>
      </c>
      <c r="P135" s="17">
        <f t="shared" si="28"/>
        <v>275.76299999999998</v>
      </c>
      <c r="Q135" s="17">
        <f t="shared" si="29"/>
        <v>5.8239999999999998</v>
      </c>
      <c r="R135" s="17">
        <f t="shared" si="30"/>
        <v>269.267</v>
      </c>
      <c r="S135" s="17">
        <f t="shared" si="31"/>
        <v>275.05</v>
      </c>
      <c r="T135" s="17">
        <f t="shared" si="32"/>
        <v>5.7830000000000004</v>
      </c>
      <c r="U135" s="17">
        <f t="shared" si="33"/>
        <v>267.66899999999998</v>
      </c>
      <c r="V135" s="17">
        <f t="shared" si="34"/>
        <v>267.96499999999997</v>
      </c>
      <c r="W135" s="17">
        <f t="shared" si="35"/>
        <v>7.085</v>
      </c>
      <c r="X135" s="17">
        <f t="shared" si="36"/>
        <v>40.159999999999997</v>
      </c>
    </row>
    <row r="136" spans="1:24" x14ac:dyDescent="0.35">
      <c r="A136">
        <v>259680</v>
      </c>
      <c r="B136">
        <v>1148233.8971488781</v>
      </c>
      <c r="C136">
        <v>269.92115788070481</v>
      </c>
      <c r="D136">
        <v>275.84654258070481</v>
      </c>
      <c r="E136">
        <v>5.9253846999999951</v>
      </c>
      <c r="F136">
        <v>269.24915788070479</v>
      </c>
      <c r="G136">
        <v>275.13354258070478</v>
      </c>
      <c r="H136">
        <v>5.8843846999999982</v>
      </c>
      <c r="I136">
        <v>267.55890068070482</v>
      </c>
      <c r="J136">
        <v>267.96317878070482</v>
      </c>
      <c r="K136">
        <v>7.1703637999999614</v>
      </c>
      <c r="L136">
        <v>46.319304500000001</v>
      </c>
      <c r="M136">
        <f t="shared" si="25"/>
        <v>259680</v>
      </c>
      <c r="N136" s="18">
        <f t="shared" si="26"/>
        <v>1148233.8999999999</v>
      </c>
      <c r="O136" s="17">
        <f t="shared" si="27"/>
        <v>269.92099999999999</v>
      </c>
      <c r="P136" s="17">
        <f t="shared" si="28"/>
        <v>275.84699999999998</v>
      </c>
      <c r="Q136" s="17">
        <f t="shared" si="29"/>
        <v>5.9249999999999998</v>
      </c>
      <c r="R136" s="17">
        <f t="shared" si="30"/>
        <v>269.24900000000002</v>
      </c>
      <c r="S136" s="17">
        <f t="shared" si="31"/>
        <v>275.13400000000001</v>
      </c>
      <c r="T136" s="17">
        <f t="shared" si="32"/>
        <v>5.8840000000000003</v>
      </c>
      <c r="U136" s="17">
        <f t="shared" si="33"/>
        <v>267.55900000000003</v>
      </c>
      <c r="V136" s="17">
        <f t="shared" si="34"/>
        <v>267.96300000000002</v>
      </c>
      <c r="W136" s="17">
        <f t="shared" si="35"/>
        <v>7.17</v>
      </c>
      <c r="X136" s="17">
        <f t="shared" si="36"/>
        <v>46.319000000000003</v>
      </c>
    </row>
    <row r="137" spans="1:24" x14ac:dyDescent="0.35">
      <c r="A137">
        <v>259700</v>
      </c>
      <c r="B137">
        <v>1148255.0325733239</v>
      </c>
      <c r="C137">
        <v>269.90636415470283</v>
      </c>
      <c r="D137">
        <v>275.93134955470288</v>
      </c>
      <c r="E137">
        <v>6.0249854000000482</v>
      </c>
      <c r="F137">
        <v>269.2343641547028</v>
      </c>
      <c r="G137">
        <v>275.21834955470285</v>
      </c>
      <c r="H137">
        <v>5.9839854000000514</v>
      </c>
      <c r="I137">
        <v>267.41686045470283</v>
      </c>
      <c r="J137">
        <v>267.78369435470285</v>
      </c>
      <c r="K137">
        <v>7.4346552000000088</v>
      </c>
      <c r="L137">
        <v>53.135334299999997</v>
      </c>
      <c r="M137">
        <f t="shared" si="25"/>
        <v>259700</v>
      </c>
      <c r="N137" s="18">
        <f t="shared" si="26"/>
        <v>1148255</v>
      </c>
      <c r="O137" s="17">
        <f t="shared" si="27"/>
        <v>269.90600000000001</v>
      </c>
      <c r="P137" s="17">
        <f t="shared" si="28"/>
        <v>275.93099999999998</v>
      </c>
      <c r="Q137" s="17">
        <f t="shared" si="29"/>
        <v>6.0250000000000004</v>
      </c>
      <c r="R137" s="17">
        <f t="shared" si="30"/>
        <v>269.23399999999998</v>
      </c>
      <c r="S137" s="17">
        <f t="shared" si="31"/>
        <v>275.21800000000002</v>
      </c>
      <c r="T137" s="17">
        <f t="shared" si="32"/>
        <v>5.984</v>
      </c>
      <c r="U137" s="17">
        <f t="shared" si="33"/>
        <v>267.41699999999997</v>
      </c>
      <c r="V137" s="17">
        <f t="shared" si="34"/>
        <v>267.78399999999999</v>
      </c>
      <c r="W137" s="17">
        <f t="shared" si="35"/>
        <v>7.4349999999999996</v>
      </c>
      <c r="X137" s="17">
        <f t="shared" si="36"/>
        <v>53.134999999999998</v>
      </c>
    </row>
    <row r="138" spans="1:24" x14ac:dyDescent="0.35">
      <c r="A138">
        <v>259720</v>
      </c>
      <c r="B138">
        <v>1148276.430452842</v>
      </c>
      <c r="C138">
        <v>269.86949524313184</v>
      </c>
      <c r="D138">
        <v>276.01720964313188</v>
      </c>
      <c r="E138">
        <v>6.1477144000000408</v>
      </c>
      <c r="F138">
        <v>269.19749524313181</v>
      </c>
      <c r="G138">
        <v>275.30420964313186</v>
      </c>
      <c r="H138">
        <v>6.106714400000044</v>
      </c>
      <c r="I138">
        <v>267.34563204313184</v>
      </c>
      <c r="J138">
        <v>267.74589944313186</v>
      </c>
      <c r="K138">
        <v>7.558310199999994</v>
      </c>
      <c r="L138">
        <v>60.650950899999998</v>
      </c>
      <c r="M138">
        <f t="shared" si="25"/>
        <v>259720</v>
      </c>
      <c r="N138" s="18">
        <f t="shared" si="26"/>
        <v>1148276.3999999999</v>
      </c>
      <c r="O138" s="17">
        <f t="shared" si="27"/>
        <v>269.86900000000003</v>
      </c>
      <c r="P138" s="17">
        <f t="shared" si="28"/>
        <v>276.017</v>
      </c>
      <c r="Q138" s="17">
        <f t="shared" si="29"/>
        <v>6.1479999999999997</v>
      </c>
      <c r="R138" s="17">
        <f t="shared" si="30"/>
        <v>269.197</v>
      </c>
      <c r="S138" s="17">
        <f t="shared" si="31"/>
        <v>275.30399999999997</v>
      </c>
      <c r="T138" s="17">
        <f t="shared" si="32"/>
        <v>6.1070000000000002</v>
      </c>
      <c r="U138" s="17">
        <f t="shared" si="33"/>
        <v>267.346</v>
      </c>
      <c r="V138" s="17">
        <f t="shared" si="34"/>
        <v>267.74599999999998</v>
      </c>
      <c r="W138" s="17">
        <f t="shared" si="35"/>
        <v>7.5579999999999998</v>
      </c>
      <c r="X138" s="17">
        <f t="shared" si="36"/>
        <v>60.651000000000003</v>
      </c>
    </row>
    <row r="139" spans="1:24" x14ac:dyDescent="0.35">
      <c r="A139">
        <v>259740</v>
      </c>
      <c r="B139">
        <v>1148298.0556607861</v>
      </c>
      <c r="C139">
        <v>269.82846769852301</v>
      </c>
      <c r="D139">
        <v>276.10398189852305</v>
      </c>
      <c r="E139">
        <v>6.2755142000000319</v>
      </c>
      <c r="F139">
        <v>269.15646769852299</v>
      </c>
      <c r="G139">
        <v>275.39098189852302</v>
      </c>
      <c r="H139">
        <v>6.2345142000000351</v>
      </c>
      <c r="I139">
        <v>267.38436759852306</v>
      </c>
      <c r="J139">
        <v>267.91253279852305</v>
      </c>
      <c r="K139">
        <v>7.4784490999999775</v>
      </c>
      <c r="L139">
        <v>68.875889599999994</v>
      </c>
      <c r="M139">
        <f t="shared" si="25"/>
        <v>259740</v>
      </c>
      <c r="N139" s="18">
        <f t="shared" si="26"/>
        <v>1148298.1000000001</v>
      </c>
      <c r="O139" s="17">
        <f t="shared" si="27"/>
        <v>269.82799999999997</v>
      </c>
      <c r="P139" s="17">
        <f t="shared" si="28"/>
        <v>276.10399999999998</v>
      </c>
      <c r="Q139" s="17">
        <f t="shared" si="29"/>
        <v>6.2759999999999998</v>
      </c>
      <c r="R139" s="17">
        <f t="shared" si="30"/>
        <v>269.15600000000001</v>
      </c>
      <c r="S139" s="17">
        <f t="shared" si="31"/>
        <v>275.39100000000002</v>
      </c>
      <c r="T139" s="17">
        <f t="shared" si="32"/>
        <v>6.2350000000000003</v>
      </c>
      <c r="U139" s="17">
        <f t="shared" si="33"/>
        <v>267.38400000000001</v>
      </c>
      <c r="V139" s="17">
        <f t="shared" si="34"/>
        <v>267.91300000000001</v>
      </c>
      <c r="W139" s="17">
        <f t="shared" si="35"/>
        <v>7.4779999999999998</v>
      </c>
      <c r="X139" s="17">
        <f t="shared" si="36"/>
        <v>68.876000000000005</v>
      </c>
    </row>
    <row r="140" spans="1:24" x14ac:dyDescent="0.35">
      <c r="A140">
        <v>259741.25108650001</v>
      </c>
      <c r="B140">
        <v>1148299.4177923333</v>
      </c>
      <c r="C140">
        <v>269.82590162117941</v>
      </c>
      <c r="D140">
        <v>276.10944752117945</v>
      </c>
      <c r="E140">
        <v>6.2835459000000355</v>
      </c>
      <c r="F140">
        <v>269.15390162117939</v>
      </c>
      <c r="G140">
        <v>275.39644752117943</v>
      </c>
      <c r="H140">
        <v>6.2425459000000387</v>
      </c>
      <c r="I140">
        <v>267.39201052117943</v>
      </c>
      <c r="J140">
        <v>267.92177252117943</v>
      </c>
      <c r="K140">
        <v>7.4746749999999906</v>
      </c>
      <c r="L140">
        <v>69.414577899999998</v>
      </c>
      <c r="M140">
        <f t="shared" si="25"/>
        <v>259741.25108650001</v>
      </c>
      <c r="N140" s="18">
        <f t="shared" si="26"/>
        <v>1148299.3999999999</v>
      </c>
      <c r="O140" s="17">
        <f t="shared" si="27"/>
        <v>269.82600000000002</v>
      </c>
      <c r="P140" s="17">
        <f t="shared" si="28"/>
        <v>276.10899999999998</v>
      </c>
      <c r="Q140" s="17">
        <f t="shared" si="29"/>
        <v>6.2839999999999998</v>
      </c>
      <c r="R140" s="17">
        <f t="shared" si="30"/>
        <v>269.154</v>
      </c>
      <c r="S140" s="17">
        <f t="shared" si="31"/>
        <v>275.39600000000002</v>
      </c>
      <c r="T140" s="17">
        <f t="shared" si="32"/>
        <v>6.2430000000000003</v>
      </c>
      <c r="U140" s="17">
        <f t="shared" si="33"/>
        <v>267.392</v>
      </c>
      <c r="V140" s="17">
        <f t="shared" si="34"/>
        <v>267.92200000000003</v>
      </c>
      <c r="W140" s="17">
        <f t="shared" si="35"/>
        <v>7.4749999999999996</v>
      </c>
      <c r="X140" s="17">
        <f t="shared" si="36"/>
        <v>69.415000000000006</v>
      </c>
    </row>
    <row r="141" spans="1:24" x14ac:dyDescent="0.35">
      <c r="B141">
        <v>1148313.307</v>
      </c>
      <c r="D141">
        <v>276.16517867890781</v>
      </c>
      <c r="G141">
        <v>275.45217867890779</v>
      </c>
      <c r="J141">
        <v>268.09953157890777</v>
      </c>
      <c r="K141">
        <v>7.3526471000000129</v>
      </c>
      <c r="M141">
        <f t="shared" si="25"/>
        <v>0</v>
      </c>
      <c r="N141" s="18">
        <f t="shared" ref="N141" si="37">ROUND(B141,1)</f>
        <v>1148313.3</v>
      </c>
      <c r="O141" s="17"/>
      <c r="P141" s="17">
        <f t="shared" ref="P141" si="38">ROUND(D141,3)</f>
        <v>276.16500000000002</v>
      </c>
      <c r="Q141" s="17"/>
      <c r="R141" s="17"/>
      <c r="S141" s="17">
        <f t="shared" ref="S141" si="39">ROUND(G141,3)</f>
        <v>275.452</v>
      </c>
      <c r="T141" s="17"/>
      <c r="U141" s="17"/>
      <c r="V141" s="17">
        <f t="shared" ref="V141" si="40">ROUND(J141,3)</f>
        <v>268.10000000000002</v>
      </c>
      <c r="W141" s="17">
        <f t="shared" ref="W141" si="41">ROUND(K141,3)</f>
        <v>7.3529999999999998</v>
      </c>
      <c r="X141" s="17"/>
    </row>
    <row r="142" spans="1:24" x14ac:dyDescent="0.35">
      <c r="B142">
        <v>1148333.3359999999</v>
      </c>
      <c r="D142">
        <v>276.24554606810068</v>
      </c>
      <c r="G142">
        <v>275.53254606810066</v>
      </c>
      <c r="J142">
        <v>268.79226826810066</v>
      </c>
      <c r="K142">
        <v>6.7402778000000012</v>
      </c>
      <c r="M142">
        <f t="shared" si="25"/>
        <v>0</v>
      </c>
      <c r="N142" s="18">
        <f t="shared" ref="N142:N205" si="42">ROUND(B142,1)</f>
        <v>1148333.3</v>
      </c>
      <c r="O142" s="17"/>
      <c r="P142" s="17">
        <f t="shared" ref="P142:P205" si="43">ROUND(D142,3)</f>
        <v>276.24599999999998</v>
      </c>
      <c r="Q142" s="17"/>
      <c r="R142" s="17"/>
      <c r="S142" s="17">
        <f t="shared" ref="S142:S205" si="44">ROUND(G142,3)</f>
        <v>275.53300000000002</v>
      </c>
      <c r="T142" s="17"/>
      <c r="U142" s="17"/>
      <c r="V142" s="17">
        <f t="shared" ref="V142:V205" si="45">ROUND(J142,3)</f>
        <v>268.79199999999997</v>
      </c>
      <c r="W142" s="17">
        <f t="shared" ref="W142:W205" si="46">ROUND(K142,3)</f>
        <v>6.74</v>
      </c>
      <c r="X142" s="17"/>
    </row>
    <row r="143" spans="1:24" x14ac:dyDescent="0.35">
      <c r="B143">
        <v>1148353.3359999999</v>
      </c>
      <c r="D143">
        <v>276.32579709330753</v>
      </c>
      <c r="G143">
        <v>275.61279709330751</v>
      </c>
      <c r="J143">
        <v>268.74712859330754</v>
      </c>
      <c r="K143">
        <v>6.8656684999999698</v>
      </c>
      <c r="M143">
        <f t="shared" si="25"/>
        <v>0</v>
      </c>
      <c r="N143" s="18">
        <f t="shared" si="42"/>
        <v>1148353.3</v>
      </c>
      <c r="O143" s="17"/>
      <c r="P143" s="17">
        <f t="shared" si="43"/>
        <v>276.32600000000002</v>
      </c>
      <c r="Q143" s="17"/>
      <c r="R143" s="17"/>
      <c r="S143" s="17">
        <f t="shared" si="44"/>
        <v>275.613</v>
      </c>
      <c r="T143" s="17"/>
      <c r="U143" s="17"/>
      <c r="V143" s="17">
        <f t="shared" si="45"/>
        <v>268.74700000000001</v>
      </c>
      <c r="W143" s="17">
        <f t="shared" si="46"/>
        <v>6.8659999999999997</v>
      </c>
      <c r="X143" s="17"/>
    </row>
    <row r="144" spans="1:24" x14ac:dyDescent="0.35">
      <c r="B144">
        <v>1148373.3359999999</v>
      </c>
      <c r="D144">
        <v>276.40604811851438</v>
      </c>
      <c r="G144">
        <v>275.69304811851435</v>
      </c>
      <c r="J144">
        <v>268.92156161851437</v>
      </c>
      <c r="K144">
        <v>6.7714864999999804</v>
      </c>
      <c r="M144">
        <f t="shared" si="25"/>
        <v>0</v>
      </c>
      <c r="N144" s="18">
        <f t="shared" si="42"/>
        <v>1148373.3</v>
      </c>
      <c r="O144" s="17"/>
      <c r="P144" s="17">
        <f t="shared" si="43"/>
        <v>276.40600000000001</v>
      </c>
      <c r="Q144" s="17"/>
      <c r="R144" s="17"/>
      <c r="S144" s="17">
        <f t="shared" si="44"/>
        <v>275.69299999999998</v>
      </c>
      <c r="T144" s="17"/>
      <c r="U144" s="17"/>
      <c r="V144" s="17">
        <f t="shared" si="45"/>
        <v>268.92200000000003</v>
      </c>
      <c r="W144" s="17">
        <f t="shared" si="46"/>
        <v>6.7709999999999999</v>
      </c>
      <c r="X144" s="17"/>
    </row>
    <row r="145" spans="2:24" x14ac:dyDescent="0.35">
      <c r="B145">
        <v>1148393.3359999999</v>
      </c>
      <c r="D145">
        <v>276.48629914372123</v>
      </c>
      <c r="G145">
        <v>275.7732991437212</v>
      </c>
      <c r="J145">
        <v>269.22381934372123</v>
      </c>
      <c r="K145">
        <v>6.5494797999999719</v>
      </c>
      <c r="M145">
        <f t="shared" si="25"/>
        <v>0</v>
      </c>
      <c r="N145" s="18">
        <f t="shared" si="42"/>
        <v>1148393.3</v>
      </c>
      <c r="O145" s="17"/>
      <c r="P145" s="17">
        <f t="shared" si="43"/>
        <v>276.48599999999999</v>
      </c>
      <c r="Q145" s="17"/>
      <c r="R145" s="17"/>
      <c r="S145" s="17">
        <f t="shared" si="44"/>
        <v>275.77300000000002</v>
      </c>
      <c r="T145" s="17"/>
      <c r="U145" s="17"/>
      <c r="V145" s="17">
        <f t="shared" si="45"/>
        <v>269.22399999999999</v>
      </c>
      <c r="W145" s="17">
        <f t="shared" si="46"/>
        <v>6.5490000000000004</v>
      </c>
      <c r="X145" s="17"/>
    </row>
    <row r="146" spans="2:24" x14ac:dyDescent="0.35">
      <c r="B146">
        <v>1148413.3359999999</v>
      </c>
      <c r="D146">
        <v>276.56655016892807</v>
      </c>
      <c r="G146">
        <v>275.85355016892805</v>
      </c>
      <c r="J146">
        <v>269.33457986892807</v>
      </c>
      <c r="K146">
        <v>6.5189702999999781</v>
      </c>
      <c r="M146">
        <f t="shared" si="25"/>
        <v>0</v>
      </c>
      <c r="N146" s="18">
        <f t="shared" si="42"/>
        <v>1148413.3</v>
      </c>
      <c r="O146" s="17"/>
      <c r="P146" s="17">
        <f t="shared" si="43"/>
        <v>276.56700000000001</v>
      </c>
      <c r="Q146" s="17"/>
      <c r="R146" s="17"/>
      <c r="S146" s="17">
        <f t="shared" si="44"/>
        <v>275.85399999999998</v>
      </c>
      <c r="T146" s="17"/>
      <c r="U146" s="17"/>
      <c r="V146" s="17">
        <f t="shared" si="45"/>
        <v>269.33499999999998</v>
      </c>
      <c r="W146" s="17">
        <f t="shared" si="46"/>
        <v>6.5190000000000001</v>
      </c>
      <c r="X146" s="17"/>
    </row>
    <row r="147" spans="2:24" x14ac:dyDescent="0.35">
      <c r="B147">
        <v>1148433.3359999999</v>
      </c>
      <c r="D147">
        <v>276.64680119413492</v>
      </c>
      <c r="G147">
        <v>275.9338011941349</v>
      </c>
      <c r="J147">
        <v>269.30583169413489</v>
      </c>
      <c r="K147">
        <v>6.6279695000000061</v>
      </c>
      <c r="M147">
        <f t="shared" si="25"/>
        <v>0</v>
      </c>
      <c r="N147" s="18">
        <f t="shared" si="42"/>
        <v>1148433.3</v>
      </c>
      <c r="O147" s="17"/>
      <c r="P147" s="17">
        <f t="shared" si="43"/>
        <v>276.64699999999999</v>
      </c>
      <c r="Q147" s="17"/>
      <c r="R147" s="17"/>
      <c r="S147" s="17">
        <f t="shared" si="44"/>
        <v>275.93400000000003</v>
      </c>
      <c r="T147" s="17"/>
      <c r="U147" s="17"/>
      <c r="V147" s="17">
        <f t="shared" si="45"/>
        <v>269.30599999999998</v>
      </c>
      <c r="W147" s="17">
        <f t="shared" si="46"/>
        <v>6.6280000000000001</v>
      </c>
      <c r="X147" s="17"/>
    </row>
    <row r="148" spans="2:24" x14ac:dyDescent="0.35">
      <c r="B148">
        <v>1148453.3359999999</v>
      </c>
      <c r="D148">
        <v>276.72705221934177</v>
      </c>
      <c r="G148">
        <v>276.01405221934175</v>
      </c>
      <c r="J148">
        <v>269.24063011934174</v>
      </c>
      <c r="K148">
        <v>6.7734221000000048</v>
      </c>
      <c r="M148">
        <f t="shared" si="25"/>
        <v>0</v>
      </c>
      <c r="N148" s="18">
        <f t="shared" si="42"/>
        <v>1148453.3</v>
      </c>
      <c r="O148" s="17"/>
      <c r="P148" s="17">
        <f t="shared" si="43"/>
        <v>276.72699999999998</v>
      </c>
      <c r="Q148" s="17"/>
      <c r="R148" s="17"/>
      <c r="S148" s="17">
        <f t="shared" si="44"/>
        <v>276.01400000000001</v>
      </c>
      <c r="T148" s="17"/>
      <c r="U148" s="17"/>
      <c r="V148" s="17">
        <f t="shared" si="45"/>
        <v>269.24099999999999</v>
      </c>
      <c r="W148" s="17">
        <f t="shared" si="46"/>
        <v>6.7729999999999997</v>
      </c>
      <c r="X148" s="17"/>
    </row>
    <row r="149" spans="2:24" x14ac:dyDescent="0.35">
      <c r="B149">
        <v>1148473.3359999999</v>
      </c>
      <c r="D149">
        <v>276.80730324454862</v>
      </c>
      <c r="G149">
        <v>276.0943032445486</v>
      </c>
      <c r="J149">
        <v>269.07890934454861</v>
      </c>
      <c r="K149">
        <v>7.0153938999999923</v>
      </c>
      <c r="M149">
        <f t="shared" si="25"/>
        <v>0</v>
      </c>
      <c r="N149" s="18">
        <f t="shared" si="42"/>
        <v>1148473.3</v>
      </c>
      <c r="O149" s="17"/>
      <c r="P149" s="17">
        <f t="shared" si="43"/>
        <v>276.80700000000002</v>
      </c>
      <c r="Q149" s="17"/>
      <c r="R149" s="17"/>
      <c r="S149" s="17">
        <f t="shared" si="44"/>
        <v>276.09399999999999</v>
      </c>
      <c r="T149" s="17"/>
      <c r="U149" s="17"/>
      <c r="V149" s="17">
        <f t="shared" si="45"/>
        <v>269.07900000000001</v>
      </c>
      <c r="W149" s="17">
        <f t="shared" si="46"/>
        <v>7.0149999999999997</v>
      </c>
      <c r="X149" s="17"/>
    </row>
    <row r="150" spans="2:24" x14ac:dyDescent="0.35">
      <c r="B150">
        <v>1148493.3359999999</v>
      </c>
      <c r="D150">
        <v>276.88755426975547</v>
      </c>
      <c r="G150">
        <v>276.17455426975545</v>
      </c>
      <c r="J150">
        <v>268.91146906975547</v>
      </c>
      <c r="K150">
        <v>7.2630851999999777</v>
      </c>
      <c r="M150">
        <f t="shared" si="25"/>
        <v>0</v>
      </c>
      <c r="N150" s="18">
        <f t="shared" si="42"/>
        <v>1148493.3</v>
      </c>
      <c r="O150" s="17"/>
      <c r="P150" s="17">
        <f t="shared" si="43"/>
        <v>276.88799999999998</v>
      </c>
      <c r="Q150" s="17"/>
      <c r="R150" s="17"/>
      <c r="S150" s="17">
        <f t="shared" si="44"/>
        <v>276.17500000000001</v>
      </c>
      <c r="T150" s="17"/>
      <c r="U150" s="17"/>
      <c r="V150" s="17">
        <f t="shared" si="45"/>
        <v>268.911</v>
      </c>
      <c r="W150" s="17">
        <f t="shared" si="46"/>
        <v>7.2629999999999999</v>
      </c>
      <c r="X150" s="17"/>
    </row>
    <row r="151" spans="2:24" x14ac:dyDescent="0.35">
      <c r="B151">
        <v>1148513.3359999999</v>
      </c>
      <c r="D151">
        <v>276.96780529496232</v>
      </c>
      <c r="G151">
        <v>276.2548052949623</v>
      </c>
      <c r="J151">
        <v>268.94546219496232</v>
      </c>
      <c r="K151">
        <v>7.3093430999999782</v>
      </c>
      <c r="M151">
        <f t="shared" si="25"/>
        <v>0</v>
      </c>
      <c r="N151" s="18">
        <f t="shared" si="42"/>
        <v>1148513.3</v>
      </c>
      <c r="O151" s="17"/>
      <c r="P151" s="17">
        <f t="shared" si="43"/>
        <v>276.96800000000002</v>
      </c>
      <c r="Q151" s="17"/>
      <c r="R151" s="17"/>
      <c r="S151" s="17">
        <f t="shared" si="44"/>
        <v>276.255</v>
      </c>
      <c r="T151" s="17"/>
      <c r="U151" s="17"/>
      <c r="V151" s="17">
        <f t="shared" si="45"/>
        <v>268.94499999999999</v>
      </c>
      <c r="W151" s="17">
        <f t="shared" si="46"/>
        <v>7.3090000000000002</v>
      </c>
      <c r="X151" s="17"/>
    </row>
    <row r="152" spans="2:24" x14ac:dyDescent="0.35">
      <c r="B152">
        <v>1148533.3359999999</v>
      </c>
      <c r="D152">
        <v>277.04805632016917</v>
      </c>
      <c r="G152">
        <v>276.33505632016914</v>
      </c>
      <c r="J152">
        <v>268.99270832016919</v>
      </c>
      <c r="K152">
        <v>7.3423479999999586</v>
      </c>
      <c r="M152">
        <f t="shared" si="25"/>
        <v>0</v>
      </c>
      <c r="N152" s="18">
        <f t="shared" si="42"/>
        <v>1148533.3</v>
      </c>
      <c r="O152" s="17"/>
      <c r="P152" s="17">
        <f t="shared" si="43"/>
        <v>277.048</v>
      </c>
      <c r="Q152" s="17"/>
      <c r="R152" s="17"/>
      <c r="S152" s="17">
        <f t="shared" si="44"/>
        <v>276.33499999999998</v>
      </c>
      <c r="T152" s="17"/>
      <c r="U152" s="17"/>
      <c r="V152" s="17">
        <f t="shared" si="45"/>
        <v>268.99299999999999</v>
      </c>
      <c r="W152" s="17">
        <f t="shared" si="46"/>
        <v>7.3419999999999996</v>
      </c>
      <c r="X152" s="17"/>
    </row>
    <row r="153" spans="2:24" x14ac:dyDescent="0.35">
      <c r="B153">
        <v>1148553.3359999999</v>
      </c>
      <c r="D153">
        <v>277.12830734537602</v>
      </c>
      <c r="G153">
        <v>276.41530734537599</v>
      </c>
      <c r="J153">
        <v>269.06061304537604</v>
      </c>
      <c r="K153">
        <v>7.3546942999999487</v>
      </c>
      <c r="M153">
        <f t="shared" si="25"/>
        <v>0</v>
      </c>
      <c r="N153" s="18">
        <f t="shared" si="42"/>
        <v>1148553.3</v>
      </c>
      <c r="O153" s="17"/>
      <c r="P153" s="17">
        <f t="shared" si="43"/>
        <v>277.12799999999999</v>
      </c>
      <c r="Q153" s="17"/>
      <c r="R153" s="17"/>
      <c r="S153" s="17">
        <f t="shared" si="44"/>
        <v>276.41500000000002</v>
      </c>
      <c r="T153" s="17"/>
      <c r="U153" s="17"/>
      <c r="V153" s="17">
        <f t="shared" si="45"/>
        <v>269.06099999999998</v>
      </c>
      <c r="W153" s="17">
        <f t="shared" si="46"/>
        <v>7.3550000000000004</v>
      </c>
      <c r="X153" s="17"/>
    </row>
    <row r="154" spans="2:24" x14ac:dyDescent="0.35">
      <c r="B154">
        <v>1148573.3359999999</v>
      </c>
      <c r="D154">
        <v>277.20855837058286</v>
      </c>
      <c r="G154">
        <v>276.49555837058284</v>
      </c>
      <c r="J154">
        <v>269.1880907705829</v>
      </c>
      <c r="K154">
        <v>7.3074675999999386</v>
      </c>
      <c r="M154">
        <f t="shared" si="25"/>
        <v>0</v>
      </c>
      <c r="N154" s="18">
        <f t="shared" si="42"/>
        <v>1148573.3</v>
      </c>
      <c r="O154" s="17"/>
      <c r="P154" s="17">
        <f t="shared" si="43"/>
        <v>277.209</v>
      </c>
      <c r="Q154" s="17"/>
      <c r="R154" s="17"/>
      <c r="S154" s="17">
        <f t="shared" si="44"/>
        <v>276.49599999999998</v>
      </c>
      <c r="T154" s="17"/>
      <c r="U154" s="17"/>
      <c r="V154" s="17">
        <f t="shared" si="45"/>
        <v>269.18799999999999</v>
      </c>
      <c r="W154" s="17">
        <f t="shared" si="46"/>
        <v>7.3070000000000004</v>
      </c>
      <c r="X154" s="17"/>
    </row>
    <row r="155" spans="2:24" x14ac:dyDescent="0.35">
      <c r="B155">
        <v>1148593.3359999999</v>
      </c>
      <c r="D155">
        <v>277.28880939578971</v>
      </c>
      <c r="G155">
        <v>276.57580939578969</v>
      </c>
      <c r="J155">
        <v>269.05571149578969</v>
      </c>
      <c r="K155">
        <v>7.5200978999999961</v>
      </c>
      <c r="M155">
        <f t="shared" si="25"/>
        <v>0</v>
      </c>
      <c r="N155" s="18">
        <f t="shared" si="42"/>
        <v>1148593.3</v>
      </c>
      <c r="O155" s="17"/>
      <c r="P155" s="17">
        <f t="shared" si="43"/>
        <v>277.28899999999999</v>
      </c>
      <c r="Q155" s="17"/>
      <c r="R155" s="17"/>
      <c r="S155" s="17">
        <f t="shared" si="44"/>
        <v>276.57600000000002</v>
      </c>
      <c r="T155" s="17"/>
      <c r="U155" s="17"/>
      <c r="V155" s="17">
        <f t="shared" si="45"/>
        <v>269.05599999999998</v>
      </c>
      <c r="W155" s="17">
        <f t="shared" si="46"/>
        <v>7.52</v>
      </c>
      <c r="X155" s="17"/>
    </row>
    <row r="156" spans="2:24" x14ac:dyDescent="0.35">
      <c r="B156">
        <v>1148613.3359999999</v>
      </c>
      <c r="D156">
        <v>277.36906042099656</v>
      </c>
      <c r="G156">
        <v>276.65606042099654</v>
      </c>
      <c r="J156">
        <v>268.97269452099658</v>
      </c>
      <c r="K156">
        <v>7.6833658999999557</v>
      </c>
      <c r="M156">
        <f t="shared" si="25"/>
        <v>0</v>
      </c>
      <c r="N156" s="18">
        <f t="shared" si="42"/>
        <v>1148613.3</v>
      </c>
      <c r="O156" s="17"/>
      <c r="P156" s="17">
        <f t="shared" si="43"/>
        <v>277.36900000000003</v>
      </c>
      <c r="Q156" s="17"/>
      <c r="R156" s="17"/>
      <c r="S156" s="17">
        <f t="shared" si="44"/>
        <v>276.65600000000001</v>
      </c>
      <c r="T156" s="17"/>
      <c r="U156" s="17"/>
      <c r="V156" s="17">
        <f t="shared" si="45"/>
        <v>268.97300000000001</v>
      </c>
      <c r="W156" s="17">
        <f t="shared" si="46"/>
        <v>7.6829999999999998</v>
      </c>
      <c r="X156" s="17"/>
    </row>
    <row r="157" spans="2:24" x14ac:dyDescent="0.35">
      <c r="B157">
        <v>1148633.3359999999</v>
      </c>
      <c r="D157">
        <v>277.44931144620341</v>
      </c>
      <c r="G157">
        <v>276.73631144620339</v>
      </c>
      <c r="J157">
        <v>268.92890614620342</v>
      </c>
      <c r="K157">
        <v>7.8074052999999708</v>
      </c>
      <c r="M157">
        <f t="shared" si="25"/>
        <v>0</v>
      </c>
      <c r="N157" s="18">
        <f t="shared" si="42"/>
        <v>1148633.3</v>
      </c>
      <c r="O157" s="17"/>
      <c r="P157" s="17">
        <f t="shared" si="43"/>
        <v>277.44900000000001</v>
      </c>
      <c r="Q157" s="17"/>
      <c r="R157" s="17"/>
      <c r="S157" s="17">
        <f t="shared" si="44"/>
        <v>276.73599999999999</v>
      </c>
      <c r="T157" s="17"/>
      <c r="U157" s="17"/>
      <c r="V157" s="17">
        <f t="shared" si="45"/>
        <v>268.92899999999997</v>
      </c>
      <c r="W157" s="17">
        <f t="shared" si="46"/>
        <v>7.8070000000000004</v>
      </c>
      <c r="X157" s="17"/>
    </row>
    <row r="158" spans="2:24" x14ac:dyDescent="0.35">
      <c r="B158">
        <v>1148653.3359999999</v>
      </c>
      <c r="D158">
        <v>277.52956247141026</v>
      </c>
      <c r="G158">
        <v>276.81656247141024</v>
      </c>
      <c r="J158">
        <v>268.93853387141024</v>
      </c>
      <c r="K158">
        <v>7.8780285999999933</v>
      </c>
      <c r="M158">
        <f t="shared" si="25"/>
        <v>0</v>
      </c>
      <c r="N158" s="18">
        <f t="shared" si="42"/>
        <v>1148653.3</v>
      </c>
      <c r="O158" s="17"/>
      <c r="P158" s="17">
        <f t="shared" si="43"/>
        <v>277.52999999999997</v>
      </c>
      <c r="Q158" s="17"/>
      <c r="R158" s="17"/>
      <c r="S158" s="17">
        <f t="shared" si="44"/>
        <v>276.81700000000001</v>
      </c>
      <c r="T158" s="17"/>
      <c r="U158" s="17"/>
      <c r="V158" s="17">
        <f t="shared" si="45"/>
        <v>268.93900000000002</v>
      </c>
      <c r="W158" s="17">
        <f t="shared" si="46"/>
        <v>7.8780000000000001</v>
      </c>
      <c r="X158" s="17"/>
    </row>
    <row r="159" spans="2:24" x14ac:dyDescent="0.35">
      <c r="B159">
        <v>1148673.3359999999</v>
      </c>
      <c r="D159">
        <v>277.60981349661711</v>
      </c>
      <c r="G159">
        <v>276.89681349661709</v>
      </c>
      <c r="J159">
        <v>269.04530479661707</v>
      </c>
      <c r="K159">
        <v>7.8515087000000108</v>
      </c>
      <c r="M159">
        <f t="shared" si="25"/>
        <v>0</v>
      </c>
      <c r="N159" s="18">
        <f t="shared" si="42"/>
        <v>1148673.3</v>
      </c>
      <c r="O159" s="17"/>
      <c r="P159" s="17">
        <f t="shared" si="43"/>
        <v>277.61</v>
      </c>
      <c r="Q159" s="17"/>
      <c r="R159" s="17"/>
      <c r="S159" s="17">
        <f t="shared" si="44"/>
        <v>276.89699999999999</v>
      </c>
      <c r="T159" s="17"/>
      <c r="U159" s="17"/>
      <c r="V159" s="17">
        <f t="shared" si="45"/>
        <v>269.04500000000002</v>
      </c>
      <c r="W159" s="17">
        <f t="shared" si="46"/>
        <v>7.8520000000000003</v>
      </c>
      <c r="X159" s="17"/>
    </row>
    <row r="160" spans="2:24" x14ac:dyDescent="0.35">
      <c r="B160">
        <v>1148693.3359999999</v>
      </c>
      <c r="D160">
        <v>277.69006452182396</v>
      </c>
      <c r="G160">
        <v>276.97706452182393</v>
      </c>
      <c r="J160">
        <v>269.16300232182397</v>
      </c>
      <c r="K160">
        <v>7.8140621999999667</v>
      </c>
      <c r="M160">
        <f t="shared" si="25"/>
        <v>0</v>
      </c>
      <c r="N160" s="18">
        <f t="shared" si="42"/>
        <v>1148693.3</v>
      </c>
      <c r="O160" s="17"/>
      <c r="P160" s="17">
        <f t="shared" si="43"/>
        <v>277.69</v>
      </c>
      <c r="Q160" s="17"/>
      <c r="R160" s="17"/>
      <c r="S160" s="17">
        <f t="shared" si="44"/>
        <v>276.97699999999998</v>
      </c>
      <c r="T160" s="17"/>
      <c r="U160" s="17"/>
      <c r="V160" s="17">
        <f t="shared" si="45"/>
        <v>269.16300000000001</v>
      </c>
      <c r="W160" s="17">
        <f t="shared" si="46"/>
        <v>7.8140000000000001</v>
      </c>
      <c r="X160" s="17"/>
    </row>
    <row r="161" spans="2:24" x14ac:dyDescent="0.35">
      <c r="B161">
        <v>1148713.3359999999</v>
      </c>
      <c r="D161">
        <v>277.76</v>
      </c>
      <c r="G161">
        <v>277.04699999999997</v>
      </c>
      <c r="J161">
        <v>269.16766820000004</v>
      </c>
      <c r="K161">
        <v>7.8793317999999317</v>
      </c>
      <c r="M161">
        <f t="shared" si="25"/>
        <v>0</v>
      </c>
      <c r="N161" s="18">
        <f t="shared" si="42"/>
        <v>1148713.3</v>
      </c>
      <c r="O161" s="17"/>
      <c r="P161" s="17">
        <f t="shared" si="43"/>
        <v>277.76</v>
      </c>
      <c r="Q161" s="17"/>
      <c r="R161" s="17"/>
      <c r="S161" s="17">
        <f t="shared" si="44"/>
        <v>277.04700000000003</v>
      </c>
      <c r="T161" s="17"/>
      <c r="U161" s="17"/>
      <c r="V161" s="17">
        <f t="shared" si="45"/>
        <v>269.16800000000001</v>
      </c>
      <c r="W161" s="17">
        <f t="shared" si="46"/>
        <v>7.8789999999999996</v>
      </c>
      <c r="X161" s="17"/>
    </row>
    <row r="162" spans="2:24" x14ac:dyDescent="0.35">
      <c r="B162">
        <v>1148733.3359999999</v>
      </c>
      <c r="D162">
        <v>277.76</v>
      </c>
      <c r="G162">
        <v>277.04699999999997</v>
      </c>
      <c r="J162">
        <v>269.09580069999998</v>
      </c>
      <c r="K162">
        <v>7.9511992999999848</v>
      </c>
      <c r="M162">
        <f t="shared" si="25"/>
        <v>0</v>
      </c>
      <c r="N162" s="18">
        <f t="shared" si="42"/>
        <v>1148733.3</v>
      </c>
      <c r="O162" s="17"/>
      <c r="P162" s="17">
        <f t="shared" si="43"/>
        <v>277.76</v>
      </c>
      <c r="Q162" s="17"/>
      <c r="R162" s="17"/>
      <c r="S162" s="17">
        <f t="shared" si="44"/>
        <v>277.04700000000003</v>
      </c>
      <c r="T162" s="17"/>
      <c r="U162" s="17"/>
      <c r="V162" s="17">
        <f t="shared" si="45"/>
        <v>269.096</v>
      </c>
      <c r="W162" s="17">
        <f t="shared" si="46"/>
        <v>7.9509999999999996</v>
      </c>
      <c r="X162" s="17"/>
    </row>
    <row r="163" spans="2:24" x14ac:dyDescent="0.35">
      <c r="B163">
        <v>1148753.3359999999</v>
      </c>
      <c r="D163">
        <v>277.76</v>
      </c>
      <c r="G163">
        <v>277.04699999999997</v>
      </c>
      <c r="J163">
        <v>269.14900499999999</v>
      </c>
      <c r="K163">
        <v>7.8979949999999803</v>
      </c>
      <c r="M163">
        <f t="shared" si="25"/>
        <v>0</v>
      </c>
      <c r="N163" s="18">
        <f t="shared" si="42"/>
        <v>1148753.3</v>
      </c>
      <c r="O163" s="17"/>
      <c r="P163" s="17">
        <f t="shared" si="43"/>
        <v>277.76</v>
      </c>
      <c r="Q163" s="17"/>
      <c r="R163" s="17"/>
      <c r="S163" s="17">
        <f t="shared" si="44"/>
        <v>277.04700000000003</v>
      </c>
      <c r="T163" s="17"/>
      <c r="U163" s="17"/>
      <c r="V163" s="17">
        <f t="shared" si="45"/>
        <v>269.149</v>
      </c>
      <c r="W163" s="17">
        <f t="shared" si="46"/>
        <v>7.8979999999999997</v>
      </c>
      <c r="X163" s="17"/>
    </row>
    <row r="164" spans="2:24" x14ac:dyDescent="0.35">
      <c r="B164">
        <v>1148773.3359999999</v>
      </c>
      <c r="D164">
        <v>277.76</v>
      </c>
      <c r="G164">
        <v>277.04699999999997</v>
      </c>
      <c r="J164">
        <v>269.43741670000003</v>
      </c>
      <c r="K164">
        <v>7.6095832999999402</v>
      </c>
      <c r="M164">
        <f t="shared" si="25"/>
        <v>0</v>
      </c>
      <c r="N164" s="18">
        <f t="shared" si="42"/>
        <v>1148773.3</v>
      </c>
      <c r="O164" s="17"/>
      <c r="P164" s="17">
        <f t="shared" si="43"/>
        <v>277.76</v>
      </c>
      <c r="Q164" s="17"/>
      <c r="R164" s="17"/>
      <c r="S164" s="17">
        <f t="shared" si="44"/>
        <v>277.04700000000003</v>
      </c>
      <c r="T164" s="17"/>
      <c r="U164" s="17"/>
      <c r="V164" s="17">
        <f t="shared" si="45"/>
        <v>269.43700000000001</v>
      </c>
      <c r="W164" s="17">
        <f t="shared" si="46"/>
        <v>7.61</v>
      </c>
      <c r="X164" s="17"/>
    </row>
    <row r="165" spans="2:24" x14ac:dyDescent="0.35">
      <c r="B165">
        <v>1148793.3359999999</v>
      </c>
      <c r="D165">
        <v>277.76</v>
      </c>
      <c r="G165">
        <v>277.04699999999997</v>
      </c>
      <c r="J165">
        <v>269.59871680000003</v>
      </c>
      <c r="K165">
        <v>7.4482831999999348</v>
      </c>
      <c r="M165">
        <f t="shared" si="25"/>
        <v>0</v>
      </c>
      <c r="N165" s="18">
        <f t="shared" si="42"/>
        <v>1148793.3</v>
      </c>
      <c r="O165" s="17"/>
      <c r="P165" s="17">
        <f t="shared" si="43"/>
        <v>277.76</v>
      </c>
      <c r="Q165" s="17"/>
      <c r="R165" s="17"/>
      <c r="S165" s="17">
        <f t="shared" si="44"/>
        <v>277.04700000000003</v>
      </c>
      <c r="T165" s="17"/>
      <c r="U165" s="17"/>
      <c r="V165" s="17">
        <f t="shared" si="45"/>
        <v>269.59899999999999</v>
      </c>
      <c r="W165" s="17">
        <f t="shared" si="46"/>
        <v>7.4480000000000004</v>
      </c>
      <c r="X165" s="17"/>
    </row>
    <row r="166" spans="2:24" x14ac:dyDescent="0.35">
      <c r="B166">
        <v>1148813.3359999999</v>
      </c>
      <c r="D166">
        <v>277.76</v>
      </c>
      <c r="G166">
        <v>277.04699999999997</v>
      </c>
      <c r="J166">
        <v>269.47010460000001</v>
      </c>
      <c r="K166">
        <v>7.5768953999999553</v>
      </c>
      <c r="M166">
        <f t="shared" si="25"/>
        <v>0</v>
      </c>
      <c r="N166" s="18">
        <f t="shared" si="42"/>
        <v>1148813.3</v>
      </c>
      <c r="O166" s="17"/>
      <c r="P166" s="17">
        <f t="shared" si="43"/>
        <v>277.76</v>
      </c>
      <c r="Q166" s="17"/>
      <c r="R166" s="17"/>
      <c r="S166" s="17">
        <f t="shared" si="44"/>
        <v>277.04700000000003</v>
      </c>
      <c r="T166" s="17"/>
      <c r="U166" s="17"/>
      <c r="V166" s="17">
        <f t="shared" si="45"/>
        <v>269.47000000000003</v>
      </c>
      <c r="W166" s="17">
        <f t="shared" si="46"/>
        <v>7.577</v>
      </c>
      <c r="X166" s="17"/>
    </row>
    <row r="167" spans="2:24" x14ac:dyDescent="0.35">
      <c r="B167">
        <v>1148833.3359999999</v>
      </c>
      <c r="D167">
        <v>277.76</v>
      </c>
      <c r="G167">
        <v>277.04699999999997</v>
      </c>
      <c r="J167">
        <v>269.38250240000002</v>
      </c>
      <c r="K167">
        <v>7.6644975999999474</v>
      </c>
      <c r="M167">
        <f t="shared" si="25"/>
        <v>0</v>
      </c>
      <c r="N167" s="18">
        <f t="shared" si="42"/>
        <v>1148833.3</v>
      </c>
      <c r="O167" s="17"/>
      <c r="P167" s="17">
        <f t="shared" si="43"/>
        <v>277.76</v>
      </c>
      <c r="Q167" s="17"/>
      <c r="R167" s="17"/>
      <c r="S167" s="17">
        <f t="shared" si="44"/>
        <v>277.04700000000003</v>
      </c>
      <c r="T167" s="17"/>
      <c r="U167" s="17"/>
      <c r="V167" s="17">
        <f t="shared" si="45"/>
        <v>269.38299999999998</v>
      </c>
      <c r="W167" s="17">
        <f t="shared" si="46"/>
        <v>7.6639999999999997</v>
      </c>
      <c r="X167" s="17"/>
    </row>
    <row r="168" spans="2:24" x14ac:dyDescent="0.35">
      <c r="B168">
        <v>1148853.3359999999</v>
      </c>
      <c r="D168">
        <v>277.76</v>
      </c>
      <c r="G168">
        <v>277.04699999999997</v>
      </c>
      <c r="J168">
        <v>269.63681309999998</v>
      </c>
      <c r="K168">
        <v>7.4101868999999851</v>
      </c>
      <c r="M168">
        <f t="shared" si="25"/>
        <v>0</v>
      </c>
      <c r="N168" s="18">
        <f t="shared" si="42"/>
        <v>1148853.3</v>
      </c>
      <c r="O168" s="17"/>
      <c r="P168" s="17">
        <f t="shared" si="43"/>
        <v>277.76</v>
      </c>
      <c r="Q168" s="17"/>
      <c r="R168" s="17"/>
      <c r="S168" s="17">
        <f t="shared" si="44"/>
        <v>277.04700000000003</v>
      </c>
      <c r="T168" s="17"/>
      <c r="U168" s="17"/>
      <c r="V168" s="17">
        <f t="shared" si="45"/>
        <v>269.637</v>
      </c>
      <c r="W168" s="17">
        <f t="shared" si="46"/>
        <v>7.41</v>
      </c>
      <c r="X168" s="17"/>
    </row>
    <row r="169" spans="2:24" x14ac:dyDescent="0.35">
      <c r="B169">
        <v>1148873.3359999999</v>
      </c>
      <c r="D169">
        <v>277.76</v>
      </c>
      <c r="G169">
        <v>277.04699999999997</v>
      </c>
      <c r="J169">
        <v>269.74211650000001</v>
      </c>
      <c r="K169">
        <v>7.3048834999999599</v>
      </c>
      <c r="M169">
        <f t="shared" si="25"/>
        <v>0</v>
      </c>
      <c r="N169" s="18">
        <f t="shared" si="42"/>
        <v>1148873.3</v>
      </c>
      <c r="O169" s="17"/>
      <c r="P169" s="17">
        <f t="shared" si="43"/>
        <v>277.76</v>
      </c>
      <c r="Q169" s="17"/>
      <c r="R169" s="17"/>
      <c r="S169" s="17">
        <f t="shared" si="44"/>
        <v>277.04700000000003</v>
      </c>
      <c r="T169" s="17"/>
      <c r="U169" s="17"/>
      <c r="V169" s="17">
        <f t="shared" si="45"/>
        <v>269.74200000000002</v>
      </c>
      <c r="W169" s="17">
        <f t="shared" si="46"/>
        <v>7.3049999999999997</v>
      </c>
      <c r="X169" s="17"/>
    </row>
    <row r="170" spans="2:24" x14ac:dyDescent="0.35">
      <c r="B170">
        <v>1148893.3359999999</v>
      </c>
      <c r="D170">
        <v>277.76</v>
      </c>
      <c r="G170">
        <v>277.04699999999997</v>
      </c>
      <c r="J170">
        <v>269.80162430000001</v>
      </c>
      <c r="K170">
        <v>7.2453756999999541</v>
      </c>
      <c r="M170">
        <f t="shared" si="25"/>
        <v>0</v>
      </c>
      <c r="N170" s="18">
        <f t="shared" si="42"/>
        <v>1148893.3</v>
      </c>
      <c r="O170" s="17"/>
      <c r="P170" s="17">
        <f t="shared" si="43"/>
        <v>277.76</v>
      </c>
      <c r="Q170" s="17"/>
      <c r="R170" s="17"/>
      <c r="S170" s="17">
        <f t="shared" si="44"/>
        <v>277.04700000000003</v>
      </c>
      <c r="T170" s="17"/>
      <c r="U170" s="17"/>
      <c r="V170" s="17">
        <f t="shared" si="45"/>
        <v>269.80200000000002</v>
      </c>
      <c r="W170" s="17">
        <f t="shared" si="46"/>
        <v>7.2450000000000001</v>
      </c>
      <c r="X170" s="17"/>
    </row>
    <row r="171" spans="2:24" x14ac:dyDescent="0.35">
      <c r="B171">
        <v>1148913.3359999999</v>
      </c>
      <c r="D171">
        <v>277.76</v>
      </c>
      <c r="G171">
        <v>277.04699999999997</v>
      </c>
      <c r="J171">
        <v>269.72237860000001</v>
      </c>
      <c r="K171">
        <v>7.3246213999999554</v>
      </c>
      <c r="M171">
        <f t="shared" si="25"/>
        <v>0</v>
      </c>
      <c r="N171" s="18">
        <f t="shared" si="42"/>
        <v>1148913.3</v>
      </c>
      <c r="O171" s="17"/>
      <c r="P171" s="17">
        <f t="shared" si="43"/>
        <v>277.76</v>
      </c>
      <c r="Q171" s="17"/>
      <c r="R171" s="17"/>
      <c r="S171" s="17">
        <f t="shared" si="44"/>
        <v>277.04700000000003</v>
      </c>
      <c r="T171" s="17"/>
      <c r="U171" s="17"/>
      <c r="V171" s="17">
        <f t="shared" si="45"/>
        <v>269.72199999999998</v>
      </c>
      <c r="W171" s="17">
        <f t="shared" si="46"/>
        <v>7.3250000000000002</v>
      </c>
      <c r="X171" s="17"/>
    </row>
    <row r="172" spans="2:24" x14ac:dyDescent="0.35">
      <c r="B172">
        <v>1148933.3359999999</v>
      </c>
      <c r="D172">
        <v>277.76</v>
      </c>
      <c r="G172">
        <v>277.04699999999997</v>
      </c>
      <c r="J172">
        <v>269.60308100000003</v>
      </c>
      <c r="K172">
        <v>7.4439189999999371</v>
      </c>
      <c r="M172">
        <f t="shared" si="25"/>
        <v>0</v>
      </c>
      <c r="N172" s="18">
        <f t="shared" si="42"/>
        <v>1148933.3</v>
      </c>
      <c r="O172" s="17"/>
      <c r="P172" s="17">
        <f t="shared" si="43"/>
        <v>277.76</v>
      </c>
      <c r="Q172" s="17"/>
      <c r="R172" s="17"/>
      <c r="S172" s="17">
        <f t="shared" si="44"/>
        <v>277.04700000000003</v>
      </c>
      <c r="T172" s="17"/>
      <c r="U172" s="17"/>
      <c r="V172" s="17">
        <f t="shared" si="45"/>
        <v>269.60300000000001</v>
      </c>
      <c r="W172" s="17">
        <f t="shared" si="46"/>
        <v>7.444</v>
      </c>
      <c r="X172" s="17"/>
    </row>
    <row r="173" spans="2:24" x14ac:dyDescent="0.35">
      <c r="B173">
        <v>1148953.3359999999</v>
      </c>
      <c r="D173">
        <v>277.76</v>
      </c>
      <c r="G173">
        <v>277.04699999999997</v>
      </c>
      <c r="J173">
        <v>268.5274526</v>
      </c>
      <c r="K173">
        <v>8.5195473999999649</v>
      </c>
      <c r="M173">
        <f t="shared" si="25"/>
        <v>0</v>
      </c>
      <c r="N173" s="18">
        <f t="shared" si="42"/>
        <v>1148953.3</v>
      </c>
      <c r="O173" s="17"/>
      <c r="P173" s="17">
        <f t="shared" si="43"/>
        <v>277.76</v>
      </c>
      <c r="Q173" s="17"/>
      <c r="R173" s="17"/>
      <c r="S173" s="17">
        <f t="shared" si="44"/>
        <v>277.04700000000003</v>
      </c>
      <c r="T173" s="17"/>
      <c r="U173" s="17"/>
      <c r="V173" s="17">
        <f t="shared" si="45"/>
        <v>268.52699999999999</v>
      </c>
      <c r="W173" s="17">
        <f t="shared" si="46"/>
        <v>8.52</v>
      </c>
      <c r="X173" s="17"/>
    </row>
    <row r="174" spans="2:24" x14ac:dyDescent="0.35">
      <c r="B174">
        <v>1148973.3359999999</v>
      </c>
      <c r="D174">
        <v>277.76</v>
      </c>
      <c r="G174">
        <v>277.04699999999997</v>
      </c>
      <c r="J174">
        <v>268.77532830000001</v>
      </c>
      <c r="K174">
        <v>8.2716716999999562</v>
      </c>
      <c r="M174">
        <f t="shared" si="25"/>
        <v>0</v>
      </c>
      <c r="N174" s="18">
        <f t="shared" si="42"/>
        <v>1148973.3</v>
      </c>
      <c r="O174" s="17"/>
      <c r="P174" s="17">
        <f t="shared" si="43"/>
        <v>277.76</v>
      </c>
      <c r="Q174" s="17"/>
      <c r="R174" s="17"/>
      <c r="S174" s="17">
        <f t="shared" si="44"/>
        <v>277.04700000000003</v>
      </c>
      <c r="T174" s="17"/>
      <c r="U174" s="17"/>
      <c r="V174" s="17">
        <f t="shared" si="45"/>
        <v>268.77499999999998</v>
      </c>
      <c r="W174" s="17">
        <f t="shared" si="46"/>
        <v>8.2720000000000002</v>
      </c>
      <c r="X174" s="17"/>
    </row>
    <row r="175" spans="2:24" x14ac:dyDescent="0.35">
      <c r="B175">
        <v>1148993.3359999999</v>
      </c>
      <c r="D175">
        <v>277.76</v>
      </c>
      <c r="G175">
        <v>277.04699999999997</v>
      </c>
      <c r="J175">
        <v>270.16774190000001</v>
      </c>
      <c r="K175">
        <v>6.8792580999999586</v>
      </c>
      <c r="M175">
        <f t="shared" si="25"/>
        <v>0</v>
      </c>
      <c r="N175" s="18">
        <f t="shared" si="42"/>
        <v>1148993.3</v>
      </c>
      <c r="O175" s="17"/>
      <c r="P175" s="17">
        <f t="shared" si="43"/>
        <v>277.76</v>
      </c>
      <c r="Q175" s="17"/>
      <c r="R175" s="17"/>
      <c r="S175" s="17">
        <f t="shared" si="44"/>
        <v>277.04700000000003</v>
      </c>
      <c r="T175" s="17"/>
      <c r="U175" s="17"/>
      <c r="V175" s="17">
        <f t="shared" si="45"/>
        <v>270.16800000000001</v>
      </c>
      <c r="W175" s="17">
        <f t="shared" si="46"/>
        <v>6.8789999999999996</v>
      </c>
      <c r="X175" s="17"/>
    </row>
    <row r="176" spans="2:24" x14ac:dyDescent="0.35">
      <c r="B176">
        <v>1149013.3359999999</v>
      </c>
      <c r="D176">
        <v>277.76</v>
      </c>
      <c r="G176">
        <v>277.04699999999997</v>
      </c>
      <c r="J176">
        <v>268.66381590000003</v>
      </c>
      <c r="K176">
        <v>8.3831840999999372</v>
      </c>
      <c r="M176">
        <f t="shared" si="25"/>
        <v>0</v>
      </c>
      <c r="N176" s="18">
        <f t="shared" si="42"/>
        <v>1149013.3</v>
      </c>
      <c r="O176" s="17"/>
      <c r="P176" s="17">
        <f t="shared" si="43"/>
        <v>277.76</v>
      </c>
      <c r="Q176" s="17"/>
      <c r="R176" s="17"/>
      <c r="S176" s="17">
        <f t="shared" si="44"/>
        <v>277.04700000000003</v>
      </c>
      <c r="T176" s="17"/>
      <c r="U176" s="17"/>
      <c r="V176" s="17">
        <f t="shared" si="45"/>
        <v>268.66399999999999</v>
      </c>
      <c r="W176" s="17">
        <f t="shared" si="46"/>
        <v>8.3829999999999991</v>
      </c>
      <c r="X176" s="17"/>
    </row>
    <row r="177" spans="2:24" x14ac:dyDescent="0.35">
      <c r="B177">
        <v>1149033.3359999999</v>
      </c>
      <c r="D177">
        <v>277.76</v>
      </c>
      <c r="G177">
        <v>277.04699999999997</v>
      </c>
      <c r="J177">
        <v>267.3735302</v>
      </c>
      <c r="K177">
        <v>9.6734697999999639</v>
      </c>
      <c r="M177">
        <f t="shared" si="25"/>
        <v>0</v>
      </c>
      <c r="N177" s="18">
        <f t="shared" si="42"/>
        <v>1149033.3</v>
      </c>
      <c r="O177" s="17"/>
      <c r="P177" s="17">
        <f t="shared" si="43"/>
        <v>277.76</v>
      </c>
      <c r="Q177" s="17"/>
      <c r="R177" s="17"/>
      <c r="S177" s="17">
        <f t="shared" si="44"/>
        <v>277.04700000000003</v>
      </c>
      <c r="T177" s="17"/>
      <c r="U177" s="17"/>
      <c r="V177" s="17">
        <f t="shared" si="45"/>
        <v>267.37400000000002</v>
      </c>
      <c r="W177" s="17">
        <f t="shared" si="46"/>
        <v>9.673</v>
      </c>
      <c r="X177" s="17"/>
    </row>
    <row r="178" spans="2:24" x14ac:dyDescent="0.35">
      <c r="B178">
        <v>1149053.3359999999</v>
      </c>
      <c r="D178">
        <v>277.76</v>
      </c>
      <c r="G178">
        <v>277.04699999999997</v>
      </c>
      <c r="J178">
        <v>266.94995399999999</v>
      </c>
      <c r="K178">
        <v>10.097045999999978</v>
      </c>
      <c r="M178">
        <f t="shared" si="25"/>
        <v>0</v>
      </c>
      <c r="N178" s="18">
        <f t="shared" si="42"/>
        <v>1149053.3</v>
      </c>
      <c r="O178" s="17"/>
      <c r="P178" s="17">
        <f t="shared" si="43"/>
        <v>277.76</v>
      </c>
      <c r="Q178" s="17"/>
      <c r="R178" s="17"/>
      <c r="S178" s="17">
        <f t="shared" si="44"/>
        <v>277.04700000000003</v>
      </c>
      <c r="T178" s="17"/>
      <c r="U178" s="17"/>
      <c r="V178" s="17">
        <f t="shared" si="45"/>
        <v>266.95</v>
      </c>
      <c r="W178" s="17">
        <f t="shared" si="46"/>
        <v>10.097</v>
      </c>
      <c r="X178" s="17"/>
    </row>
    <row r="179" spans="2:24" x14ac:dyDescent="0.35">
      <c r="B179">
        <v>1149073.3359999999</v>
      </c>
      <c r="D179">
        <v>277.76</v>
      </c>
      <c r="G179">
        <v>277.04699999999997</v>
      </c>
      <c r="J179">
        <v>267.03909440000001</v>
      </c>
      <c r="K179">
        <v>10.007905599999958</v>
      </c>
      <c r="M179">
        <f t="shared" si="25"/>
        <v>0</v>
      </c>
      <c r="N179" s="18">
        <f t="shared" si="42"/>
        <v>1149073.3</v>
      </c>
      <c r="O179" s="17"/>
      <c r="P179" s="17">
        <f t="shared" si="43"/>
        <v>277.76</v>
      </c>
      <c r="Q179" s="17"/>
      <c r="R179" s="17"/>
      <c r="S179" s="17">
        <f t="shared" si="44"/>
        <v>277.04700000000003</v>
      </c>
      <c r="T179" s="17"/>
      <c r="U179" s="17"/>
      <c r="V179" s="17">
        <f t="shared" si="45"/>
        <v>267.03899999999999</v>
      </c>
      <c r="W179" s="17">
        <f t="shared" si="46"/>
        <v>10.007999999999999</v>
      </c>
      <c r="X179" s="17"/>
    </row>
    <row r="180" spans="2:24" x14ac:dyDescent="0.35">
      <c r="B180">
        <v>1149093.3359999999</v>
      </c>
      <c r="D180">
        <v>277.76</v>
      </c>
      <c r="G180">
        <v>277.04699999999997</v>
      </c>
      <c r="J180">
        <v>267.18490009999999</v>
      </c>
      <c r="K180">
        <v>9.8620998999999756</v>
      </c>
      <c r="M180">
        <f t="shared" si="25"/>
        <v>0</v>
      </c>
      <c r="N180" s="18">
        <f t="shared" si="42"/>
        <v>1149093.3</v>
      </c>
      <c r="O180" s="17"/>
      <c r="P180" s="17">
        <f t="shared" si="43"/>
        <v>277.76</v>
      </c>
      <c r="Q180" s="17"/>
      <c r="R180" s="17"/>
      <c r="S180" s="17">
        <f t="shared" si="44"/>
        <v>277.04700000000003</v>
      </c>
      <c r="T180" s="17"/>
      <c r="U180" s="17"/>
      <c r="V180" s="17">
        <f t="shared" si="45"/>
        <v>267.185</v>
      </c>
      <c r="W180" s="17">
        <f t="shared" si="46"/>
        <v>9.8620000000000001</v>
      </c>
      <c r="X180" s="17"/>
    </row>
    <row r="181" spans="2:24" x14ac:dyDescent="0.35">
      <c r="B181">
        <v>1149113.3359999999</v>
      </c>
      <c r="D181">
        <v>277.76</v>
      </c>
      <c r="G181">
        <v>277.04699999999997</v>
      </c>
      <c r="J181">
        <v>267.39756040000003</v>
      </c>
      <c r="K181">
        <v>9.6494395999999369</v>
      </c>
      <c r="M181">
        <f t="shared" si="25"/>
        <v>0</v>
      </c>
      <c r="N181" s="18">
        <f t="shared" si="42"/>
        <v>1149113.3</v>
      </c>
      <c r="O181" s="17"/>
      <c r="P181" s="17">
        <f t="shared" si="43"/>
        <v>277.76</v>
      </c>
      <c r="Q181" s="17"/>
      <c r="R181" s="17"/>
      <c r="S181" s="17">
        <f t="shared" si="44"/>
        <v>277.04700000000003</v>
      </c>
      <c r="T181" s="17"/>
      <c r="U181" s="17"/>
      <c r="V181" s="17">
        <f t="shared" si="45"/>
        <v>267.39800000000002</v>
      </c>
      <c r="W181" s="17">
        <f t="shared" si="46"/>
        <v>9.6489999999999991</v>
      </c>
      <c r="X181" s="17"/>
    </row>
    <row r="182" spans="2:24" x14ac:dyDescent="0.35">
      <c r="B182">
        <v>1149133.3359999999</v>
      </c>
      <c r="D182">
        <v>277.76</v>
      </c>
      <c r="G182">
        <v>277.04699999999997</v>
      </c>
      <c r="J182">
        <v>267.6573118</v>
      </c>
      <c r="K182">
        <v>9.3896881999999664</v>
      </c>
      <c r="M182">
        <f t="shared" si="25"/>
        <v>0</v>
      </c>
      <c r="N182" s="18">
        <f t="shared" si="42"/>
        <v>1149133.3</v>
      </c>
      <c r="O182" s="17"/>
      <c r="P182" s="17">
        <f t="shared" si="43"/>
        <v>277.76</v>
      </c>
      <c r="Q182" s="17"/>
      <c r="R182" s="17"/>
      <c r="S182" s="17">
        <f t="shared" si="44"/>
        <v>277.04700000000003</v>
      </c>
      <c r="T182" s="17"/>
      <c r="U182" s="17"/>
      <c r="V182" s="17">
        <f t="shared" si="45"/>
        <v>267.65699999999998</v>
      </c>
      <c r="W182" s="17">
        <f t="shared" si="46"/>
        <v>9.39</v>
      </c>
      <c r="X182" s="17"/>
    </row>
    <row r="183" spans="2:24" x14ac:dyDescent="0.35">
      <c r="B183">
        <v>1149153.3359999999</v>
      </c>
      <c r="D183">
        <v>277.76</v>
      </c>
      <c r="G183">
        <v>277.04699999999997</v>
      </c>
      <c r="J183">
        <v>266.8873706</v>
      </c>
      <c r="K183">
        <v>10.159629399999972</v>
      </c>
      <c r="M183">
        <f t="shared" si="25"/>
        <v>0</v>
      </c>
      <c r="N183" s="18">
        <f t="shared" si="42"/>
        <v>1149153.3</v>
      </c>
      <c r="O183" s="17"/>
      <c r="P183" s="17">
        <f t="shared" si="43"/>
        <v>277.76</v>
      </c>
      <c r="Q183" s="17"/>
      <c r="R183" s="17"/>
      <c r="S183" s="17">
        <f t="shared" si="44"/>
        <v>277.04700000000003</v>
      </c>
      <c r="T183" s="17"/>
      <c r="U183" s="17"/>
      <c r="V183" s="17">
        <f t="shared" si="45"/>
        <v>266.887</v>
      </c>
      <c r="W183" s="17">
        <f t="shared" si="46"/>
        <v>10.16</v>
      </c>
      <c r="X183" s="17"/>
    </row>
    <row r="184" spans="2:24" x14ac:dyDescent="0.35">
      <c r="B184">
        <v>1149173.3359999999</v>
      </c>
      <c r="D184">
        <v>277.76</v>
      </c>
      <c r="G184">
        <v>277.04699999999997</v>
      </c>
      <c r="J184">
        <v>267.023169</v>
      </c>
      <c r="K184">
        <v>10.023830999999973</v>
      </c>
      <c r="M184">
        <f t="shared" si="25"/>
        <v>0</v>
      </c>
      <c r="N184" s="18">
        <f t="shared" si="42"/>
        <v>1149173.3</v>
      </c>
      <c r="O184" s="17"/>
      <c r="P184" s="17">
        <f t="shared" si="43"/>
        <v>277.76</v>
      </c>
      <c r="Q184" s="17"/>
      <c r="R184" s="17"/>
      <c r="S184" s="17">
        <f t="shared" si="44"/>
        <v>277.04700000000003</v>
      </c>
      <c r="T184" s="17"/>
      <c r="U184" s="17"/>
      <c r="V184" s="17">
        <f t="shared" si="45"/>
        <v>267.02300000000002</v>
      </c>
      <c r="W184" s="17">
        <f t="shared" si="46"/>
        <v>10.023999999999999</v>
      </c>
      <c r="X184" s="17"/>
    </row>
    <row r="185" spans="2:24" x14ac:dyDescent="0.35">
      <c r="B185">
        <v>1149193.3359999999</v>
      </c>
      <c r="D185">
        <v>277.76</v>
      </c>
      <c r="G185">
        <v>277.04699999999997</v>
      </c>
      <c r="J185">
        <v>268.00482940000001</v>
      </c>
      <c r="K185">
        <v>9.0421705999999631</v>
      </c>
      <c r="M185">
        <f t="shared" si="25"/>
        <v>0</v>
      </c>
      <c r="N185" s="18">
        <f t="shared" si="42"/>
        <v>1149193.3</v>
      </c>
      <c r="O185" s="17"/>
      <c r="P185" s="17">
        <f t="shared" si="43"/>
        <v>277.76</v>
      </c>
      <c r="Q185" s="17"/>
      <c r="R185" s="17"/>
      <c r="S185" s="17">
        <f t="shared" si="44"/>
        <v>277.04700000000003</v>
      </c>
      <c r="T185" s="17"/>
      <c r="U185" s="17"/>
      <c r="V185" s="17">
        <f t="shared" si="45"/>
        <v>268.005</v>
      </c>
      <c r="W185" s="17">
        <f t="shared" si="46"/>
        <v>9.0419999999999998</v>
      </c>
      <c r="X185" s="17"/>
    </row>
    <row r="186" spans="2:24" x14ac:dyDescent="0.35">
      <c r="B186">
        <v>1149213.3359999999</v>
      </c>
      <c r="D186">
        <v>277.76</v>
      </c>
      <c r="G186">
        <v>277.04699999999997</v>
      </c>
      <c r="J186">
        <v>268.2993214</v>
      </c>
      <c r="K186">
        <v>8.747678599999972</v>
      </c>
      <c r="M186">
        <f t="shared" si="25"/>
        <v>0</v>
      </c>
      <c r="N186" s="18">
        <f t="shared" si="42"/>
        <v>1149213.3</v>
      </c>
      <c r="O186" s="17"/>
      <c r="P186" s="17">
        <f t="shared" si="43"/>
        <v>277.76</v>
      </c>
      <c r="Q186" s="17"/>
      <c r="R186" s="17"/>
      <c r="S186" s="17">
        <f t="shared" si="44"/>
        <v>277.04700000000003</v>
      </c>
      <c r="T186" s="17"/>
      <c r="U186" s="17"/>
      <c r="V186" s="17">
        <f t="shared" si="45"/>
        <v>268.29899999999998</v>
      </c>
      <c r="W186" s="17">
        <f t="shared" si="46"/>
        <v>8.7479999999999993</v>
      </c>
      <c r="X186" s="17"/>
    </row>
    <row r="187" spans="2:24" x14ac:dyDescent="0.35">
      <c r="B187">
        <v>1149233.3359999999</v>
      </c>
      <c r="D187">
        <v>277.76</v>
      </c>
      <c r="G187">
        <v>277.04699999999997</v>
      </c>
      <c r="J187">
        <v>267.85288150000002</v>
      </c>
      <c r="K187">
        <v>9.194118499999945</v>
      </c>
      <c r="M187">
        <f t="shared" si="25"/>
        <v>0</v>
      </c>
      <c r="N187" s="18">
        <f t="shared" si="42"/>
        <v>1149233.3</v>
      </c>
      <c r="O187" s="17"/>
      <c r="P187" s="17">
        <f t="shared" si="43"/>
        <v>277.76</v>
      </c>
      <c r="Q187" s="17"/>
      <c r="R187" s="17"/>
      <c r="S187" s="17">
        <f t="shared" si="44"/>
        <v>277.04700000000003</v>
      </c>
      <c r="T187" s="17"/>
      <c r="U187" s="17"/>
      <c r="V187" s="17">
        <f t="shared" si="45"/>
        <v>267.85300000000001</v>
      </c>
      <c r="W187" s="17">
        <f t="shared" si="46"/>
        <v>9.1940000000000008</v>
      </c>
      <c r="X187" s="17"/>
    </row>
    <row r="188" spans="2:24" x14ac:dyDescent="0.35">
      <c r="B188">
        <v>1149253.3359999999</v>
      </c>
      <c r="D188">
        <v>277.76</v>
      </c>
      <c r="G188">
        <v>277.04699999999997</v>
      </c>
      <c r="J188">
        <v>267.84896730000003</v>
      </c>
      <c r="K188">
        <v>9.198032699999942</v>
      </c>
      <c r="M188">
        <f t="shared" si="25"/>
        <v>0</v>
      </c>
      <c r="N188" s="18">
        <f t="shared" si="42"/>
        <v>1149253.3</v>
      </c>
      <c r="O188" s="17"/>
      <c r="P188" s="17">
        <f t="shared" si="43"/>
        <v>277.76</v>
      </c>
      <c r="Q188" s="17"/>
      <c r="R188" s="17"/>
      <c r="S188" s="17">
        <f t="shared" si="44"/>
        <v>277.04700000000003</v>
      </c>
      <c r="T188" s="17"/>
      <c r="U188" s="17"/>
      <c r="V188" s="17">
        <f t="shared" si="45"/>
        <v>267.84899999999999</v>
      </c>
      <c r="W188" s="17">
        <f t="shared" si="46"/>
        <v>9.1980000000000004</v>
      </c>
      <c r="X188" s="17"/>
    </row>
    <row r="189" spans="2:24" x14ac:dyDescent="0.35">
      <c r="B189">
        <v>1149273.3359999999</v>
      </c>
      <c r="D189">
        <v>277.76</v>
      </c>
      <c r="G189">
        <v>277.04699999999997</v>
      </c>
      <c r="J189">
        <v>267.82163220000001</v>
      </c>
      <c r="K189">
        <v>9.2253677999999582</v>
      </c>
      <c r="M189">
        <f t="shared" si="25"/>
        <v>0</v>
      </c>
      <c r="N189" s="18">
        <f t="shared" si="42"/>
        <v>1149273.3</v>
      </c>
      <c r="O189" s="17"/>
      <c r="P189" s="17">
        <f t="shared" si="43"/>
        <v>277.76</v>
      </c>
      <c r="Q189" s="17"/>
      <c r="R189" s="17"/>
      <c r="S189" s="17">
        <f t="shared" si="44"/>
        <v>277.04700000000003</v>
      </c>
      <c r="T189" s="17"/>
      <c r="U189" s="17"/>
      <c r="V189" s="17">
        <f t="shared" si="45"/>
        <v>267.822</v>
      </c>
      <c r="W189" s="17">
        <f t="shared" si="46"/>
        <v>9.2249999999999996</v>
      </c>
      <c r="X189" s="17"/>
    </row>
    <row r="190" spans="2:24" x14ac:dyDescent="0.35">
      <c r="B190">
        <v>1149293.3359999999</v>
      </c>
      <c r="D190">
        <v>277.76</v>
      </c>
      <c r="G190">
        <v>277.04699999999997</v>
      </c>
      <c r="J190">
        <v>267.80617560000002</v>
      </c>
      <c r="K190">
        <v>9.2408243999999513</v>
      </c>
      <c r="M190">
        <f t="shared" si="25"/>
        <v>0</v>
      </c>
      <c r="N190" s="18">
        <f t="shared" si="42"/>
        <v>1149293.3</v>
      </c>
      <c r="O190" s="17"/>
      <c r="P190" s="17">
        <f t="shared" si="43"/>
        <v>277.76</v>
      </c>
      <c r="Q190" s="17"/>
      <c r="R190" s="17"/>
      <c r="S190" s="17">
        <f t="shared" si="44"/>
        <v>277.04700000000003</v>
      </c>
      <c r="T190" s="17"/>
      <c r="U190" s="17"/>
      <c r="V190" s="17">
        <f t="shared" si="45"/>
        <v>267.80599999999998</v>
      </c>
      <c r="W190" s="17">
        <f t="shared" si="46"/>
        <v>9.2409999999999997</v>
      </c>
      <c r="X190" s="17"/>
    </row>
    <row r="191" spans="2:24" x14ac:dyDescent="0.35">
      <c r="B191">
        <v>1149313.3359999999</v>
      </c>
      <c r="D191">
        <v>277.76</v>
      </c>
      <c r="G191">
        <v>277.04699999999997</v>
      </c>
      <c r="J191">
        <v>268.03608450000002</v>
      </c>
      <c r="K191">
        <v>9.0109154999999532</v>
      </c>
      <c r="M191">
        <f t="shared" si="25"/>
        <v>0</v>
      </c>
      <c r="N191" s="18">
        <f t="shared" si="42"/>
        <v>1149313.3</v>
      </c>
      <c r="O191" s="17"/>
      <c r="P191" s="17">
        <f t="shared" si="43"/>
        <v>277.76</v>
      </c>
      <c r="Q191" s="17"/>
      <c r="R191" s="17"/>
      <c r="S191" s="17">
        <f t="shared" si="44"/>
        <v>277.04700000000003</v>
      </c>
      <c r="T191" s="17"/>
      <c r="U191" s="17"/>
      <c r="V191" s="17">
        <f t="shared" si="45"/>
        <v>268.036</v>
      </c>
      <c r="W191" s="17">
        <f t="shared" si="46"/>
        <v>9.0109999999999992</v>
      </c>
      <c r="X191" s="17"/>
    </row>
    <row r="192" spans="2:24" x14ac:dyDescent="0.35">
      <c r="B192">
        <v>1149333.3359999999</v>
      </c>
      <c r="D192">
        <v>277.76</v>
      </c>
      <c r="G192">
        <v>277.04699999999997</v>
      </c>
      <c r="J192">
        <v>267.86273119999998</v>
      </c>
      <c r="K192">
        <v>9.1842687999999839</v>
      </c>
      <c r="M192">
        <f t="shared" si="25"/>
        <v>0</v>
      </c>
      <c r="N192" s="18">
        <f t="shared" si="42"/>
        <v>1149333.3</v>
      </c>
      <c r="O192" s="17"/>
      <c r="P192" s="17">
        <f t="shared" si="43"/>
        <v>277.76</v>
      </c>
      <c r="Q192" s="17"/>
      <c r="R192" s="17"/>
      <c r="S192" s="17">
        <f t="shared" si="44"/>
        <v>277.04700000000003</v>
      </c>
      <c r="T192" s="17"/>
      <c r="U192" s="17"/>
      <c r="V192" s="17">
        <f t="shared" si="45"/>
        <v>267.863</v>
      </c>
      <c r="W192" s="17">
        <f t="shared" si="46"/>
        <v>9.1839999999999993</v>
      </c>
      <c r="X192" s="17"/>
    </row>
    <row r="193" spans="2:24" x14ac:dyDescent="0.35">
      <c r="B193">
        <v>1149353.3359999999</v>
      </c>
      <c r="D193">
        <v>277.76</v>
      </c>
      <c r="G193">
        <v>277.04699999999997</v>
      </c>
      <c r="J193">
        <v>267.84293130000003</v>
      </c>
      <c r="K193">
        <v>9.2040686999999366</v>
      </c>
      <c r="M193">
        <f t="shared" si="25"/>
        <v>0</v>
      </c>
      <c r="N193" s="18">
        <f t="shared" si="42"/>
        <v>1149353.3</v>
      </c>
      <c r="O193" s="17"/>
      <c r="P193" s="17">
        <f t="shared" si="43"/>
        <v>277.76</v>
      </c>
      <c r="Q193" s="17"/>
      <c r="R193" s="17"/>
      <c r="S193" s="17">
        <f t="shared" si="44"/>
        <v>277.04700000000003</v>
      </c>
      <c r="T193" s="17"/>
      <c r="U193" s="17"/>
      <c r="V193" s="17">
        <f t="shared" si="45"/>
        <v>267.84300000000002</v>
      </c>
      <c r="W193" s="17">
        <f t="shared" si="46"/>
        <v>9.2040000000000006</v>
      </c>
      <c r="X193" s="17"/>
    </row>
    <row r="194" spans="2:24" x14ac:dyDescent="0.35">
      <c r="B194">
        <v>1149373.3359999999</v>
      </c>
      <c r="D194">
        <v>277.76</v>
      </c>
      <c r="G194">
        <v>277.04699999999997</v>
      </c>
      <c r="J194">
        <v>267.80635130000002</v>
      </c>
      <c r="K194">
        <v>9.2406486999999515</v>
      </c>
      <c r="M194">
        <f t="shared" ref="M194:M257" si="47">A194</f>
        <v>0</v>
      </c>
      <c r="N194" s="18">
        <f t="shared" si="42"/>
        <v>1149373.3</v>
      </c>
      <c r="O194" s="17"/>
      <c r="P194" s="17">
        <f t="shared" si="43"/>
        <v>277.76</v>
      </c>
      <c r="Q194" s="17"/>
      <c r="R194" s="17"/>
      <c r="S194" s="17">
        <f t="shared" si="44"/>
        <v>277.04700000000003</v>
      </c>
      <c r="T194" s="17"/>
      <c r="U194" s="17"/>
      <c r="V194" s="17">
        <f t="shared" si="45"/>
        <v>267.80599999999998</v>
      </c>
      <c r="W194" s="17">
        <f t="shared" si="46"/>
        <v>9.2409999999999997</v>
      </c>
      <c r="X194" s="17"/>
    </row>
    <row r="195" spans="2:24" x14ac:dyDescent="0.35">
      <c r="B195">
        <v>1149393.3359999999</v>
      </c>
      <c r="D195">
        <v>277.76</v>
      </c>
      <c r="G195">
        <v>277.04699999999997</v>
      </c>
      <c r="J195">
        <v>267.7422846</v>
      </c>
      <c r="K195">
        <v>9.3047153999999637</v>
      </c>
      <c r="M195">
        <f t="shared" si="47"/>
        <v>0</v>
      </c>
      <c r="N195" s="18">
        <f t="shared" si="42"/>
        <v>1149393.3</v>
      </c>
      <c r="O195" s="17"/>
      <c r="P195" s="17">
        <f t="shared" si="43"/>
        <v>277.76</v>
      </c>
      <c r="Q195" s="17"/>
      <c r="R195" s="17"/>
      <c r="S195" s="17">
        <f t="shared" si="44"/>
        <v>277.04700000000003</v>
      </c>
      <c r="T195" s="17"/>
      <c r="U195" s="17"/>
      <c r="V195" s="17">
        <f t="shared" si="45"/>
        <v>267.74200000000002</v>
      </c>
      <c r="W195" s="17">
        <f t="shared" si="46"/>
        <v>9.3049999999999997</v>
      </c>
      <c r="X195" s="17"/>
    </row>
    <row r="196" spans="2:24" x14ac:dyDescent="0.35">
      <c r="B196">
        <v>1149413.3359999999</v>
      </c>
      <c r="D196">
        <v>277.76</v>
      </c>
      <c r="G196">
        <v>277.04699999999997</v>
      </c>
      <c r="J196">
        <v>267.70735890000003</v>
      </c>
      <c r="K196">
        <v>9.3396410999999375</v>
      </c>
      <c r="M196">
        <f t="shared" si="47"/>
        <v>0</v>
      </c>
      <c r="N196" s="18">
        <f t="shared" si="42"/>
        <v>1149413.3</v>
      </c>
      <c r="O196" s="17"/>
      <c r="P196" s="17">
        <f t="shared" si="43"/>
        <v>277.76</v>
      </c>
      <c r="Q196" s="17"/>
      <c r="R196" s="17"/>
      <c r="S196" s="17">
        <f t="shared" si="44"/>
        <v>277.04700000000003</v>
      </c>
      <c r="T196" s="17"/>
      <c r="U196" s="17"/>
      <c r="V196" s="17">
        <f t="shared" si="45"/>
        <v>267.70699999999999</v>
      </c>
      <c r="W196" s="17">
        <f t="shared" si="46"/>
        <v>9.34</v>
      </c>
      <c r="X196" s="17"/>
    </row>
    <row r="197" spans="2:24" x14ac:dyDescent="0.35">
      <c r="B197">
        <v>1149433.3359999999</v>
      </c>
      <c r="D197">
        <v>277.76</v>
      </c>
      <c r="G197">
        <v>277.04699999999997</v>
      </c>
      <c r="J197">
        <v>267.59572420000001</v>
      </c>
      <c r="K197">
        <v>9.4512757999999621</v>
      </c>
      <c r="M197">
        <f t="shared" si="47"/>
        <v>0</v>
      </c>
      <c r="N197" s="18">
        <f t="shared" si="42"/>
        <v>1149433.3</v>
      </c>
      <c r="O197" s="17"/>
      <c r="P197" s="17">
        <f t="shared" si="43"/>
        <v>277.76</v>
      </c>
      <c r="Q197" s="17"/>
      <c r="R197" s="17"/>
      <c r="S197" s="17">
        <f t="shared" si="44"/>
        <v>277.04700000000003</v>
      </c>
      <c r="T197" s="17"/>
      <c r="U197" s="17"/>
      <c r="V197" s="17">
        <f t="shared" si="45"/>
        <v>267.596</v>
      </c>
      <c r="W197" s="17">
        <f t="shared" si="46"/>
        <v>9.4510000000000005</v>
      </c>
      <c r="X197" s="17"/>
    </row>
    <row r="198" spans="2:24" x14ac:dyDescent="0.35">
      <c r="B198">
        <v>1149453.3359999999</v>
      </c>
      <c r="D198">
        <v>277.76</v>
      </c>
      <c r="G198">
        <v>277.04699999999997</v>
      </c>
      <c r="J198">
        <v>267.51549410000001</v>
      </c>
      <c r="K198">
        <v>9.5315058999999565</v>
      </c>
      <c r="M198">
        <f t="shared" si="47"/>
        <v>0</v>
      </c>
      <c r="N198" s="18">
        <f t="shared" si="42"/>
        <v>1149453.3</v>
      </c>
      <c r="O198" s="17"/>
      <c r="P198" s="17">
        <f t="shared" si="43"/>
        <v>277.76</v>
      </c>
      <c r="Q198" s="17"/>
      <c r="R198" s="17"/>
      <c r="S198" s="17">
        <f t="shared" si="44"/>
        <v>277.04700000000003</v>
      </c>
      <c r="T198" s="17"/>
      <c r="U198" s="17"/>
      <c r="V198" s="17">
        <f t="shared" si="45"/>
        <v>267.51499999999999</v>
      </c>
      <c r="W198" s="17">
        <f t="shared" si="46"/>
        <v>9.532</v>
      </c>
      <c r="X198" s="17"/>
    </row>
    <row r="199" spans="2:24" x14ac:dyDescent="0.35">
      <c r="B199">
        <v>1149473.3359999999</v>
      </c>
      <c r="D199">
        <v>277.76</v>
      </c>
      <c r="G199">
        <v>277.04699999999997</v>
      </c>
      <c r="J199">
        <v>267.46990349999999</v>
      </c>
      <c r="K199">
        <v>9.5770964999999819</v>
      </c>
      <c r="M199">
        <f t="shared" si="47"/>
        <v>0</v>
      </c>
      <c r="N199" s="18">
        <f t="shared" si="42"/>
        <v>1149473.3</v>
      </c>
      <c r="O199" s="17"/>
      <c r="P199" s="17">
        <f t="shared" si="43"/>
        <v>277.76</v>
      </c>
      <c r="Q199" s="17"/>
      <c r="R199" s="17"/>
      <c r="S199" s="17">
        <f t="shared" si="44"/>
        <v>277.04700000000003</v>
      </c>
      <c r="T199" s="17"/>
      <c r="U199" s="17"/>
      <c r="V199" s="17">
        <f t="shared" si="45"/>
        <v>267.47000000000003</v>
      </c>
      <c r="W199" s="17">
        <f t="shared" si="46"/>
        <v>9.577</v>
      </c>
      <c r="X199" s="17"/>
    </row>
    <row r="200" spans="2:24" x14ac:dyDescent="0.35">
      <c r="B200">
        <v>1149493.3359999999</v>
      </c>
      <c r="D200">
        <v>277.76</v>
      </c>
      <c r="G200">
        <v>277.04699999999997</v>
      </c>
      <c r="J200">
        <v>267.44236460000002</v>
      </c>
      <c r="K200">
        <v>9.6046353999999496</v>
      </c>
      <c r="M200">
        <f t="shared" si="47"/>
        <v>0</v>
      </c>
      <c r="N200" s="18">
        <f t="shared" si="42"/>
        <v>1149493.3</v>
      </c>
      <c r="O200" s="17"/>
      <c r="P200" s="17">
        <f t="shared" si="43"/>
        <v>277.76</v>
      </c>
      <c r="Q200" s="17"/>
      <c r="R200" s="17"/>
      <c r="S200" s="17">
        <f t="shared" si="44"/>
        <v>277.04700000000003</v>
      </c>
      <c r="T200" s="17"/>
      <c r="U200" s="17"/>
      <c r="V200" s="17">
        <f t="shared" si="45"/>
        <v>267.44200000000001</v>
      </c>
      <c r="W200" s="17">
        <f t="shared" si="46"/>
        <v>9.6050000000000004</v>
      </c>
      <c r="X200" s="17"/>
    </row>
    <row r="201" spans="2:24" x14ac:dyDescent="0.35">
      <c r="B201">
        <v>1149513.3359999999</v>
      </c>
      <c r="D201">
        <v>277.76</v>
      </c>
      <c r="G201">
        <v>277.04699999999997</v>
      </c>
      <c r="J201">
        <v>267.4059464</v>
      </c>
      <c r="K201">
        <v>9.6410535999999638</v>
      </c>
      <c r="M201">
        <f t="shared" si="47"/>
        <v>0</v>
      </c>
      <c r="N201" s="18">
        <f t="shared" si="42"/>
        <v>1149513.3</v>
      </c>
      <c r="O201" s="17"/>
      <c r="P201" s="17">
        <f t="shared" si="43"/>
        <v>277.76</v>
      </c>
      <c r="Q201" s="17"/>
      <c r="R201" s="17"/>
      <c r="S201" s="17">
        <f t="shared" si="44"/>
        <v>277.04700000000003</v>
      </c>
      <c r="T201" s="17"/>
      <c r="U201" s="17"/>
      <c r="V201" s="17">
        <f t="shared" si="45"/>
        <v>267.40600000000001</v>
      </c>
      <c r="W201" s="17">
        <f t="shared" si="46"/>
        <v>9.641</v>
      </c>
      <c r="X201" s="17"/>
    </row>
    <row r="202" spans="2:24" x14ac:dyDescent="0.35">
      <c r="B202">
        <v>1149533.3359999999</v>
      </c>
      <c r="D202">
        <v>277.74148544641167</v>
      </c>
      <c r="G202">
        <v>277.02848544641165</v>
      </c>
      <c r="J202">
        <v>267.3567954464117</v>
      </c>
      <c r="K202">
        <v>9.6716899999999555</v>
      </c>
      <c r="M202">
        <f t="shared" si="47"/>
        <v>0</v>
      </c>
      <c r="N202" s="18">
        <f t="shared" si="42"/>
        <v>1149533.3</v>
      </c>
      <c r="O202" s="17"/>
      <c r="P202" s="17">
        <f t="shared" si="43"/>
        <v>277.74099999999999</v>
      </c>
      <c r="Q202" s="17"/>
      <c r="R202" s="17"/>
      <c r="S202" s="17">
        <f t="shared" si="44"/>
        <v>277.02800000000002</v>
      </c>
      <c r="T202" s="17"/>
      <c r="U202" s="17"/>
      <c r="V202" s="17">
        <f t="shared" si="45"/>
        <v>267.35700000000003</v>
      </c>
      <c r="W202" s="17">
        <f t="shared" si="46"/>
        <v>9.6720000000000006</v>
      </c>
      <c r="X202" s="17"/>
    </row>
    <row r="203" spans="2:24" x14ac:dyDescent="0.35">
      <c r="B203">
        <v>1149553.3359999999</v>
      </c>
      <c r="D203">
        <v>277.68514170451107</v>
      </c>
      <c r="G203">
        <v>276.97214170451105</v>
      </c>
      <c r="J203">
        <v>267.30809590451105</v>
      </c>
      <c r="K203">
        <v>9.6640457999999967</v>
      </c>
      <c r="M203">
        <f t="shared" si="47"/>
        <v>0</v>
      </c>
      <c r="N203" s="18">
        <f t="shared" si="42"/>
        <v>1149553.3</v>
      </c>
      <c r="O203" s="17"/>
      <c r="P203" s="17">
        <f t="shared" si="43"/>
        <v>277.685</v>
      </c>
      <c r="Q203" s="17"/>
      <c r="R203" s="17"/>
      <c r="S203" s="17">
        <f t="shared" si="44"/>
        <v>276.97199999999998</v>
      </c>
      <c r="T203" s="17"/>
      <c r="U203" s="17"/>
      <c r="V203" s="17">
        <f t="shared" si="45"/>
        <v>267.30799999999999</v>
      </c>
      <c r="W203" s="17">
        <f t="shared" si="46"/>
        <v>9.6639999999999997</v>
      </c>
      <c r="X203" s="17"/>
    </row>
    <row r="204" spans="2:24" x14ac:dyDescent="0.35">
      <c r="B204">
        <v>1149573.3359999999</v>
      </c>
      <c r="D204">
        <v>277.62879796261046</v>
      </c>
      <c r="G204">
        <v>276.91579796261044</v>
      </c>
      <c r="J204">
        <v>267.03797956261042</v>
      </c>
      <c r="K204">
        <v>9.8778184000000238</v>
      </c>
      <c r="M204">
        <f t="shared" si="47"/>
        <v>0</v>
      </c>
      <c r="N204" s="18">
        <f t="shared" si="42"/>
        <v>1149573.3</v>
      </c>
      <c r="O204" s="17"/>
      <c r="P204" s="17">
        <f t="shared" si="43"/>
        <v>277.62900000000002</v>
      </c>
      <c r="Q204" s="17"/>
      <c r="R204" s="17"/>
      <c r="S204" s="17">
        <f t="shared" si="44"/>
        <v>276.916</v>
      </c>
      <c r="T204" s="17"/>
      <c r="U204" s="17"/>
      <c r="V204" s="17">
        <f t="shared" si="45"/>
        <v>267.03800000000001</v>
      </c>
      <c r="W204" s="17">
        <f t="shared" si="46"/>
        <v>9.8780000000000001</v>
      </c>
      <c r="X204" s="17"/>
    </row>
    <row r="205" spans="2:24" x14ac:dyDescent="0.35">
      <c r="B205">
        <v>1149593.3359999999</v>
      </c>
      <c r="D205">
        <v>277.57245422070986</v>
      </c>
      <c r="G205">
        <v>276.85945422070984</v>
      </c>
      <c r="J205">
        <v>267.14247192070985</v>
      </c>
      <c r="K205">
        <v>9.7169822999999838</v>
      </c>
      <c r="M205">
        <f t="shared" si="47"/>
        <v>0</v>
      </c>
      <c r="N205" s="18">
        <f t="shared" si="42"/>
        <v>1149593.3</v>
      </c>
      <c r="O205" s="17"/>
      <c r="P205" s="17">
        <f t="shared" si="43"/>
        <v>277.572</v>
      </c>
      <c r="Q205" s="17"/>
      <c r="R205" s="17"/>
      <c r="S205" s="17">
        <f t="shared" si="44"/>
        <v>276.85899999999998</v>
      </c>
      <c r="T205" s="17"/>
      <c r="U205" s="17"/>
      <c r="V205" s="17">
        <f t="shared" si="45"/>
        <v>267.142</v>
      </c>
      <c r="W205" s="17">
        <f t="shared" si="46"/>
        <v>9.7170000000000005</v>
      </c>
      <c r="X205" s="17"/>
    </row>
    <row r="206" spans="2:24" x14ac:dyDescent="0.35">
      <c r="B206">
        <v>1149613.3359999999</v>
      </c>
      <c r="D206">
        <v>277.51611047880925</v>
      </c>
      <c r="G206">
        <v>276.80311047880923</v>
      </c>
      <c r="J206">
        <v>267.05849297880928</v>
      </c>
      <c r="K206">
        <v>9.7446174999999471</v>
      </c>
      <c r="M206">
        <f t="shared" si="47"/>
        <v>0</v>
      </c>
      <c r="N206" s="18">
        <f t="shared" ref="N206:N269" si="48">ROUND(B206,1)</f>
        <v>1149613.3</v>
      </c>
      <c r="O206" s="17"/>
      <c r="P206" s="17">
        <f t="shared" ref="P206:P269" si="49">ROUND(D206,3)</f>
        <v>277.51600000000002</v>
      </c>
      <c r="Q206" s="17"/>
      <c r="R206" s="17"/>
      <c r="S206" s="17">
        <f t="shared" ref="S206:S269" si="50">ROUND(G206,3)</f>
        <v>276.803</v>
      </c>
      <c r="T206" s="17"/>
      <c r="U206" s="17"/>
      <c r="V206" s="17">
        <f t="shared" ref="V206:V269" si="51">ROUND(J206,3)</f>
        <v>267.05799999999999</v>
      </c>
      <c r="W206" s="17">
        <f t="shared" ref="W206:W269" si="52">ROUND(K206,3)</f>
        <v>9.7449999999999992</v>
      </c>
      <c r="X206" s="17"/>
    </row>
    <row r="207" spans="2:24" x14ac:dyDescent="0.35">
      <c r="B207">
        <v>1149633.3359999999</v>
      </c>
      <c r="D207">
        <v>277.45976673690865</v>
      </c>
      <c r="G207">
        <v>276.74676673690863</v>
      </c>
      <c r="J207">
        <v>267.07194193690867</v>
      </c>
      <c r="K207">
        <v>9.6748247999999535</v>
      </c>
      <c r="M207">
        <f t="shared" si="47"/>
        <v>0</v>
      </c>
      <c r="N207" s="18">
        <f t="shared" si="48"/>
        <v>1149633.3</v>
      </c>
      <c r="O207" s="17"/>
      <c r="P207" s="17">
        <f t="shared" si="49"/>
        <v>277.45999999999998</v>
      </c>
      <c r="Q207" s="17"/>
      <c r="R207" s="17"/>
      <c r="S207" s="17">
        <f t="shared" si="50"/>
        <v>276.74700000000001</v>
      </c>
      <c r="T207" s="17"/>
      <c r="U207" s="17"/>
      <c r="V207" s="17">
        <f t="shared" si="51"/>
        <v>267.072</v>
      </c>
      <c r="W207" s="17">
        <f t="shared" si="52"/>
        <v>9.6750000000000007</v>
      </c>
      <c r="X207" s="17"/>
    </row>
    <row r="208" spans="2:24" x14ac:dyDescent="0.35">
      <c r="B208">
        <v>1149653.3359999999</v>
      </c>
      <c r="D208">
        <v>277.40342299500804</v>
      </c>
      <c r="G208">
        <v>276.69042299500802</v>
      </c>
      <c r="J208">
        <v>267.08495969500802</v>
      </c>
      <c r="K208">
        <v>9.6054632999999967</v>
      </c>
      <c r="M208">
        <f t="shared" si="47"/>
        <v>0</v>
      </c>
      <c r="N208" s="18">
        <f t="shared" si="48"/>
        <v>1149653.3</v>
      </c>
      <c r="O208" s="17"/>
      <c r="P208" s="17">
        <f t="shared" si="49"/>
        <v>277.40300000000002</v>
      </c>
      <c r="Q208" s="17"/>
      <c r="R208" s="17"/>
      <c r="S208" s="17">
        <f t="shared" si="50"/>
        <v>276.69</v>
      </c>
      <c r="T208" s="17"/>
      <c r="U208" s="17"/>
      <c r="V208" s="17">
        <f t="shared" si="51"/>
        <v>267.08499999999998</v>
      </c>
      <c r="W208" s="17">
        <f t="shared" si="52"/>
        <v>9.6050000000000004</v>
      </c>
      <c r="X208" s="17"/>
    </row>
    <row r="209" spans="2:24" x14ac:dyDescent="0.35">
      <c r="B209">
        <v>1149673.3359999999</v>
      </c>
      <c r="D209">
        <v>277.34707925310744</v>
      </c>
      <c r="G209">
        <v>276.63407925310742</v>
      </c>
      <c r="J209">
        <v>267.10628315310743</v>
      </c>
      <c r="K209">
        <v>9.5277960999999891</v>
      </c>
      <c r="M209">
        <f t="shared" si="47"/>
        <v>0</v>
      </c>
      <c r="N209" s="18">
        <f t="shared" si="48"/>
        <v>1149673.3</v>
      </c>
      <c r="O209" s="17"/>
      <c r="P209" s="17">
        <f t="shared" si="49"/>
        <v>277.34699999999998</v>
      </c>
      <c r="Q209" s="17"/>
      <c r="R209" s="17"/>
      <c r="S209" s="17">
        <f t="shared" si="50"/>
        <v>276.63400000000001</v>
      </c>
      <c r="T209" s="17"/>
      <c r="U209" s="17"/>
      <c r="V209" s="17">
        <f t="shared" si="51"/>
        <v>267.10599999999999</v>
      </c>
      <c r="W209" s="17">
        <f t="shared" si="52"/>
        <v>9.5280000000000005</v>
      </c>
      <c r="X209" s="17"/>
    </row>
    <row r="210" spans="2:24" x14ac:dyDescent="0.35">
      <c r="B210">
        <v>1149693.3359999999</v>
      </c>
      <c r="D210">
        <v>277.29073551120683</v>
      </c>
      <c r="G210">
        <v>276.57773551120681</v>
      </c>
      <c r="J210">
        <v>267.19325201120682</v>
      </c>
      <c r="K210">
        <v>9.3844834999999875</v>
      </c>
      <c r="M210">
        <f t="shared" si="47"/>
        <v>0</v>
      </c>
      <c r="N210" s="18">
        <f t="shared" si="48"/>
        <v>1149693.3</v>
      </c>
      <c r="O210" s="17"/>
      <c r="P210" s="17">
        <f t="shared" si="49"/>
        <v>277.291</v>
      </c>
      <c r="Q210" s="17"/>
      <c r="R210" s="17"/>
      <c r="S210" s="17">
        <f t="shared" si="50"/>
        <v>276.57799999999997</v>
      </c>
      <c r="T210" s="17"/>
      <c r="U210" s="17"/>
      <c r="V210" s="17">
        <f t="shared" si="51"/>
        <v>267.19299999999998</v>
      </c>
      <c r="W210" s="17">
        <f t="shared" si="52"/>
        <v>9.3840000000000003</v>
      </c>
      <c r="X210" s="17"/>
    </row>
    <row r="211" spans="2:24" x14ac:dyDescent="0.35">
      <c r="B211">
        <v>1149713.3359999999</v>
      </c>
      <c r="D211">
        <v>277.23439176930623</v>
      </c>
      <c r="G211">
        <v>276.52139176930621</v>
      </c>
      <c r="J211">
        <v>267.23637836930624</v>
      </c>
      <c r="K211">
        <v>9.2850133999999684</v>
      </c>
      <c r="M211">
        <f t="shared" si="47"/>
        <v>0</v>
      </c>
      <c r="N211" s="18">
        <f t="shared" si="48"/>
        <v>1149713.3</v>
      </c>
      <c r="O211" s="17"/>
      <c r="P211" s="17">
        <f t="shared" si="49"/>
        <v>277.23399999999998</v>
      </c>
      <c r="Q211" s="17"/>
      <c r="R211" s="17"/>
      <c r="S211" s="17">
        <f t="shared" si="50"/>
        <v>276.52100000000002</v>
      </c>
      <c r="T211" s="17"/>
      <c r="U211" s="17"/>
      <c r="V211" s="17">
        <f t="shared" si="51"/>
        <v>267.23599999999999</v>
      </c>
      <c r="W211" s="17">
        <f t="shared" si="52"/>
        <v>9.2850000000000001</v>
      </c>
      <c r="X211" s="17"/>
    </row>
    <row r="212" spans="2:24" x14ac:dyDescent="0.35">
      <c r="B212">
        <v>1149733.3359999999</v>
      </c>
      <c r="D212">
        <v>277.17804802740562</v>
      </c>
      <c r="G212">
        <v>276.4650480274056</v>
      </c>
      <c r="J212">
        <v>267.32607832740558</v>
      </c>
      <c r="K212">
        <v>9.1389697000000183</v>
      </c>
      <c r="M212">
        <f t="shared" si="47"/>
        <v>0</v>
      </c>
      <c r="N212" s="18">
        <f t="shared" si="48"/>
        <v>1149733.3</v>
      </c>
      <c r="O212" s="17"/>
      <c r="P212" s="17">
        <f t="shared" si="49"/>
        <v>277.178</v>
      </c>
      <c r="Q212" s="17"/>
      <c r="R212" s="17"/>
      <c r="S212" s="17">
        <f t="shared" si="50"/>
        <v>276.46499999999997</v>
      </c>
      <c r="T212" s="17"/>
      <c r="U212" s="17"/>
      <c r="V212" s="17">
        <f t="shared" si="51"/>
        <v>267.32600000000002</v>
      </c>
      <c r="W212" s="17">
        <f t="shared" si="52"/>
        <v>9.1389999999999993</v>
      </c>
      <c r="X212" s="17"/>
    </row>
    <row r="213" spans="2:24" x14ac:dyDescent="0.35">
      <c r="B213">
        <v>1149753.3359999999</v>
      </c>
      <c r="D213">
        <v>277.12170428550502</v>
      </c>
      <c r="G213">
        <v>276.408704285505</v>
      </c>
      <c r="J213">
        <v>267.300936885505</v>
      </c>
      <c r="K213">
        <v>9.1077674000000002</v>
      </c>
      <c r="M213">
        <f t="shared" si="47"/>
        <v>0</v>
      </c>
      <c r="N213" s="18">
        <f t="shared" si="48"/>
        <v>1149753.3</v>
      </c>
      <c r="O213" s="17"/>
      <c r="P213" s="17">
        <f t="shared" si="49"/>
        <v>277.12200000000001</v>
      </c>
      <c r="Q213" s="17"/>
      <c r="R213" s="17"/>
      <c r="S213" s="17">
        <f t="shared" si="50"/>
        <v>276.40899999999999</v>
      </c>
      <c r="T213" s="17"/>
      <c r="U213" s="17"/>
      <c r="V213" s="17">
        <f t="shared" si="51"/>
        <v>267.30099999999999</v>
      </c>
      <c r="W213" s="17">
        <f t="shared" si="52"/>
        <v>9.1080000000000005</v>
      </c>
      <c r="X213" s="17"/>
    </row>
    <row r="214" spans="2:24" x14ac:dyDescent="0.35">
      <c r="B214">
        <v>1149773.3359999999</v>
      </c>
      <c r="D214">
        <v>277.06536054360441</v>
      </c>
      <c r="G214">
        <v>276.35236054360439</v>
      </c>
      <c r="J214">
        <v>267.34733744360443</v>
      </c>
      <c r="K214">
        <v>9.0050230999999599</v>
      </c>
      <c r="M214">
        <f t="shared" si="47"/>
        <v>0</v>
      </c>
      <c r="N214" s="18">
        <f t="shared" si="48"/>
        <v>1149773.3</v>
      </c>
      <c r="O214" s="17"/>
      <c r="P214" s="17">
        <f t="shared" si="49"/>
        <v>277.065</v>
      </c>
      <c r="Q214" s="17"/>
      <c r="R214" s="17"/>
      <c r="S214" s="17">
        <f t="shared" si="50"/>
        <v>276.35199999999998</v>
      </c>
      <c r="T214" s="17"/>
      <c r="U214" s="17"/>
      <c r="V214" s="17">
        <f t="shared" si="51"/>
        <v>267.34699999999998</v>
      </c>
      <c r="W214" s="17">
        <f t="shared" si="52"/>
        <v>9.0050000000000008</v>
      </c>
      <c r="X214" s="17"/>
    </row>
    <row r="215" spans="2:24" x14ac:dyDescent="0.35">
      <c r="B215">
        <v>1149793.3359999999</v>
      </c>
      <c r="D215">
        <v>277.00901680170381</v>
      </c>
      <c r="G215">
        <v>276.29601680170379</v>
      </c>
      <c r="J215">
        <v>267.93431070170385</v>
      </c>
      <c r="K215">
        <v>8.3617060999999353</v>
      </c>
      <c r="M215">
        <f t="shared" si="47"/>
        <v>0</v>
      </c>
      <c r="N215" s="18">
        <f t="shared" si="48"/>
        <v>1149793.3</v>
      </c>
      <c r="O215" s="17"/>
      <c r="P215" s="17">
        <f t="shared" si="49"/>
        <v>277.00900000000001</v>
      </c>
      <c r="Q215" s="17"/>
      <c r="R215" s="17"/>
      <c r="S215" s="17">
        <f t="shared" si="50"/>
        <v>276.29599999999999</v>
      </c>
      <c r="T215" s="17"/>
      <c r="U215" s="17"/>
      <c r="V215" s="17">
        <f t="shared" si="51"/>
        <v>267.93400000000003</v>
      </c>
      <c r="W215" s="17">
        <f t="shared" si="52"/>
        <v>8.3620000000000001</v>
      </c>
      <c r="X215" s="17"/>
    </row>
    <row r="216" spans="2:24" x14ac:dyDescent="0.35">
      <c r="B216">
        <v>1149813.3359999999</v>
      </c>
      <c r="D216">
        <v>276.9526730598032</v>
      </c>
      <c r="G216">
        <v>276.23967305980318</v>
      </c>
      <c r="J216">
        <v>267.53964575980319</v>
      </c>
      <c r="K216">
        <v>8.7000272999999879</v>
      </c>
      <c r="M216">
        <f t="shared" si="47"/>
        <v>0</v>
      </c>
      <c r="N216" s="18">
        <f t="shared" si="48"/>
        <v>1149813.3</v>
      </c>
      <c r="O216" s="17"/>
      <c r="P216" s="17">
        <f t="shared" si="49"/>
        <v>276.95299999999997</v>
      </c>
      <c r="Q216" s="17"/>
      <c r="R216" s="17"/>
      <c r="S216" s="17">
        <f t="shared" si="50"/>
        <v>276.24</v>
      </c>
      <c r="T216" s="17"/>
      <c r="U216" s="17"/>
      <c r="V216" s="17">
        <f t="shared" si="51"/>
        <v>267.54000000000002</v>
      </c>
      <c r="W216" s="17">
        <f t="shared" si="52"/>
        <v>8.6999999999999993</v>
      </c>
      <c r="X216" s="17"/>
    </row>
    <row r="217" spans="2:24" x14ac:dyDescent="0.35">
      <c r="B217">
        <v>1149833.3359999999</v>
      </c>
      <c r="D217">
        <v>276.8963293179026</v>
      </c>
      <c r="G217">
        <v>276.18332931790258</v>
      </c>
      <c r="J217">
        <v>267.4195949179026</v>
      </c>
      <c r="K217">
        <v>8.7637343999999757</v>
      </c>
      <c r="M217">
        <f t="shared" si="47"/>
        <v>0</v>
      </c>
      <c r="N217" s="18">
        <f t="shared" si="48"/>
        <v>1149833.3</v>
      </c>
      <c r="O217" s="17"/>
      <c r="P217" s="17">
        <f t="shared" si="49"/>
        <v>276.89600000000002</v>
      </c>
      <c r="Q217" s="17"/>
      <c r="R217" s="17"/>
      <c r="S217" s="17">
        <f t="shared" si="50"/>
        <v>276.18299999999999</v>
      </c>
      <c r="T217" s="17"/>
      <c r="U217" s="17"/>
      <c r="V217" s="17">
        <f t="shared" si="51"/>
        <v>267.42</v>
      </c>
      <c r="W217" s="17">
        <f t="shared" si="52"/>
        <v>8.7639999999999993</v>
      </c>
      <c r="X217" s="17"/>
    </row>
    <row r="218" spans="2:24" x14ac:dyDescent="0.35">
      <c r="B218">
        <v>1149853.3359999999</v>
      </c>
      <c r="D218">
        <v>276.83998557600199</v>
      </c>
      <c r="G218">
        <v>276.12698557600197</v>
      </c>
      <c r="J218">
        <v>267.066662876002</v>
      </c>
      <c r="K218">
        <v>9.060322699999972</v>
      </c>
      <c r="M218">
        <f t="shared" si="47"/>
        <v>0</v>
      </c>
      <c r="N218" s="18">
        <f t="shared" si="48"/>
        <v>1149853.3</v>
      </c>
      <c r="O218" s="17"/>
      <c r="P218" s="17">
        <f t="shared" si="49"/>
        <v>276.83999999999997</v>
      </c>
      <c r="Q218" s="17"/>
      <c r="R218" s="17"/>
      <c r="S218" s="17">
        <f t="shared" si="50"/>
        <v>276.12700000000001</v>
      </c>
      <c r="T218" s="17"/>
      <c r="U218" s="17"/>
      <c r="V218" s="17">
        <f t="shared" si="51"/>
        <v>267.06700000000001</v>
      </c>
      <c r="W218" s="17">
        <f t="shared" si="52"/>
        <v>9.06</v>
      </c>
      <c r="X218" s="17"/>
    </row>
    <row r="219" spans="2:24" x14ac:dyDescent="0.35">
      <c r="B219">
        <v>1149873.3359999999</v>
      </c>
      <c r="D219">
        <v>276.78364183410139</v>
      </c>
      <c r="G219">
        <v>276.07064183410137</v>
      </c>
      <c r="J219">
        <v>266.96424683410135</v>
      </c>
      <c r="K219">
        <v>9.1063950000000204</v>
      </c>
      <c r="M219">
        <f t="shared" si="47"/>
        <v>0</v>
      </c>
      <c r="N219" s="18">
        <f t="shared" si="48"/>
        <v>1149873.3</v>
      </c>
      <c r="O219" s="17"/>
      <c r="P219" s="17">
        <f t="shared" si="49"/>
        <v>276.78399999999999</v>
      </c>
      <c r="Q219" s="17"/>
      <c r="R219" s="17"/>
      <c r="S219" s="17">
        <f t="shared" si="50"/>
        <v>276.07100000000003</v>
      </c>
      <c r="T219" s="17"/>
      <c r="U219" s="17"/>
      <c r="V219" s="17">
        <f t="shared" si="51"/>
        <v>266.964</v>
      </c>
      <c r="W219" s="17">
        <f t="shared" si="52"/>
        <v>9.1059999999999999</v>
      </c>
      <c r="X219" s="17"/>
    </row>
    <row r="220" spans="2:24" x14ac:dyDescent="0.35">
      <c r="B220">
        <v>1149893.3359999999</v>
      </c>
      <c r="D220">
        <v>276.72729809220078</v>
      </c>
      <c r="G220">
        <v>276.01429809220076</v>
      </c>
      <c r="J220">
        <v>267.26950769220076</v>
      </c>
      <c r="K220">
        <v>8.7447903999999994</v>
      </c>
      <c r="M220">
        <f t="shared" si="47"/>
        <v>0</v>
      </c>
      <c r="N220" s="18">
        <f t="shared" si="48"/>
        <v>1149893.3</v>
      </c>
      <c r="O220" s="17"/>
      <c r="P220" s="17">
        <f t="shared" si="49"/>
        <v>276.72699999999998</v>
      </c>
      <c r="Q220" s="17"/>
      <c r="R220" s="17"/>
      <c r="S220" s="17">
        <f t="shared" si="50"/>
        <v>276.01400000000001</v>
      </c>
      <c r="T220" s="17"/>
      <c r="U220" s="17"/>
      <c r="V220" s="17">
        <f t="shared" si="51"/>
        <v>267.27</v>
      </c>
      <c r="W220" s="17">
        <f t="shared" si="52"/>
        <v>8.7449999999999992</v>
      </c>
      <c r="X220" s="17"/>
    </row>
    <row r="221" spans="2:24" x14ac:dyDescent="0.35">
      <c r="B221">
        <v>1149913.3359999999</v>
      </c>
      <c r="D221">
        <v>276.67095435030018</v>
      </c>
      <c r="G221">
        <v>275.95795435030016</v>
      </c>
      <c r="J221">
        <v>267.47578265030018</v>
      </c>
      <c r="K221">
        <v>8.4821716999999808</v>
      </c>
      <c r="M221">
        <f t="shared" si="47"/>
        <v>0</v>
      </c>
      <c r="N221" s="18">
        <f t="shared" si="48"/>
        <v>1149913.3</v>
      </c>
      <c r="O221" s="17"/>
      <c r="P221" s="17">
        <f t="shared" si="49"/>
        <v>276.67099999999999</v>
      </c>
      <c r="Q221" s="17"/>
      <c r="R221" s="17"/>
      <c r="S221" s="17">
        <f t="shared" si="50"/>
        <v>275.95800000000003</v>
      </c>
      <c r="T221" s="17"/>
      <c r="U221" s="17"/>
      <c r="V221" s="17">
        <f t="shared" si="51"/>
        <v>267.476</v>
      </c>
      <c r="W221" s="17">
        <f t="shared" si="52"/>
        <v>8.4819999999999993</v>
      </c>
      <c r="X221" s="17"/>
    </row>
    <row r="222" spans="2:24" x14ac:dyDescent="0.35">
      <c r="B222">
        <v>1149933.3359999999</v>
      </c>
      <c r="D222">
        <v>276.61461060839957</v>
      </c>
      <c r="G222">
        <v>275.90161060839955</v>
      </c>
      <c r="J222">
        <v>267.2485093083996</v>
      </c>
      <c r="K222">
        <v>8.6531012999999461</v>
      </c>
      <c r="M222">
        <f t="shared" si="47"/>
        <v>0</v>
      </c>
      <c r="N222" s="18">
        <f t="shared" si="48"/>
        <v>1149933.3</v>
      </c>
      <c r="O222" s="17"/>
      <c r="P222" s="17">
        <f t="shared" si="49"/>
        <v>276.61500000000001</v>
      </c>
      <c r="Q222" s="17"/>
      <c r="R222" s="17"/>
      <c r="S222" s="17">
        <f t="shared" si="50"/>
        <v>275.90199999999999</v>
      </c>
      <c r="T222" s="17"/>
      <c r="U222" s="17"/>
      <c r="V222" s="17">
        <f t="shared" si="51"/>
        <v>267.24900000000002</v>
      </c>
      <c r="W222" s="17">
        <f t="shared" si="52"/>
        <v>8.6530000000000005</v>
      </c>
      <c r="X222" s="17"/>
    </row>
    <row r="223" spans="2:24" x14ac:dyDescent="0.35">
      <c r="B223">
        <v>1149953.3359999999</v>
      </c>
      <c r="D223">
        <v>276.55826686649897</v>
      </c>
      <c r="G223">
        <v>275.84526686649895</v>
      </c>
      <c r="J223">
        <v>267.19839166649899</v>
      </c>
      <c r="K223">
        <v>8.646875199999954</v>
      </c>
      <c r="M223">
        <f t="shared" si="47"/>
        <v>0</v>
      </c>
      <c r="N223" s="18">
        <f t="shared" si="48"/>
        <v>1149953.3</v>
      </c>
      <c r="O223" s="17"/>
      <c r="P223" s="17">
        <f t="shared" si="49"/>
        <v>276.55799999999999</v>
      </c>
      <c r="Q223" s="17"/>
      <c r="R223" s="17"/>
      <c r="S223" s="17">
        <f t="shared" si="50"/>
        <v>275.84500000000003</v>
      </c>
      <c r="T223" s="17"/>
      <c r="U223" s="17"/>
      <c r="V223" s="17">
        <f t="shared" si="51"/>
        <v>267.19799999999998</v>
      </c>
      <c r="W223" s="17">
        <f t="shared" si="52"/>
        <v>8.6470000000000002</v>
      </c>
      <c r="X223" s="17"/>
    </row>
    <row r="224" spans="2:24" x14ac:dyDescent="0.35">
      <c r="B224">
        <v>1149973.3359999999</v>
      </c>
      <c r="D224">
        <v>276.50192312459836</v>
      </c>
      <c r="G224">
        <v>275.78892312459834</v>
      </c>
      <c r="J224">
        <v>267.05527682459837</v>
      </c>
      <c r="K224">
        <v>8.7336462999999753</v>
      </c>
      <c r="M224">
        <f t="shared" si="47"/>
        <v>0</v>
      </c>
      <c r="N224" s="18">
        <f t="shared" si="48"/>
        <v>1149973.3</v>
      </c>
      <c r="O224" s="17"/>
      <c r="P224" s="17">
        <f t="shared" si="49"/>
        <v>276.50200000000001</v>
      </c>
      <c r="Q224" s="17"/>
      <c r="R224" s="17"/>
      <c r="S224" s="17">
        <f t="shared" si="50"/>
        <v>275.78899999999999</v>
      </c>
      <c r="T224" s="17"/>
      <c r="U224" s="17"/>
      <c r="V224" s="17">
        <f t="shared" si="51"/>
        <v>267.05500000000001</v>
      </c>
      <c r="W224" s="17">
        <f t="shared" si="52"/>
        <v>8.734</v>
      </c>
      <c r="X224" s="17"/>
    </row>
    <row r="225" spans="2:24" x14ac:dyDescent="0.35">
      <c r="B225">
        <v>1149993.3359999999</v>
      </c>
      <c r="D225">
        <v>276.44557938269776</v>
      </c>
      <c r="G225">
        <v>275.73257938269774</v>
      </c>
      <c r="J225">
        <v>266.80114448269774</v>
      </c>
      <c r="K225">
        <v>8.9314348999999993</v>
      </c>
      <c r="M225">
        <f t="shared" si="47"/>
        <v>0</v>
      </c>
      <c r="N225" s="18">
        <f t="shared" si="48"/>
        <v>1149993.3</v>
      </c>
      <c r="O225" s="17"/>
      <c r="P225" s="17">
        <f t="shared" si="49"/>
        <v>276.44600000000003</v>
      </c>
      <c r="Q225" s="17"/>
      <c r="R225" s="17"/>
      <c r="S225" s="17">
        <f t="shared" si="50"/>
        <v>275.733</v>
      </c>
      <c r="T225" s="17"/>
      <c r="U225" s="17"/>
      <c r="V225" s="17">
        <f t="shared" si="51"/>
        <v>266.80099999999999</v>
      </c>
      <c r="W225" s="17">
        <f t="shared" si="52"/>
        <v>8.9309999999999992</v>
      </c>
      <c r="X225" s="17"/>
    </row>
    <row r="226" spans="2:24" x14ac:dyDescent="0.35">
      <c r="B226">
        <v>1150013.3359999999</v>
      </c>
      <c r="D226">
        <v>276.38923564079715</v>
      </c>
      <c r="G226">
        <v>275.67623564079713</v>
      </c>
      <c r="J226">
        <v>266.59330024079713</v>
      </c>
      <c r="K226">
        <v>9.0829353999999967</v>
      </c>
      <c r="M226">
        <f t="shared" si="47"/>
        <v>0</v>
      </c>
      <c r="N226" s="18">
        <f t="shared" si="48"/>
        <v>1150013.3</v>
      </c>
      <c r="O226" s="17"/>
      <c r="P226" s="17">
        <f t="shared" si="49"/>
        <v>276.38900000000001</v>
      </c>
      <c r="Q226" s="17"/>
      <c r="R226" s="17"/>
      <c r="S226" s="17">
        <f t="shared" si="50"/>
        <v>275.67599999999999</v>
      </c>
      <c r="T226" s="17"/>
      <c r="U226" s="17"/>
      <c r="V226" s="17">
        <f t="shared" si="51"/>
        <v>266.59300000000002</v>
      </c>
      <c r="W226" s="17">
        <f t="shared" si="52"/>
        <v>9.0830000000000002</v>
      </c>
      <c r="X226" s="17"/>
    </row>
    <row r="227" spans="2:24" x14ac:dyDescent="0.35">
      <c r="B227">
        <v>1150033.3359999999</v>
      </c>
      <c r="D227">
        <v>276.33289189889655</v>
      </c>
      <c r="G227">
        <v>275.61989189889653</v>
      </c>
      <c r="J227">
        <v>266.79825899889659</v>
      </c>
      <c r="K227">
        <v>8.8216328999999405</v>
      </c>
      <c r="M227">
        <f t="shared" si="47"/>
        <v>0</v>
      </c>
      <c r="N227" s="18">
        <f t="shared" si="48"/>
        <v>1150033.3</v>
      </c>
      <c r="O227" s="17"/>
      <c r="P227" s="17">
        <f t="shared" si="49"/>
        <v>276.33300000000003</v>
      </c>
      <c r="Q227" s="17"/>
      <c r="R227" s="17"/>
      <c r="S227" s="17">
        <f t="shared" si="50"/>
        <v>275.62</v>
      </c>
      <c r="T227" s="17"/>
      <c r="U227" s="17"/>
      <c r="V227" s="17">
        <f t="shared" si="51"/>
        <v>266.798</v>
      </c>
      <c r="W227" s="17">
        <f t="shared" si="52"/>
        <v>8.8219999999999992</v>
      </c>
      <c r="X227" s="17"/>
    </row>
    <row r="228" spans="2:24" x14ac:dyDescent="0.35">
      <c r="B228">
        <v>1150053.3359999999</v>
      </c>
      <c r="D228">
        <v>276.27654815699594</v>
      </c>
      <c r="G228">
        <v>275.56354815699592</v>
      </c>
      <c r="J228">
        <v>266.94418215699596</v>
      </c>
      <c r="K228">
        <v>8.6193659999999568</v>
      </c>
      <c r="M228">
        <f t="shared" si="47"/>
        <v>0</v>
      </c>
      <c r="N228" s="18">
        <f t="shared" si="48"/>
        <v>1150053.3</v>
      </c>
      <c r="O228" s="17"/>
      <c r="P228" s="17">
        <f t="shared" si="49"/>
        <v>276.27699999999999</v>
      </c>
      <c r="Q228" s="17"/>
      <c r="R228" s="17"/>
      <c r="S228" s="17">
        <f t="shared" si="50"/>
        <v>275.56400000000002</v>
      </c>
      <c r="T228" s="17"/>
      <c r="U228" s="17"/>
      <c r="V228" s="17">
        <f t="shared" si="51"/>
        <v>266.94400000000002</v>
      </c>
      <c r="W228" s="17">
        <f t="shared" si="52"/>
        <v>8.6189999999999998</v>
      </c>
      <c r="X228" s="17"/>
    </row>
    <row r="229" spans="2:24" x14ac:dyDescent="0.35">
      <c r="B229">
        <v>1150073.3359999999</v>
      </c>
      <c r="D229">
        <v>276.22020441509534</v>
      </c>
      <c r="G229">
        <v>275.50720441509532</v>
      </c>
      <c r="J229">
        <v>267.15322331509532</v>
      </c>
      <c r="K229">
        <v>8.3539810999999986</v>
      </c>
      <c r="M229">
        <f t="shared" si="47"/>
        <v>0</v>
      </c>
      <c r="N229" s="18">
        <f t="shared" si="48"/>
        <v>1150073.3</v>
      </c>
      <c r="O229" s="17"/>
      <c r="P229" s="17">
        <f t="shared" si="49"/>
        <v>276.22000000000003</v>
      </c>
      <c r="Q229" s="17"/>
      <c r="R229" s="17"/>
      <c r="S229" s="17">
        <f t="shared" si="50"/>
        <v>275.50700000000001</v>
      </c>
      <c r="T229" s="17"/>
      <c r="U229" s="17"/>
      <c r="V229" s="17">
        <f t="shared" si="51"/>
        <v>267.15300000000002</v>
      </c>
      <c r="W229" s="17">
        <f t="shared" si="52"/>
        <v>8.3539999999999992</v>
      </c>
      <c r="X229" s="17"/>
    </row>
    <row r="230" spans="2:24" x14ac:dyDescent="0.35">
      <c r="B230">
        <v>1150093.3359999999</v>
      </c>
      <c r="D230">
        <v>276.16386067319473</v>
      </c>
      <c r="G230">
        <v>275.45086067319471</v>
      </c>
      <c r="J230">
        <v>267.17943597319476</v>
      </c>
      <c r="K230">
        <v>8.2714246999999546</v>
      </c>
      <c r="M230">
        <f t="shared" si="47"/>
        <v>0</v>
      </c>
      <c r="N230" s="18">
        <f t="shared" si="48"/>
        <v>1150093.3</v>
      </c>
      <c r="O230" s="17"/>
      <c r="P230" s="17">
        <f t="shared" si="49"/>
        <v>276.16399999999999</v>
      </c>
      <c r="Q230" s="17"/>
      <c r="R230" s="17"/>
      <c r="S230" s="17">
        <f t="shared" si="50"/>
        <v>275.45100000000002</v>
      </c>
      <c r="T230" s="17"/>
      <c r="U230" s="17"/>
      <c r="V230" s="17">
        <f t="shared" si="51"/>
        <v>267.17899999999997</v>
      </c>
      <c r="W230" s="17">
        <f t="shared" si="52"/>
        <v>8.2710000000000008</v>
      </c>
      <c r="X230" s="17"/>
    </row>
    <row r="231" spans="2:24" x14ac:dyDescent="0.35">
      <c r="B231">
        <v>1150113.3359999999</v>
      </c>
      <c r="D231">
        <v>276.10751693129413</v>
      </c>
      <c r="G231">
        <v>275.39451693129411</v>
      </c>
      <c r="J231">
        <v>267.87278703129414</v>
      </c>
      <c r="K231">
        <v>7.5217298999999684</v>
      </c>
      <c r="M231">
        <f t="shared" si="47"/>
        <v>0</v>
      </c>
      <c r="N231" s="18">
        <f t="shared" si="48"/>
        <v>1150113.3</v>
      </c>
      <c r="O231" s="17"/>
      <c r="P231" s="17">
        <f t="shared" si="49"/>
        <v>276.108</v>
      </c>
      <c r="Q231" s="17"/>
      <c r="R231" s="17"/>
      <c r="S231" s="17">
        <f t="shared" si="50"/>
        <v>275.39499999999998</v>
      </c>
      <c r="T231" s="17"/>
      <c r="U231" s="17"/>
      <c r="V231" s="17">
        <f t="shared" si="51"/>
        <v>267.87299999999999</v>
      </c>
      <c r="W231" s="17">
        <f t="shared" si="52"/>
        <v>7.5220000000000002</v>
      </c>
      <c r="X231" s="17"/>
    </row>
    <row r="232" spans="2:24" x14ac:dyDescent="0.35">
      <c r="B232">
        <v>1150133.3359999999</v>
      </c>
      <c r="D232">
        <v>276.05117318939352</v>
      </c>
      <c r="G232">
        <v>275.3381731893935</v>
      </c>
      <c r="J232">
        <v>267.52823328939348</v>
      </c>
      <c r="K232">
        <v>7.8099399000000176</v>
      </c>
      <c r="M232">
        <f t="shared" si="47"/>
        <v>0</v>
      </c>
      <c r="N232" s="18">
        <f t="shared" si="48"/>
        <v>1150133.3</v>
      </c>
      <c r="O232" s="17"/>
      <c r="P232" s="17">
        <f t="shared" si="49"/>
        <v>276.05099999999999</v>
      </c>
      <c r="Q232" s="17"/>
      <c r="R232" s="17"/>
      <c r="S232" s="17">
        <f t="shared" si="50"/>
        <v>275.33800000000002</v>
      </c>
      <c r="T232" s="17"/>
      <c r="U232" s="17"/>
      <c r="V232" s="17">
        <f t="shared" si="51"/>
        <v>267.52800000000002</v>
      </c>
      <c r="W232" s="17">
        <f t="shared" si="52"/>
        <v>7.81</v>
      </c>
      <c r="X232" s="17"/>
    </row>
    <row r="233" spans="2:24" x14ac:dyDescent="0.35">
      <c r="B233">
        <v>1150153.3359999999</v>
      </c>
      <c r="D233">
        <v>275.99482944749292</v>
      </c>
      <c r="G233">
        <v>275.2818294474929</v>
      </c>
      <c r="J233">
        <v>267.28787874749287</v>
      </c>
      <c r="K233">
        <v>7.9939507000000276</v>
      </c>
      <c r="M233">
        <f t="shared" si="47"/>
        <v>0</v>
      </c>
      <c r="N233" s="18">
        <f t="shared" si="48"/>
        <v>1150153.3</v>
      </c>
      <c r="O233" s="17"/>
      <c r="P233" s="17">
        <f t="shared" si="49"/>
        <v>275.995</v>
      </c>
      <c r="Q233" s="17"/>
      <c r="R233" s="17"/>
      <c r="S233" s="17">
        <f t="shared" si="50"/>
        <v>275.28199999999998</v>
      </c>
      <c r="T233" s="17"/>
      <c r="U233" s="17"/>
      <c r="V233" s="17">
        <f t="shared" si="51"/>
        <v>267.28800000000001</v>
      </c>
      <c r="W233" s="17">
        <f t="shared" si="52"/>
        <v>7.9939999999999998</v>
      </c>
      <c r="X233" s="17"/>
    </row>
    <row r="234" spans="2:24" x14ac:dyDescent="0.35">
      <c r="B234">
        <v>1150173.3359999999</v>
      </c>
      <c r="D234">
        <v>275.93848570559231</v>
      </c>
      <c r="G234">
        <v>275.22548570559229</v>
      </c>
      <c r="J234">
        <v>267.01311070559234</v>
      </c>
      <c r="K234">
        <v>8.2123749999999518</v>
      </c>
      <c r="M234">
        <f t="shared" si="47"/>
        <v>0</v>
      </c>
      <c r="N234" s="18">
        <f t="shared" si="48"/>
        <v>1150173.3</v>
      </c>
      <c r="O234" s="17"/>
      <c r="P234" s="17">
        <f t="shared" si="49"/>
        <v>275.93799999999999</v>
      </c>
      <c r="Q234" s="17"/>
      <c r="R234" s="17"/>
      <c r="S234" s="17">
        <f t="shared" si="50"/>
        <v>275.22500000000002</v>
      </c>
      <c r="T234" s="17"/>
      <c r="U234" s="17"/>
      <c r="V234" s="17">
        <f t="shared" si="51"/>
        <v>267.01299999999998</v>
      </c>
      <c r="W234" s="17">
        <f t="shared" si="52"/>
        <v>8.2119999999999997</v>
      </c>
      <c r="X234" s="17"/>
    </row>
    <row r="235" spans="2:24" x14ac:dyDescent="0.35">
      <c r="B235">
        <v>1150193.3359999999</v>
      </c>
      <c r="D235">
        <v>275.88214196369171</v>
      </c>
      <c r="G235">
        <v>275.16914196369169</v>
      </c>
      <c r="J235">
        <v>266.72875226369172</v>
      </c>
      <c r="K235">
        <v>8.4403896999999688</v>
      </c>
      <c r="M235">
        <f t="shared" si="47"/>
        <v>0</v>
      </c>
      <c r="N235" s="18">
        <f t="shared" si="48"/>
        <v>1150193.3</v>
      </c>
      <c r="O235" s="17"/>
      <c r="P235" s="17">
        <f t="shared" si="49"/>
        <v>275.88200000000001</v>
      </c>
      <c r="Q235" s="17"/>
      <c r="R235" s="17"/>
      <c r="S235" s="17">
        <f t="shared" si="50"/>
        <v>275.16899999999998</v>
      </c>
      <c r="T235" s="17"/>
      <c r="U235" s="17"/>
      <c r="V235" s="17">
        <f t="shared" si="51"/>
        <v>266.72899999999998</v>
      </c>
      <c r="W235" s="17">
        <f t="shared" si="52"/>
        <v>8.44</v>
      </c>
      <c r="X235" s="17"/>
    </row>
    <row r="236" spans="2:24" x14ac:dyDescent="0.35">
      <c r="B236">
        <v>1150213.3359999999</v>
      </c>
      <c r="D236">
        <v>275.8257982217911</v>
      </c>
      <c r="G236">
        <v>275.11279822179108</v>
      </c>
      <c r="J236">
        <v>267.1361248217911</v>
      </c>
      <c r="K236">
        <v>7.9766733999999815</v>
      </c>
      <c r="M236">
        <f t="shared" si="47"/>
        <v>0</v>
      </c>
      <c r="N236" s="18">
        <f t="shared" si="48"/>
        <v>1150213.3</v>
      </c>
      <c r="O236" s="17"/>
      <c r="P236" s="17">
        <f t="shared" si="49"/>
        <v>275.82600000000002</v>
      </c>
      <c r="Q236" s="17"/>
      <c r="R236" s="17"/>
      <c r="S236" s="17">
        <f t="shared" si="50"/>
        <v>275.113</v>
      </c>
      <c r="T236" s="17"/>
      <c r="U236" s="17"/>
      <c r="V236" s="17">
        <f t="shared" si="51"/>
        <v>267.13600000000002</v>
      </c>
      <c r="W236" s="17">
        <f t="shared" si="52"/>
        <v>7.9770000000000003</v>
      </c>
      <c r="X236" s="17"/>
    </row>
    <row r="237" spans="2:24" x14ac:dyDescent="0.35">
      <c r="B237">
        <v>1150233.3359999999</v>
      </c>
      <c r="D237">
        <v>275.7694544798905</v>
      </c>
      <c r="G237">
        <v>275.05645447989048</v>
      </c>
      <c r="J237">
        <v>266.94171167989049</v>
      </c>
      <c r="K237">
        <v>8.1147427999999877</v>
      </c>
      <c r="M237">
        <f t="shared" si="47"/>
        <v>0</v>
      </c>
      <c r="N237" s="18">
        <f t="shared" si="48"/>
        <v>1150233.3</v>
      </c>
      <c r="O237" s="17"/>
      <c r="P237" s="17">
        <f t="shared" si="49"/>
        <v>275.76900000000001</v>
      </c>
      <c r="Q237" s="17"/>
      <c r="R237" s="17"/>
      <c r="S237" s="17">
        <f t="shared" si="50"/>
        <v>275.05599999999998</v>
      </c>
      <c r="T237" s="17"/>
      <c r="U237" s="17"/>
      <c r="V237" s="17">
        <f t="shared" si="51"/>
        <v>266.94200000000001</v>
      </c>
      <c r="W237" s="17">
        <f t="shared" si="52"/>
        <v>8.1150000000000002</v>
      </c>
      <c r="X237" s="17"/>
    </row>
    <row r="238" spans="2:24" x14ac:dyDescent="0.35">
      <c r="B238">
        <v>1150253.3359999999</v>
      </c>
      <c r="D238">
        <v>275.71311073798989</v>
      </c>
      <c r="G238">
        <v>275.00011073798987</v>
      </c>
      <c r="J238">
        <v>266.2381538379899</v>
      </c>
      <c r="K238">
        <v>8.7619568999999728</v>
      </c>
      <c r="M238">
        <f t="shared" si="47"/>
        <v>0</v>
      </c>
      <c r="N238" s="18">
        <f t="shared" si="48"/>
        <v>1150253.3</v>
      </c>
      <c r="O238" s="17"/>
      <c r="P238" s="17">
        <f t="shared" si="49"/>
        <v>275.71300000000002</v>
      </c>
      <c r="Q238" s="17"/>
      <c r="R238" s="17"/>
      <c r="S238" s="17">
        <f t="shared" si="50"/>
        <v>275</v>
      </c>
      <c r="T238" s="17"/>
      <c r="U238" s="17"/>
      <c r="V238" s="17">
        <f t="shared" si="51"/>
        <v>266.238</v>
      </c>
      <c r="W238" s="17">
        <f t="shared" si="52"/>
        <v>8.7620000000000005</v>
      </c>
      <c r="X238" s="17"/>
    </row>
    <row r="239" spans="2:24" x14ac:dyDescent="0.35">
      <c r="B239">
        <v>1150273.3359999999</v>
      </c>
      <c r="D239">
        <v>275.65676699608929</v>
      </c>
      <c r="G239">
        <v>274.94376699608927</v>
      </c>
      <c r="J239">
        <v>266.44001969608928</v>
      </c>
      <c r="K239">
        <v>8.5037472999999864</v>
      </c>
      <c r="M239">
        <f t="shared" si="47"/>
        <v>0</v>
      </c>
      <c r="N239" s="18">
        <f t="shared" si="48"/>
        <v>1150273.3</v>
      </c>
      <c r="O239" s="17"/>
      <c r="P239" s="17">
        <f t="shared" si="49"/>
        <v>275.65699999999998</v>
      </c>
      <c r="Q239" s="17"/>
      <c r="R239" s="17"/>
      <c r="S239" s="17">
        <f t="shared" si="50"/>
        <v>274.94400000000002</v>
      </c>
      <c r="T239" s="17"/>
      <c r="U239" s="17"/>
      <c r="V239" s="17">
        <f t="shared" si="51"/>
        <v>266.44</v>
      </c>
      <c r="W239" s="17">
        <f t="shared" si="52"/>
        <v>8.5039999999999996</v>
      </c>
      <c r="X239" s="17"/>
    </row>
    <row r="240" spans="2:24" x14ac:dyDescent="0.35">
      <c r="B240">
        <v>1150293.3359999999</v>
      </c>
      <c r="D240">
        <v>275.60042325418868</v>
      </c>
      <c r="G240">
        <v>274.88742325418866</v>
      </c>
      <c r="J240">
        <v>266.47635435418869</v>
      </c>
      <c r="K240">
        <v>8.4110688999999752</v>
      </c>
      <c r="M240">
        <f t="shared" si="47"/>
        <v>0</v>
      </c>
      <c r="N240" s="18">
        <f t="shared" si="48"/>
        <v>1150293.3</v>
      </c>
      <c r="O240" s="17"/>
      <c r="P240" s="17">
        <f t="shared" si="49"/>
        <v>275.60000000000002</v>
      </c>
      <c r="Q240" s="17"/>
      <c r="R240" s="17"/>
      <c r="S240" s="17">
        <f t="shared" si="50"/>
        <v>274.887</v>
      </c>
      <c r="T240" s="17"/>
      <c r="U240" s="17"/>
      <c r="V240" s="17">
        <f t="shared" si="51"/>
        <v>266.476</v>
      </c>
      <c r="W240" s="17">
        <f t="shared" si="52"/>
        <v>8.4109999999999996</v>
      </c>
      <c r="X240" s="17"/>
    </row>
    <row r="241" spans="2:24" x14ac:dyDescent="0.35">
      <c r="B241">
        <v>1150313.3359999999</v>
      </c>
      <c r="D241">
        <v>275.54407951228808</v>
      </c>
      <c r="G241">
        <v>274.83107951228806</v>
      </c>
      <c r="J241">
        <v>267.12245561228804</v>
      </c>
      <c r="K241">
        <v>7.7086239000000205</v>
      </c>
      <c r="M241">
        <f t="shared" si="47"/>
        <v>0</v>
      </c>
      <c r="N241" s="18">
        <f t="shared" si="48"/>
        <v>1150313.3</v>
      </c>
      <c r="O241" s="17"/>
      <c r="P241" s="17">
        <f t="shared" si="49"/>
        <v>275.54399999999998</v>
      </c>
      <c r="Q241" s="17"/>
      <c r="R241" s="17"/>
      <c r="S241" s="17">
        <f t="shared" si="50"/>
        <v>274.83100000000002</v>
      </c>
      <c r="T241" s="17"/>
      <c r="U241" s="17"/>
      <c r="V241" s="17">
        <f t="shared" si="51"/>
        <v>267.12200000000001</v>
      </c>
      <c r="W241" s="17">
        <f t="shared" si="52"/>
        <v>7.7089999999999996</v>
      </c>
      <c r="X241" s="17"/>
    </row>
    <row r="242" spans="2:24" x14ac:dyDescent="0.35">
      <c r="B242">
        <v>1150333.3359999999</v>
      </c>
      <c r="D242">
        <v>275.48773577038747</v>
      </c>
      <c r="G242">
        <v>274.77473577038745</v>
      </c>
      <c r="J242">
        <v>267.57739367038749</v>
      </c>
      <c r="K242">
        <v>7.1973420999999576</v>
      </c>
      <c r="M242">
        <f t="shared" si="47"/>
        <v>0</v>
      </c>
      <c r="N242" s="18">
        <f t="shared" si="48"/>
        <v>1150333.3</v>
      </c>
      <c r="O242" s="17"/>
      <c r="P242" s="17">
        <f t="shared" si="49"/>
        <v>275.488</v>
      </c>
      <c r="Q242" s="17"/>
      <c r="R242" s="17"/>
      <c r="S242" s="17">
        <f t="shared" si="50"/>
        <v>274.77499999999998</v>
      </c>
      <c r="T242" s="17"/>
      <c r="U242" s="17"/>
      <c r="V242" s="17">
        <f t="shared" si="51"/>
        <v>267.577</v>
      </c>
      <c r="W242" s="17">
        <f t="shared" si="52"/>
        <v>7.1970000000000001</v>
      </c>
      <c r="X242" s="17"/>
    </row>
    <row r="243" spans="2:24" x14ac:dyDescent="0.35">
      <c r="B243">
        <v>1150353.3359999999</v>
      </c>
      <c r="D243">
        <v>275.43139202848687</v>
      </c>
      <c r="G243">
        <v>274.71839202848685</v>
      </c>
      <c r="J243">
        <v>267.6171809284869</v>
      </c>
      <c r="K243">
        <v>7.1012110999999436</v>
      </c>
      <c r="M243">
        <f t="shared" si="47"/>
        <v>0</v>
      </c>
      <c r="N243" s="18">
        <f t="shared" si="48"/>
        <v>1150353.3</v>
      </c>
      <c r="O243" s="17"/>
      <c r="P243" s="17">
        <f t="shared" si="49"/>
        <v>275.43099999999998</v>
      </c>
      <c r="Q243" s="17"/>
      <c r="R243" s="17"/>
      <c r="S243" s="17">
        <f t="shared" si="50"/>
        <v>274.71800000000002</v>
      </c>
      <c r="T243" s="17"/>
      <c r="U243" s="17"/>
      <c r="V243" s="17">
        <f t="shared" si="51"/>
        <v>267.61700000000002</v>
      </c>
      <c r="W243" s="17">
        <f t="shared" si="52"/>
        <v>7.101</v>
      </c>
      <c r="X243" s="17"/>
    </row>
    <row r="244" spans="2:24" x14ac:dyDescent="0.35">
      <c r="B244">
        <v>1150373.3359999999</v>
      </c>
      <c r="D244">
        <v>275.37504828658626</v>
      </c>
      <c r="G244">
        <v>274.66204828658624</v>
      </c>
      <c r="J244">
        <v>267.64648938658627</v>
      </c>
      <c r="K244">
        <v>7.0155588999999736</v>
      </c>
      <c r="M244">
        <f t="shared" si="47"/>
        <v>0</v>
      </c>
      <c r="N244" s="18">
        <f t="shared" si="48"/>
        <v>1150373.3</v>
      </c>
      <c r="O244" s="17"/>
      <c r="P244" s="17">
        <f t="shared" si="49"/>
        <v>275.375</v>
      </c>
      <c r="Q244" s="17"/>
      <c r="R244" s="17"/>
      <c r="S244" s="17">
        <f t="shared" si="50"/>
        <v>274.66199999999998</v>
      </c>
      <c r="T244" s="17"/>
      <c r="U244" s="17"/>
      <c r="V244" s="17">
        <f t="shared" si="51"/>
        <v>267.64600000000002</v>
      </c>
      <c r="W244" s="17">
        <f t="shared" si="52"/>
        <v>7.016</v>
      </c>
      <c r="X244" s="17"/>
    </row>
    <row r="245" spans="2:24" x14ac:dyDescent="0.35">
      <c r="B245">
        <v>1150393.3359999999</v>
      </c>
      <c r="D245">
        <v>275.31870454468566</v>
      </c>
      <c r="G245">
        <v>274.60570454468564</v>
      </c>
      <c r="J245">
        <v>267.65130724468565</v>
      </c>
      <c r="K245">
        <v>6.9543972999999824</v>
      </c>
      <c r="M245">
        <f t="shared" si="47"/>
        <v>0</v>
      </c>
      <c r="N245" s="18">
        <f t="shared" si="48"/>
        <v>1150393.3</v>
      </c>
      <c r="O245" s="17"/>
      <c r="P245" s="17">
        <f t="shared" si="49"/>
        <v>275.31900000000002</v>
      </c>
      <c r="Q245" s="17"/>
      <c r="R245" s="17"/>
      <c r="S245" s="17">
        <f t="shared" si="50"/>
        <v>274.60599999999999</v>
      </c>
      <c r="T245" s="17"/>
      <c r="U245" s="17"/>
      <c r="V245" s="17">
        <f t="shared" si="51"/>
        <v>267.65100000000001</v>
      </c>
      <c r="W245" s="17">
        <f t="shared" si="52"/>
        <v>6.9539999999999997</v>
      </c>
      <c r="X245" s="17"/>
    </row>
    <row r="246" spans="2:24" x14ac:dyDescent="0.35">
      <c r="B246">
        <v>1150413.3359999999</v>
      </c>
      <c r="D246">
        <v>275.26236080278505</v>
      </c>
      <c r="G246">
        <v>274.54936080278503</v>
      </c>
      <c r="J246">
        <v>267.60505260278507</v>
      </c>
      <c r="K246">
        <v>6.9443081999999663</v>
      </c>
      <c r="M246">
        <f t="shared" si="47"/>
        <v>0</v>
      </c>
      <c r="N246" s="18">
        <f t="shared" si="48"/>
        <v>1150413.3</v>
      </c>
      <c r="O246" s="17"/>
      <c r="P246" s="17">
        <f t="shared" si="49"/>
        <v>275.262</v>
      </c>
      <c r="Q246" s="17"/>
      <c r="R246" s="17"/>
      <c r="S246" s="17">
        <f t="shared" si="50"/>
        <v>274.54899999999998</v>
      </c>
      <c r="T246" s="17"/>
      <c r="U246" s="17"/>
      <c r="V246" s="17">
        <f t="shared" si="51"/>
        <v>267.60500000000002</v>
      </c>
      <c r="W246" s="17">
        <f t="shared" si="52"/>
        <v>6.944</v>
      </c>
      <c r="X246" s="17"/>
    </row>
    <row r="247" spans="2:24" x14ac:dyDescent="0.35">
      <c r="B247">
        <v>1150433.3359999999</v>
      </c>
      <c r="D247">
        <v>275.20601706088445</v>
      </c>
      <c r="G247">
        <v>274.49301706088443</v>
      </c>
      <c r="J247">
        <v>267.56025676088444</v>
      </c>
      <c r="K247">
        <v>6.932760299999984</v>
      </c>
      <c r="M247">
        <f t="shared" si="47"/>
        <v>0</v>
      </c>
      <c r="N247" s="18">
        <f t="shared" si="48"/>
        <v>1150433.3</v>
      </c>
      <c r="O247" s="17"/>
      <c r="P247" s="17">
        <f t="shared" si="49"/>
        <v>275.20600000000002</v>
      </c>
      <c r="Q247" s="17"/>
      <c r="R247" s="17"/>
      <c r="S247" s="17">
        <f t="shared" si="50"/>
        <v>274.49299999999999</v>
      </c>
      <c r="T247" s="17"/>
      <c r="U247" s="17"/>
      <c r="V247" s="17">
        <f t="shared" si="51"/>
        <v>267.56</v>
      </c>
      <c r="W247" s="17">
        <f t="shared" si="52"/>
        <v>6.9329999999999998</v>
      </c>
      <c r="X247" s="17"/>
    </row>
    <row r="248" spans="2:24" x14ac:dyDescent="0.35">
      <c r="B248">
        <v>1150453.3359999999</v>
      </c>
      <c r="D248">
        <v>275.14967331898384</v>
      </c>
      <c r="G248">
        <v>274.43667331898382</v>
      </c>
      <c r="J248">
        <v>267.54537181898382</v>
      </c>
      <c r="K248">
        <v>6.8913014999999973</v>
      </c>
      <c r="M248">
        <f t="shared" si="47"/>
        <v>0</v>
      </c>
      <c r="N248" s="18">
        <f t="shared" si="48"/>
        <v>1150453.3</v>
      </c>
      <c r="O248" s="17"/>
      <c r="P248" s="17">
        <f t="shared" si="49"/>
        <v>275.14999999999998</v>
      </c>
      <c r="Q248" s="17"/>
      <c r="R248" s="17"/>
      <c r="S248" s="17">
        <f t="shared" si="50"/>
        <v>274.43700000000001</v>
      </c>
      <c r="T248" s="17"/>
      <c r="U248" s="17"/>
      <c r="V248" s="17">
        <f t="shared" si="51"/>
        <v>267.54500000000002</v>
      </c>
      <c r="W248" s="17">
        <f t="shared" si="52"/>
        <v>6.891</v>
      </c>
      <c r="X248" s="17"/>
    </row>
    <row r="249" spans="2:24" x14ac:dyDescent="0.35">
      <c r="B249">
        <v>1150473.3359999999</v>
      </c>
      <c r="D249">
        <v>275.09332957708324</v>
      </c>
      <c r="G249">
        <v>274.38032957708322</v>
      </c>
      <c r="J249">
        <v>267.52039527708325</v>
      </c>
      <c r="K249">
        <v>6.8599342999999635</v>
      </c>
      <c r="M249">
        <f t="shared" si="47"/>
        <v>0</v>
      </c>
      <c r="N249" s="18">
        <f t="shared" si="48"/>
        <v>1150473.3</v>
      </c>
      <c r="O249" s="17"/>
      <c r="P249" s="17">
        <f t="shared" si="49"/>
        <v>275.09300000000002</v>
      </c>
      <c r="Q249" s="17"/>
      <c r="R249" s="17"/>
      <c r="S249" s="17">
        <f t="shared" si="50"/>
        <v>274.38</v>
      </c>
      <c r="T249" s="17"/>
      <c r="U249" s="17"/>
      <c r="V249" s="17">
        <f t="shared" si="51"/>
        <v>267.52</v>
      </c>
      <c r="W249" s="17">
        <f t="shared" si="52"/>
        <v>6.86</v>
      </c>
      <c r="X249" s="17"/>
    </row>
    <row r="250" spans="2:24" x14ac:dyDescent="0.35">
      <c r="B250">
        <v>1150493.3359999999</v>
      </c>
      <c r="D250">
        <v>275.03698583518263</v>
      </c>
      <c r="G250">
        <v>274.32398583518261</v>
      </c>
      <c r="J250">
        <v>267.41953863518262</v>
      </c>
      <c r="K250">
        <v>6.9044471999999928</v>
      </c>
      <c r="M250">
        <f t="shared" si="47"/>
        <v>0</v>
      </c>
      <c r="N250" s="18">
        <f t="shared" si="48"/>
        <v>1150493.3</v>
      </c>
      <c r="O250" s="17"/>
      <c r="P250" s="17">
        <f t="shared" si="49"/>
        <v>275.03699999999998</v>
      </c>
      <c r="Q250" s="17"/>
      <c r="R250" s="17"/>
      <c r="S250" s="17">
        <f t="shared" si="50"/>
        <v>274.32400000000001</v>
      </c>
      <c r="T250" s="17"/>
      <c r="U250" s="17"/>
      <c r="V250" s="17">
        <f t="shared" si="51"/>
        <v>267.42</v>
      </c>
      <c r="W250" s="17">
        <f t="shared" si="52"/>
        <v>6.9039999999999999</v>
      </c>
      <c r="X250" s="17"/>
    </row>
    <row r="251" spans="2:24" x14ac:dyDescent="0.35">
      <c r="B251">
        <v>1150513.3359999999</v>
      </c>
      <c r="D251">
        <v>274.98064209328203</v>
      </c>
      <c r="G251">
        <v>274.26764209328201</v>
      </c>
      <c r="J251">
        <v>267.42437739328204</v>
      </c>
      <c r="K251">
        <v>6.8432646999999633</v>
      </c>
      <c r="M251">
        <f t="shared" si="47"/>
        <v>0</v>
      </c>
      <c r="N251" s="18">
        <f t="shared" si="48"/>
        <v>1150513.3</v>
      </c>
      <c r="O251" s="17"/>
      <c r="P251" s="17">
        <f t="shared" si="49"/>
        <v>274.98099999999999</v>
      </c>
      <c r="Q251" s="17"/>
      <c r="R251" s="17"/>
      <c r="S251" s="17">
        <f t="shared" si="50"/>
        <v>274.26799999999997</v>
      </c>
      <c r="T251" s="17"/>
      <c r="U251" s="17"/>
      <c r="V251" s="17">
        <f t="shared" si="51"/>
        <v>267.42399999999998</v>
      </c>
      <c r="W251" s="17">
        <f t="shared" si="52"/>
        <v>6.843</v>
      </c>
      <c r="X251" s="17"/>
    </row>
    <row r="252" spans="2:24" x14ac:dyDescent="0.35">
      <c r="B252">
        <v>1150533.3359999999</v>
      </c>
      <c r="D252">
        <v>274.92429835138142</v>
      </c>
      <c r="G252">
        <v>274.2112983513814</v>
      </c>
      <c r="J252">
        <v>267.47389835138142</v>
      </c>
      <c r="K252">
        <v>6.7373999999999796</v>
      </c>
      <c r="M252">
        <f t="shared" si="47"/>
        <v>0</v>
      </c>
      <c r="N252" s="18">
        <f t="shared" si="48"/>
        <v>1150533.3</v>
      </c>
      <c r="O252" s="17"/>
      <c r="P252" s="17">
        <f t="shared" si="49"/>
        <v>274.92399999999998</v>
      </c>
      <c r="Q252" s="17"/>
      <c r="R252" s="17"/>
      <c r="S252" s="17">
        <f t="shared" si="50"/>
        <v>274.21100000000001</v>
      </c>
      <c r="T252" s="17"/>
      <c r="U252" s="17"/>
      <c r="V252" s="17">
        <f t="shared" si="51"/>
        <v>267.47399999999999</v>
      </c>
      <c r="W252" s="17">
        <f t="shared" si="52"/>
        <v>6.7370000000000001</v>
      </c>
      <c r="X252" s="17"/>
    </row>
    <row r="253" spans="2:24" x14ac:dyDescent="0.35">
      <c r="B253">
        <v>1150553.3359999999</v>
      </c>
      <c r="D253">
        <v>274.86795460948082</v>
      </c>
      <c r="G253">
        <v>274.1549546094808</v>
      </c>
      <c r="J253">
        <v>266.9595051094808</v>
      </c>
      <c r="K253">
        <v>7.1954494999999952</v>
      </c>
      <c r="M253">
        <f t="shared" si="47"/>
        <v>0</v>
      </c>
      <c r="N253" s="18">
        <f t="shared" si="48"/>
        <v>1150553.3</v>
      </c>
      <c r="O253" s="17"/>
      <c r="P253" s="17">
        <f t="shared" si="49"/>
        <v>274.86799999999999</v>
      </c>
      <c r="Q253" s="17"/>
      <c r="R253" s="17"/>
      <c r="S253" s="17">
        <f t="shared" si="50"/>
        <v>274.15499999999997</v>
      </c>
      <c r="T253" s="17"/>
      <c r="U253" s="17"/>
      <c r="V253" s="17">
        <f t="shared" si="51"/>
        <v>266.95999999999998</v>
      </c>
      <c r="W253" s="17">
        <f t="shared" si="52"/>
        <v>7.1950000000000003</v>
      </c>
      <c r="X253" s="17"/>
    </row>
    <row r="254" spans="2:24" x14ac:dyDescent="0.35">
      <c r="B254">
        <v>1150573.3359999999</v>
      </c>
      <c r="D254">
        <v>274.81161086758021</v>
      </c>
      <c r="G254">
        <v>274.09861086758019</v>
      </c>
      <c r="J254">
        <v>267.52462476758018</v>
      </c>
      <c r="K254">
        <v>6.5739861000000133</v>
      </c>
      <c r="M254">
        <f t="shared" si="47"/>
        <v>0</v>
      </c>
      <c r="N254" s="18">
        <f t="shared" si="48"/>
        <v>1150573.3</v>
      </c>
      <c r="O254" s="17"/>
      <c r="P254" s="17">
        <f t="shared" si="49"/>
        <v>274.81200000000001</v>
      </c>
      <c r="Q254" s="17"/>
      <c r="R254" s="17"/>
      <c r="S254" s="17">
        <f t="shared" si="50"/>
        <v>274.09899999999999</v>
      </c>
      <c r="T254" s="17"/>
      <c r="U254" s="17"/>
      <c r="V254" s="17">
        <f t="shared" si="51"/>
        <v>267.52499999999998</v>
      </c>
      <c r="W254" s="17">
        <f t="shared" si="52"/>
        <v>6.5739999999999998</v>
      </c>
      <c r="X254" s="17"/>
    </row>
    <row r="255" spans="2:24" x14ac:dyDescent="0.35">
      <c r="B255">
        <v>1150593.3359999999</v>
      </c>
      <c r="D255">
        <v>274.75526712567961</v>
      </c>
      <c r="G255">
        <v>274.04226712567959</v>
      </c>
      <c r="J255">
        <v>267.58643212567961</v>
      </c>
      <c r="K255">
        <v>6.4558349999999791</v>
      </c>
      <c r="M255">
        <f t="shared" si="47"/>
        <v>0</v>
      </c>
      <c r="N255" s="18">
        <f t="shared" si="48"/>
        <v>1150593.3</v>
      </c>
      <c r="O255" s="17"/>
      <c r="P255" s="17">
        <f t="shared" si="49"/>
        <v>274.755</v>
      </c>
      <c r="Q255" s="17"/>
      <c r="R255" s="17"/>
      <c r="S255" s="17">
        <f t="shared" si="50"/>
        <v>274.04199999999997</v>
      </c>
      <c r="T255" s="17"/>
      <c r="U255" s="17"/>
      <c r="V255" s="17">
        <f t="shared" si="51"/>
        <v>267.58600000000001</v>
      </c>
      <c r="W255" s="17">
        <f t="shared" si="52"/>
        <v>6.4560000000000004</v>
      </c>
      <c r="X255" s="17"/>
    </row>
    <row r="256" spans="2:24" x14ac:dyDescent="0.35">
      <c r="B256">
        <v>1150613.3359999999</v>
      </c>
      <c r="D256">
        <v>274.698923383779</v>
      </c>
      <c r="G256">
        <v>273.98592338377898</v>
      </c>
      <c r="J256">
        <v>267.66436958377903</v>
      </c>
      <c r="K256">
        <v>6.3215537999999469</v>
      </c>
      <c r="M256">
        <f t="shared" si="47"/>
        <v>0</v>
      </c>
      <c r="N256" s="18">
        <f t="shared" si="48"/>
        <v>1150613.3</v>
      </c>
      <c r="O256" s="17"/>
      <c r="P256" s="17">
        <f t="shared" si="49"/>
        <v>274.69900000000001</v>
      </c>
      <c r="Q256" s="17"/>
      <c r="R256" s="17"/>
      <c r="S256" s="17">
        <f t="shared" si="50"/>
        <v>273.98599999999999</v>
      </c>
      <c r="T256" s="17"/>
      <c r="U256" s="17"/>
      <c r="V256" s="17">
        <f t="shared" si="51"/>
        <v>267.66399999999999</v>
      </c>
      <c r="W256" s="17">
        <f t="shared" si="52"/>
        <v>6.3220000000000001</v>
      </c>
      <c r="X256" s="17"/>
    </row>
    <row r="257" spans="2:24" x14ac:dyDescent="0.35">
      <c r="B257">
        <v>1150633.3359999999</v>
      </c>
      <c r="D257">
        <v>274.6425796418784</v>
      </c>
      <c r="G257">
        <v>273.92957964187838</v>
      </c>
      <c r="J257">
        <v>267.59688894187838</v>
      </c>
      <c r="K257">
        <v>6.3326907000000006</v>
      </c>
      <c r="M257">
        <f t="shared" si="47"/>
        <v>0</v>
      </c>
      <c r="N257" s="18">
        <f t="shared" si="48"/>
        <v>1150633.3</v>
      </c>
      <c r="O257" s="17"/>
      <c r="P257" s="17">
        <f t="shared" si="49"/>
        <v>274.64299999999997</v>
      </c>
      <c r="Q257" s="17"/>
      <c r="R257" s="17"/>
      <c r="S257" s="17">
        <f t="shared" si="50"/>
        <v>273.93</v>
      </c>
      <c r="T257" s="17"/>
      <c r="U257" s="17"/>
      <c r="V257" s="17">
        <f t="shared" si="51"/>
        <v>267.59699999999998</v>
      </c>
      <c r="W257" s="17">
        <f t="shared" si="52"/>
        <v>6.3330000000000002</v>
      </c>
      <c r="X257" s="17"/>
    </row>
    <row r="258" spans="2:24" x14ac:dyDescent="0.35">
      <c r="B258">
        <v>1150653.3359999999</v>
      </c>
      <c r="D258">
        <v>274.58623589997779</v>
      </c>
      <c r="G258">
        <v>273.87323589997777</v>
      </c>
      <c r="J258">
        <v>267.52361499997778</v>
      </c>
      <c r="K258">
        <v>6.3496208999999908</v>
      </c>
      <c r="M258">
        <f t="shared" ref="M258:M321" si="53">A258</f>
        <v>0</v>
      </c>
      <c r="N258" s="18">
        <f t="shared" si="48"/>
        <v>1150653.3</v>
      </c>
      <c r="O258" s="17"/>
      <c r="P258" s="17">
        <f t="shared" si="49"/>
        <v>274.58600000000001</v>
      </c>
      <c r="Q258" s="17"/>
      <c r="R258" s="17"/>
      <c r="S258" s="17">
        <f t="shared" si="50"/>
        <v>273.87299999999999</v>
      </c>
      <c r="T258" s="17"/>
      <c r="U258" s="17"/>
      <c r="V258" s="17">
        <f t="shared" si="51"/>
        <v>267.524</v>
      </c>
      <c r="W258" s="17">
        <f t="shared" si="52"/>
        <v>6.35</v>
      </c>
      <c r="X258" s="17"/>
    </row>
    <row r="259" spans="2:24" x14ac:dyDescent="0.35">
      <c r="B259">
        <v>1150673.3359999999</v>
      </c>
      <c r="D259">
        <v>274.52989215807719</v>
      </c>
      <c r="G259">
        <v>273.81689215807717</v>
      </c>
      <c r="J259">
        <v>267.57675335807716</v>
      </c>
      <c r="K259">
        <v>6.2401388000000111</v>
      </c>
      <c r="M259">
        <f t="shared" si="53"/>
        <v>0</v>
      </c>
      <c r="N259" s="18">
        <f t="shared" si="48"/>
        <v>1150673.3</v>
      </c>
      <c r="O259" s="17"/>
      <c r="P259" s="17">
        <f t="shared" si="49"/>
        <v>274.52999999999997</v>
      </c>
      <c r="Q259" s="17"/>
      <c r="R259" s="17"/>
      <c r="S259" s="17">
        <f t="shared" si="50"/>
        <v>273.81700000000001</v>
      </c>
      <c r="T259" s="17"/>
      <c r="U259" s="17"/>
      <c r="V259" s="17">
        <f t="shared" si="51"/>
        <v>267.577</v>
      </c>
      <c r="W259" s="17">
        <f t="shared" si="52"/>
        <v>6.24</v>
      </c>
      <c r="X259" s="17"/>
    </row>
    <row r="260" spans="2:24" x14ac:dyDescent="0.35">
      <c r="B260">
        <v>1150693.3359999999</v>
      </c>
      <c r="D260">
        <v>274.47354841617658</v>
      </c>
      <c r="G260">
        <v>273.76054841617656</v>
      </c>
      <c r="J260">
        <v>267.44245391617659</v>
      </c>
      <c r="K260">
        <v>6.3180944999999724</v>
      </c>
      <c r="M260">
        <f t="shared" si="53"/>
        <v>0</v>
      </c>
      <c r="N260" s="18">
        <f t="shared" si="48"/>
        <v>1150693.3</v>
      </c>
      <c r="O260" s="17"/>
      <c r="P260" s="17">
        <f t="shared" si="49"/>
        <v>274.47399999999999</v>
      </c>
      <c r="Q260" s="17"/>
      <c r="R260" s="17"/>
      <c r="S260" s="17">
        <f t="shared" si="50"/>
        <v>273.76100000000002</v>
      </c>
      <c r="T260" s="17"/>
      <c r="U260" s="17"/>
      <c r="V260" s="17">
        <f t="shared" si="51"/>
        <v>267.44200000000001</v>
      </c>
      <c r="W260" s="17">
        <f t="shared" si="52"/>
        <v>6.3179999999999996</v>
      </c>
      <c r="X260" s="17"/>
    </row>
    <row r="261" spans="2:24" x14ac:dyDescent="0.35">
      <c r="B261">
        <v>1150713.3359999999</v>
      </c>
      <c r="D261">
        <v>274.41720467427598</v>
      </c>
      <c r="G261">
        <v>273.70420467427596</v>
      </c>
      <c r="J261">
        <v>267.40882207427597</v>
      </c>
      <c r="K261">
        <v>6.2953825999999822</v>
      </c>
      <c r="M261">
        <f t="shared" si="53"/>
        <v>0</v>
      </c>
      <c r="N261" s="18">
        <f t="shared" si="48"/>
        <v>1150713.3</v>
      </c>
      <c r="O261" s="17"/>
      <c r="P261" s="17">
        <f t="shared" si="49"/>
        <v>274.41699999999997</v>
      </c>
      <c r="Q261" s="17"/>
      <c r="R261" s="17"/>
      <c r="S261" s="17">
        <f t="shared" si="50"/>
        <v>273.70400000000001</v>
      </c>
      <c r="T261" s="17"/>
      <c r="U261" s="17"/>
      <c r="V261" s="17">
        <f t="shared" si="51"/>
        <v>267.40899999999999</v>
      </c>
      <c r="W261" s="17">
        <f t="shared" si="52"/>
        <v>6.2949999999999999</v>
      </c>
      <c r="X261" s="17"/>
    </row>
    <row r="262" spans="2:24" x14ac:dyDescent="0.35">
      <c r="B262">
        <v>1150733.3359999999</v>
      </c>
      <c r="D262">
        <v>274.36086093237537</v>
      </c>
      <c r="G262">
        <v>273.64786093237535</v>
      </c>
      <c r="J262">
        <v>267.44513843237536</v>
      </c>
      <c r="K262">
        <v>6.202722499999993</v>
      </c>
      <c r="M262">
        <f t="shared" si="53"/>
        <v>0</v>
      </c>
      <c r="N262" s="18">
        <f t="shared" si="48"/>
        <v>1150733.3</v>
      </c>
      <c r="O262" s="17"/>
      <c r="P262" s="17">
        <f t="shared" si="49"/>
        <v>274.36099999999999</v>
      </c>
      <c r="Q262" s="17"/>
      <c r="R262" s="17"/>
      <c r="S262" s="17">
        <f t="shared" si="50"/>
        <v>273.64800000000002</v>
      </c>
      <c r="T262" s="17"/>
      <c r="U262" s="17"/>
      <c r="V262" s="17">
        <f t="shared" si="51"/>
        <v>267.44499999999999</v>
      </c>
      <c r="W262" s="17">
        <f t="shared" si="52"/>
        <v>6.2030000000000003</v>
      </c>
      <c r="X262" s="17"/>
    </row>
    <row r="263" spans="2:24" x14ac:dyDescent="0.35">
      <c r="B263">
        <v>1150753.3359999999</v>
      </c>
      <c r="D263">
        <v>274.30451719047477</v>
      </c>
      <c r="G263">
        <v>273.59151719047475</v>
      </c>
      <c r="J263">
        <v>267.60554749047475</v>
      </c>
      <c r="K263">
        <v>5.9859696999999983</v>
      </c>
      <c r="M263">
        <f t="shared" si="53"/>
        <v>0</v>
      </c>
      <c r="N263" s="18">
        <f t="shared" si="48"/>
        <v>1150753.3</v>
      </c>
      <c r="O263" s="17"/>
      <c r="P263" s="17">
        <f t="shared" si="49"/>
        <v>274.30500000000001</v>
      </c>
      <c r="Q263" s="17"/>
      <c r="R263" s="17"/>
      <c r="S263" s="17">
        <f t="shared" si="50"/>
        <v>273.59199999999998</v>
      </c>
      <c r="T263" s="17"/>
      <c r="U263" s="17"/>
      <c r="V263" s="17">
        <f t="shared" si="51"/>
        <v>267.60599999999999</v>
      </c>
      <c r="W263" s="17">
        <f t="shared" si="52"/>
        <v>5.9859999999999998</v>
      </c>
      <c r="X263" s="17"/>
    </row>
    <row r="264" spans="2:24" x14ac:dyDescent="0.35">
      <c r="B264">
        <v>1150773.3359999999</v>
      </c>
      <c r="D264">
        <v>274.24817344857416</v>
      </c>
      <c r="G264">
        <v>273.53517344857414</v>
      </c>
      <c r="J264">
        <v>267.28944434857414</v>
      </c>
      <c r="K264">
        <v>6.2457291000000055</v>
      </c>
      <c r="M264">
        <f t="shared" si="53"/>
        <v>0</v>
      </c>
      <c r="N264" s="18">
        <f t="shared" si="48"/>
        <v>1150773.3</v>
      </c>
      <c r="O264" s="17"/>
      <c r="P264" s="17">
        <f t="shared" si="49"/>
        <v>274.24799999999999</v>
      </c>
      <c r="Q264" s="17"/>
      <c r="R264" s="17"/>
      <c r="S264" s="17">
        <f t="shared" si="50"/>
        <v>273.53500000000003</v>
      </c>
      <c r="T264" s="17"/>
      <c r="U264" s="17"/>
      <c r="V264" s="17">
        <f t="shared" si="51"/>
        <v>267.28899999999999</v>
      </c>
      <c r="W264" s="17">
        <f t="shared" si="52"/>
        <v>6.2460000000000004</v>
      </c>
      <c r="X264" s="17"/>
    </row>
    <row r="265" spans="2:24" x14ac:dyDescent="0.35">
      <c r="B265">
        <v>1150793.3359999999</v>
      </c>
      <c r="D265">
        <v>274.19182970667356</v>
      </c>
      <c r="G265">
        <v>273.47882970667354</v>
      </c>
      <c r="J265">
        <v>267.25913920667352</v>
      </c>
      <c r="K265">
        <v>6.2196905000000129</v>
      </c>
      <c r="M265">
        <f t="shared" si="53"/>
        <v>0</v>
      </c>
      <c r="N265" s="18">
        <f t="shared" si="48"/>
        <v>1150793.3</v>
      </c>
      <c r="O265" s="17"/>
      <c r="P265" s="17">
        <f t="shared" si="49"/>
        <v>274.19200000000001</v>
      </c>
      <c r="Q265" s="17"/>
      <c r="R265" s="17"/>
      <c r="S265" s="17">
        <f t="shared" si="50"/>
        <v>273.47899999999998</v>
      </c>
      <c r="T265" s="17"/>
      <c r="U265" s="17"/>
      <c r="V265" s="17">
        <f t="shared" si="51"/>
        <v>267.25900000000001</v>
      </c>
      <c r="W265" s="17">
        <f t="shared" si="52"/>
        <v>6.22</v>
      </c>
      <c r="X265" s="17"/>
    </row>
    <row r="266" spans="2:24" x14ac:dyDescent="0.35">
      <c r="B266">
        <v>1150813.3359999999</v>
      </c>
      <c r="D266">
        <v>274.13548596477295</v>
      </c>
      <c r="G266">
        <v>273.42248596477293</v>
      </c>
      <c r="J266">
        <v>267.27059406477292</v>
      </c>
      <c r="K266">
        <v>6.1518919000000096</v>
      </c>
      <c r="M266">
        <f t="shared" si="53"/>
        <v>0</v>
      </c>
      <c r="N266" s="18">
        <f t="shared" si="48"/>
        <v>1150813.3</v>
      </c>
      <c r="O266" s="17"/>
      <c r="P266" s="17">
        <f t="shared" si="49"/>
        <v>274.13499999999999</v>
      </c>
      <c r="Q266" s="17"/>
      <c r="R266" s="17"/>
      <c r="S266" s="17">
        <f t="shared" si="50"/>
        <v>273.42200000000003</v>
      </c>
      <c r="T266" s="17"/>
      <c r="U266" s="17"/>
      <c r="V266" s="17">
        <f t="shared" si="51"/>
        <v>267.27100000000002</v>
      </c>
      <c r="W266" s="17">
        <f t="shared" si="52"/>
        <v>6.1520000000000001</v>
      </c>
      <c r="X266" s="17"/>
    </row>
    <row r="267" spans="2:24" x14ac:dyDescent="0.35">
      <c r="B267">
        <v>1150833.3359999999</v>
      </c>
      <c r="D267">
        <v>274.07914222287235</v>
      </c>
      <c r="G267">
        <v>273.36614222287233</v>
      </c>
      <c r="J267">
        <v>267.25979442287235</v>
      </c>
      <c r="K267">
        <v>6.1063477999999805</v>
      </c>
      <c r="M267">
        <f t="shared" si="53"/>
        <v>0</v>
      </c>
      <c r="N267" s="18">
        <f t="shared" si="48"/>
        <v>1150833.3</v>
      </c>
      <c r="O267" s="17"/>
      <c r="P267" s="17">
        <f t="shared" si="49"/>
        <v>274.07900000000001</v>
      </c>
      <c r="Q267" s="17"/>
      <c r="R267" s="17"/>
      <c r="S267" s="17">
        <f t="shared" si="50"/>
        <v>273.36599999999999</v>
      </c>
      <c r="T267" s="17"/>
      <c r="U267" s="17"/>
      <c r="V267" s="17">
        <f t="shared" si="51"/>
        <v>267.26</v>
      </c>
      <c r="W267" s="17">
        <f t="shared" si="52"/>
        <v>6.1059999999999999</v>
      </c>
      <c r="X267" s="17"/>
    </row>
    <row r="268" spans="2:24" x14ac:dyDescent="0.35">
      <c r="B268">
        <v>1150853.3359999999</v>
      </c>
      <c r="D268">
        <v>274.02279848097174</v>
      </c>
      <c r="G268">
        <v>273.30979848097172</v>
      </c>
      <c r="J268">
        <v>267.15377278097174</v>
      </c>
      <c r="K268">
        <v>6.1560256999999865</v>
      </c>
      <c r="M268">
        <f t="shared" si="53"/>
        <v>0</v>
      </c>
      <c r="N268" s="18">
        <f t="shared" si="48"/>
        <v>1150853.3</v>
      </c>
      <c r="O268" s="17"/>
      <c r="P268" s="17">
        <f t="shared" si="49"/>
        <v>274.02300000000002</v>
      </c>
      <c r="Q268" s="17"/>
      <c r="R268" s="17"/>
      <c r="S268" s="17">
        <f t="shared" si="50"/>
        <v>273.31</v>
      </c>
      <c r="T268" s="17"/>
      <c r="U268" s="17"/>
      <c r="V268" s="17">
        <f t="shared" si="51"/>
        <v>267.154</v>
      </c>
      <c r="W268" s="17">
        <f t="shared" si="52"/>
        <v>6.1559999999999997</v>
      </c>
      <c r="X268" s="17"/>
    </row>
    <row r="269" spans="2:24" x14ac:dyDescent="0.35">
      <c r="B269">
        <v>1150873.3359999999</v>
      </c>
      <c r="D269">
        <v>273.96645473907114</v>
      </c>
      <c r="G269">
        <v>273.25345473907112</v>
      </c>
      <c r="J269">
        <v>267.12420173907111</v>
      </c>
      <c r="K269">
        <v>6.1292530000000056</v>
      </c>
      <c r="M269">
        <f t="shared" si="53"/>
        <v>0</v>
      </c>
      <c r="N269" s="18">
        <f t="shared" si="48"/>
        <v>1150873.3</v>
      </c>
      <c r="O269" s="17"/>
      <c r="P269" s="17">
        <f t="shared" si="49"/>
        <v>273.96600000000001</v>
      </c>
      <c r="Q269" s="17"/>
      <c r="R269" s="17"/>
      <c r="S269" s="17">
        <f t="shared" si="50"/>
        <v>273.25299999999999</v>
      </c>
      <c r="T269" s="17"/>
      <c r="U269" s="17"/>
      <c r="V269" s="17">
        <f t="shared" si="51"/>
        <v>267.12400000000002</v>
      </c>
      <c r="W269" s="17">
        <f t="shared" si="52"/>
        <v>6.1289999999999996</v>
      </c>
      <c r="X269" s="17"/>
    </row>
    <row r="270" spans="2:24" x14ac:dyDescent="0.35">
      <c r="B270">
        <v>1150893.3359999999</v>
      </c>
      <c r="D270">
        <v>273.91011099717053</v>
      </c>
      <c r="G270">
        <v>273.19711099717051</v>
      </c>
      <c r="J270">
        <v>267.12140909717056</v>
      </c>
      <c r="K270">
        <v>6.0757018999999559</v>
      </c>
      <c r="M270">
        <f t="shared" si="53"/>
        <v>0</v>
      </c>
      <c r="N270" s="18">
        <f t="shared" ref="N270:N321" si="54">ROUND(B270,1)</f>
        <v>1150893.3</v>
      </c>
      <c r="O270" s="17"/>
      <c r="P270" s="17">
        <f t="shared" ref="P270:P321" si="55">ROUND(D270,3)</f>
        <v>273.91000000000003</v>
      </c>
      <c r="Q270" s="17"/>
      <c r="R270" s="17"/>
      <c r="S270" s="17">
        <f t="shared" ref="S270:S321" si="56">ROUND(G270,3)</f>
        <v>273.197</v>
      </c>
      <c r="T270" s="17"/>
      <c r="U270" s="17"/>
      <c r="V270" s="17">
        <f t="shared" ref="V270:V321" si="57">ROUND(J270,3)</f>
        <v>267.12099999999998</v>
      </c>
      <c r="W270" s="17">
        <f t="shared" ref="W270:W321" si="58">ROUND(K270,3)</f>
        <v>6.0759999999999996</v>
      </c>
      <c r="X270" s="17"/>
    </row>
    <row r="271" spans="2:24" x14ac:dyDescent="0.35">
      <c r="B271">
        <v>1150913.3359999999</v>
      </c>
      <c r="D271">
        <v>273.85376725526993</v>
      </c>
      <c r="G271">
        <v>273.14076725526991</v>
      </c>
      <c r="J271">
        <v>267.16691345526993</v>
      </c>
      <c r="K271">
        <v>5.9738537999999721</v>
      </c>
      <c r="M271">
        <f t="shared" si="53"/>
        <v>0</v>
      </c>
      <c r="N271" s="18">
        <f t="shared" si="54"/>
        <v>1150913.3</v>
      </c>
      <c r="O271" s="17"/>
      <c r="P271" s="17">
        <f t="shared" si="55"/>
        <v>273.85399999999998</v>
      </c>
      <c r="Q271" s="17"/>
      <c r="R271" s="17"/>
      <c r="S271" s="17">
        <f t="shared" si="56"/>
        <v>273.14100000000002</v>
      </c>
      <c r="T271" s="17"/>
      <c r="U271" s="17"/>
      <c r="V271" s="17">
        <f t="shared" si="57"/>
        <v>267.16699999999997</v>
      </c>
      <c r="W271" s="17">
        <f t="shared" si="58"/>
        <v>5.9740000000000002</v>
      </c>
      <c r="X271" s="17"/>
    </row>
    <row r="272" spans="2:24" x14ac:dyDescent="0.35">
      <c r="B272">
        <v>1150933.3359999999</v>
      </c>
      <c r="D272">
        <v>273.79742351336932</v>
      </c>
      <c r="G272">
        <v>273.0844235133693</v>
      </c>
      <c r="J272">
        <v>266.81661611336932</v>
      </c>
      <c r="K272">
        <v>6.267807399999981</v>
      </c>
      <c r="M272">
        <f t="shared" si="53"/>
        <v>0</v>
      </c>
      <c r="N272" s="18">
        <f t="shared" si="54"/>
        <v>1150933.3</v>
      </c>
      <c r="O272" s="17"/>
      <c r="P272" s="17">
        <f t="shared" si="55"/>
        <v>273.79700000000003</v>
      </c>
      <c r="Q272" s="17"/>
      <c r="R272" s="17"/>
      <c r="S272" s="17">
        <f t="shared" si="56"/>
        <v>273.084</v>
      </c>
      <c r="T272" s="17"/>
      <c r="U272" s="17"/>
      <c r="V272" s="17">
        <f t="shared" si="57"/>
        <v>266.81700000000001</v>
      </c>
      <c r="W272" s="17">
        <f t="shared" si="58"/>
        <v>6.2679999999999998</v>
      </c>
      <c r="X272" s="17"/>
    </row>
    <row r="273" spans="2:24" x14ac:dyDescent="0.35">
      <c r="B273">
        <v>1150953.3359999999</v>
      </c>
      <c r="D273">
        <v>273.74107977146872</v>
      </c>
      <c r="G273">
        <v>273.0280797714687</v>
      </c>
      <c r="J273">
        <v>266.81541767146871</v>
      </c>
      <c r="K273">
        <v>6.2126620999999886</v>
      </c>
      <c r="M273">
        <f t="shared" si="53"/>
        <v>0</v>
      </c>
      <c r="N273" s="18">
        <f t="shared" si="54"/>
        <v>1150953.3</v>
      </c>
      <c r="O273" s="17"/>
      <c r="P273" s="17">
        <f t="shared" si="55"/>
        <v>273.74099999999999</v>
      </c>
      <c r="Q273" s="17"/>
      <c r="R273" s="17"/>
      <c r="S273" s="17">
        <f t="shared" si="56"/>
        <v>273.02800000000002</v>
      </c>
      <c r="T273" s="17"/>
      <c r="U273" s="17"/>
      <c r="V273" s="17">
        <f t="shared" si="57"/>
        <v>266.815</v>
      </c>
      <c r="W273" s="17">
        <f t="shared" si="58"/>
        <v>6.2130000000000001</v>
      </c>
      <c r="X273" s="17"/>
    </row>
    <row r="274" spans="2:24" x14ac:dyDescent="0.35">
      <c r="B274">
        <v>1150973.3359999999</v>
      </c>
      <c r="D274">
        <v>273.68473602956811</v>
      </c>
      <c r="G274">
        <v>272.97173602956809</v>
      </c>
      <c r="J274">
        <v>266.90961342956808</v>
      </c>
      <c r="K274">
        <v>6.0621226000000092</v>
      </c>
      <c r="M274">
        <f t="shared" si="53"/>
        <v>0</v>
      </c>
      <c r="N274" s="18">
        <f t="shared" si="54"/>
        <v>1150973.3</v>
      </c>
      <c r="O274" s="17"/>
      <c r="P274" s="17">
        <f t="shared" si="55"/>
        <v>273.685</v>
      </c>
      <c r="Q274" s="17"/>
      <c r="R274" s="17"/>
      <c r="S274" s="17">
        <f t="shared" si="56"/>
        <v>272.97199999999998</v>
      </c>
      <c r="T274" s="17"/>
      <c r="U274" s="17"/>
      <c r="V274" s="17">
        <f t="shared" si="57"/>
        <v>266.91000000000003</v>
      </c>
      <c r="W274" s="17">
        <f t="shared" si="58"/>
        <v>6.0620000000000003</v>
      </c>
      <c r="X274" s="17"/>
    </row>
    <row r="275" spans="2:24" x14ac:dyDescent="0.35">
      <c r="B275">
        <v>1150993.3359999999</v>
      </c>
      <c r="D275">
        <v>273.62839228766751</v>
      </c>
      <c r="G275">
        <v>272.91539228766749</v>
      </c>
      <c r="J275">
        <v>266.90783748766751</v>
      </c>
      <c r="K275">
        <v>6.0075547999999799</v>
      </c>
      <c r="M275">
        <f t="shared" si="53"/>
        <v>0</v>
      </c>
      <c r="N275" s="18">
        <f t="shared" si="54"/>
        <v>1150993.3</v>
      </c>
      <c r="O275" s="17"/>
      <c r="P275" s="17">
        <f t="shared" si="55"/>
        <v>273.62799999999999</v>
      </c>
      <c r="Q275" s="17"/>
      <c r="R275" s="17"/>
      <c r="S275" s="17">
        <f t="shared" si="56"/>
        <v>272.91500000000002</v>
      </c>
      <c r="T275" s="17"/>
      <c r="U275" s="17"/>
      <c r="V275" s="17">
        <f t="shared" si="57"/>
        <v>266.90800000000002</v>
      </c>
      <c r="W275" s="17">
        <f t="shared" si="58"/>
        <v>6.008</v>
      </c>
      <c r="X275" s="17"/>
    </row>
    <row r="276" spans="2:24" x14ac:dyDescent="0.35">
      <c r="B276">
        <v>1151013.3359999999</v>
      </c>
      <c r="D276">
        <v>273.5720485457669</v>
      </c>
      <c r="G276">
        <v>272.85904854576688</v>
      </c>
      <c r="J276">
        <v>266.92489164576688</v>
      </c>
      <c r="K276">
        <v>5.934156900000005</v>
      </c>
      <c r="M276">
        <f t="shared" si="53"/>
        <v>0</v>
      </c>
      <c r="N276" s="18">
        <f t="shared" si="54"/>
        <v>1151013.3</v>
      </c>
      <c r="O276" s="17"/>
      <c r="P276" s="17">
        <f t="shared" si="55"/>
        <v>273.572</v>
      </c>
      <c r="Q276" s="17"/>
      <c r="R276" s="17"/>
      <c r="S276" s="17">
        <f t="shared" si="56"/>
        <v>272.85899999999998</v>
      </c>
      <c r="T276" s="17"/>
      <c r="U276" s="17"/>
      <c r="V276" s="17">
        <f t="shared" si="57"/>
        <v>266.92500000000001</v>
      </c>
      <c r="W276" s="17">
        <f t="shared" si="58"/>
        <v>5.9340000000000002</v>
      </c>
      <c r="X276" s="17"/>
    </row>
    <row r="277" spans="2:24" x14ac:dyDescent="0.35">
      <c r="B277">
        <v>1151033.3359999999</v>
      </c>
      <c r="D277">
        <v>273.5157048038663</v>
      </c>
      <c r="G277">
        <v>272.80270480386628</v>
      </c>
      <c r="J277">
        <v>266.97815830386634</v>
      </c>
      <c r="K277">
        <v>5.8245464999999399</v>
      </c>
      <c r="M277">
        <f t="shared" si="53"/>
        <v>0</v>
      </c>
      <c r="N277" s="18">
        <f t="shared" si="54"/>
        <v>1151033.3</v>
      </c>
      <c r="O277" s="17"/>
      <c r="P277" s="17">
        <f t="shared" si="55"/>
        <v>273.51600000000002</v>
      </c>
      <c r="Q277" s="17"/>
      <c r="R277" s="17"/>
      <c r="S277" s="17">
        <f t="shared" si="56"/>
        <v>272.803</v>
      </c>
      <c r="T277" s="17"/>
      <c r="U277" s="17"/>
      <c r="V277" s="17">
        <f t="shared" si="57"/>
        <v>266.97800000000001</v>
      </c>
      <c r="W277" s="17">
        <f t="shared" si="58"/>
        <v>5.8250000000000002</v>
      </c>
      <c r="X277" s="17"/>
    </row>
    <row r="278" spans="2:24" x14ac:dyDescent="0.35">
      <c r="B278">
        <v>1151053.3359999999</v>
      </c>
      <c r="D278">
        <v>273.45936106196569</v>
      </c>
      <c r="G278">
        <v>272.74636106196567</v>
      </c>
      <c r="J278">
        <v>266.92583746196573</v>
      </c>
      <c r="K278">
        <v>5.8205235999999445</v>
      </c>
      <c r="M278">
        <f t="shared" si="53"/>
        <v>0</v>
      </c>
      <c r="N278" s="18">
        <f t="shared" si="54"/>
        <v>1151053.3</v>
      </c>
      <c r="O278" s="17"/>
      <c r="P278" s="17">
        <f t="shared" si="55"/>
        <v>273.459</v>
      </c>
      <c r="Q278" s="17"/>
      <c r="R278" s="17"/>
      <c r="S278" s="17">
        <f t="shared" si="56"/>
        <v>272.74599999999998</v>
      </c>
      <c r="T278" s="17"/>
      <c r="U278" s="17"/>
      <c r="V278" s="17">
        <f t="shared" si="57"/>
        <v>266.92599999999999</v>
      </c>
      <c r="W278" s="17">
        <f t="shared" si="58"/>
        <v>5.8209999999999997</v>
      </c>
      <c r="X278" s="17"/>
    </row>
    <row r="279" spans="2:24" x14ac:dyDescent="0.35">
      <c r="B279">
        <v>1151073.3359999999</v>
      </c>
      <c r="D279">
        <v>273.40301732006509</v>
      </c>
      <c r="G279">
        <v>272.69001732006507</v>
      </c>
      <c r="J279">
        <v>266.86861382006509</v>
      </c>
      <c r="K279">
        <v>5.821403499999974</v>
      </c>
      <c r="M279">
        <f t="shared" si="53"/>
        <v>0</v>
      </c>
      <c r="N279" s="18">
        <f t="shared" si="54"/>
        <v>1151073.3</v>
      </c>
      <c r="O279" s="17"/>
      <c r="P279" s="17">
        <f t="shared" si="55"/>
        <v>273.40300000000002</v>
      </c>
      <c r="Q279" s="17"/>
      <c r="R279" s="17"/>
      <c r="S279" s="17">
        <f t="shared" si="56"/>
        <v>272.69</v>
      </c>
      <c r="T279" s="17"/>
      <c r="U279" s="17"/>
      <c r="V279" s="17">
        <f t="shared" si="57"/>
        <v>266.86900000000003</v>
      </c>
      <c r="W279" s="17">
        <f t="shared" si="58"/>
        <v>5.8209999999999997</v>
      </c>
      <c r="X279" s="17"/>
    </row>
    <row r="280" spans="2:24" x14ac:dyDescent="0.35">
      <c r="B280">
        <v>1151093.3359999999</v>
      </c>
      <c r="D280">
        <v>273.34667357816448</v>
      </c>
      <c r="G280">
        <v>272.63367357816446</v>
      </c>
      <c r="J280">
        <v>266.93412247816445</v>
      </c>
      <c r="K280">
        <v>5.6995511000000079</v>
      </c>
      <c r="M280">
        <f t="shared" si="53"/>
        <v>0</v>
      </c>
      <c r="N280" s="18">
        <f t="shared" si="54"/>
        <v>1151093.3</v>
      </c>
      <c r="O280" s="17"/>
      <c r="P280" s="17">
        <f t="shared" si="55"/>
        <v>273.34699999999998</v>
      </c>
      <c r="Q280" s="17"/>
      <c r="R280" s="17"/>
      <c r="S280" s="17">
        <f t="shared" si="56"/>
        <v>272.63400000000001</v>
      </c>
      <c r="T280" s="17"/>
      <c r="U280" s="17"/>
      <c r="V280" s="17">
        <f t="shared" si="57"/>
        <v>266.93400000000003</v>
      </c>
      <c r="W280" s="17">
        <f t="shared" si="58"/>
        <v>5.7</v>
      </c>
      <c r="X280" s="17"/>
    </row>
    <row r="281" spans="2:24" x14ac:dyDescent="0.35">
      <c r="B281">
        <v>1151113.3359999999</v>
      </c>
      <c r="D281">
        <v>273.29032983626388</v>
      </c>
      <c r="G281">
        <v>272.57732983626386</v>
      </c>
      <c r="J281">
        <v>266.94495173626387</v>
      </c>
      <c r="K281">
        <v>5.6323780999999826</v>
      </c>
      <c r="M281">
        <f t="shared" si="53"/>
        <v>0</v>
      </c>
      <c r="N281" s="18">
        <f t="shared" si="54"/>
        <v>1151113.3</v>
      </c>
      <c r="O281" s="17"/>
      <c r="P281" s="17">
        <f t="shared" si="55"/>
        <v>273.29000000000002</v>
      </c>
      <c r="Q281" s="17"/>
      <c r="R281" s="17"/>
      <c r="S281" s="17">
        <f t="shared" si="56"/>
        <v>272.577</v>
      </c>
      <c r="T281" s="17"/>
      <c r="U281" s="17"/>
      <c r="V281" s="17">
        <f t="shared" si="57"/>
        <v>266.94499999999999</v>
      </c>
      <c r="W281" s="17">
        <f t="shared" si="58"/>
        <v>5.6319999999999997</v>
      </c>
      <c r="X281" s="17"/>
    </row>
    <row r="282" spans="2:24" x14ac:dyDescent="0.35">
      <c r="B282">
        <v>1151133.3359999999</v>
      </c>
      <c r="D282">
        <v>273.23398609436327</v>
      </c>
      <c r="G282">
        <v>272.52098609436325</v>
      </c>
      <c r="J282">
        <v>266.86760139436325</v>
      </c>
      <c r="K282">
        <v>5.6533847000000037</v>
      </c>
      <c r="M282">
        <f t="shared" si="53"/>
        <v>0</v>
      </c>
      <c r="N282" s="18">
        <f t="shared" si="54"/>
        <v>1151133.3</v>
      </c>
      <c r="O282" s="17"/>
      <c r="P282" s="17">
        <f t="shared" si="55"/>
        <v>273.23399999999998</v>
      </c>
      <c r="Q282" s="17"/>
      <c r="R282" s="17"/>
      <c r="S282" s="17">
        <f t="shared" si="56"/>
        <v>272.52100000000002</v>
      </c>
      <c r="T282" s="17"/>
      <c r="U282" s="17"/>
      <c r="V282" s="17">
        <f t="shared" si="57"/>
        <v>266.86799999999999</v>
      </c>
      <c r="W282" s="17">
        <f t="shared" si="58"/>
        <v>5.6529999999999996</v>
      </c>
      <c r="X282" s="17"/>
    </row>
    <row r="283" spans="2:24" x14ac:dyDescent="0.35">
      <c r="B283">
        <v>1151153.3359999999</v>
      </c>
      <c r="D283">
        <v>273.17403600000029</v>
      </c>
      <c r="G283">
        <v>272.46103600000026</v>
      </c>
      <c r="J283">
        <v>266.9071023000003</v>
      </c>
      <c r="K283">
        <v>5.5539336999999591</v>
      </c>
      <c r="M283">
        <f t="shared" si="53"/>
        <v>0</v>
      </c>
      <c r="N283" s="18">
        <f t="shared" si="54"/>
        <v>1151153.3</v>
      </c>
      <c r="O283" s="17"/>
      <c r="P283" s="17">
        <f t="shared" si="55"/>
        <v>273.17399999999998</v>
      </c>
      <c r="Q283" s="17"/>
      <c r="R283" s="17"/>
      <c r="S283" s="17">
        <f t="shared" si="56"/>
        <v>272.46100000000001</v>
      </c>
      <c r="T283" s="17"/>
      <c r="U283" s="17"/>
      <c r="V283" s="17">
        <f t="shared" si="57"/>
        <v>266.90699999999998</v>
      </c>
      <c r="W283" s="17">
        <f t="shared" si="58"/>
        <v>5.5540000000000003</v>
      </c>
      <c r="X283" s="17"/>
    </row>
    <row r="284" spans="2:24" x14ac:dyDescent="0.35">
      <c r="B284">
        <v>1151173.3359999999</v>
      </c>
      <c r="D284">
        <v>273.0940360000003</v>
      </c>
      <c r="G284">
        <v>272.38103600000028</v>
      </c>
      <c r="J284">
        <v>266.97675540000029</v>
      </c>
      <c r="K284">
        <v>5.4042805999999928</v>
      </c>
      <c r="M284">
        <f t="shared" si="53"/>
        <v>0</v>
      </c>
      <c r="N284" s="18">
        <f t="shared" si="54"/>
        <v>1151173.3</v>
      </c>
      <c r="O284" s="17"/>
      <c r="P284" s="17">
        <f t="shared" si="55"/>
        <v>273.09399999999999</v>
      </c>
      <c r="Q284" s="17"/>
      <c r="R284" s="17"/>
      <c r="S284" s="17">
        <f t="shared" si="56"/>
        <v>272.38099999999997</v>
      </c>
      <c r="T284" s="17"/>
      <c r="U284" s="17"/>
      <c r="V284" s="17">
        <f t="shared" si="57"/>
        <v>266.97699999999998</v>
      </c>
      <c r="W284" s="17">
        <f t="shared" si="58"/>
        <v>5.4039999999999999</v>
      </c>
      <c r="X284" s="17"/>
    </row>
    <row r="285" spans="2:24" x14ac:dyDescent="0.35">
      <c r="B285">
        <v>1151193.3359999999</v>
      </c>
      <c r="D285">
        <v>273.01403600000032</v>
      </c>
      <c r="G285">
        <v>272.30103600000029</v>
      </c>
      <c r="J285">
        <v>267.1818483000003</v>
      </c>
      <c r="K285">
        <v>5.1191876999999977</v>
      </c>
      <c r="M285">
        <f t="shared" si="53"/>
        <v>0</v>
      </c>
      <c r="N285" s="18">
        <f t="shared" si="54"/>
        <v>1151193.3</v>
      </c>
      <c r="O285" s="17"/>
      <c r="P285" s="17">
        <f t="shared" si="55"/>
        <v>273.01400000000001</v>
      </c>
      <c r="Q285" s="17"/>
      <c r="R285" s="17"/>
      <c r="S285" s="17">
        <f t="shared" si="56"/>
        <v>272.30099999999999</v>
      </c>
      <c r="T285" s="17"/>
      <c r="U285" s="17"/>
      <c r="V285" s="17">
        <f t="shared" si="57"/>
        <v>267.18200000000002</v>
      </c>
      <c r="W285" s="17">
        <f t="shared" si="58"/>
        <v>5.1189999999999998</v>
      </c>
      <c r="X285" s="17"/>
    </row>
    <row r="286" spans="2:24" x14ac:dyDescent="0.35">
      <c r="B286">
        <v>1151213.3359999999</v>
      </c>
      <c r="D286">
        <v>272.93403600000033</v>
      </c>
      <c r="G286">
        <v>272.22103600000031</v>
      </c>
      <c r="J286">
        <v>267.25934570000032</v>
      </c>
      <c r="K286">
        <v>4.9616902999999866</v>
      </c>
      <c r="M286">
        <f t="shared" si="53"/>
        <v>0</v>
      </c>
      <c r="N286" s="18">
        <f t="shared" si="54"/>
        <v>1151213.3</v>
      </c>
      <c r="O286" s="17"/>
      <c r="P286" s="17">
        <f t="shared" si="55"/>
        <v>272.93400000000003</v>
      </c>
      <c r="Q286" s="17"/>
      <c r="R286" s="17"/>
      <c r="S286" s="17">
        <f t="shared" si="56"/>
        <v>272.221</v>
      </c>
      <c r="T286" s="17"/>
      <c r="U286" s="17"/>
      <c r="V286" s="17">
        <f t="shared" si="57"/>
        <v>267.25900000000001</v>
      </c>
      <c r="W286" s="17">
        <f t="shared" si="58"/>
        <v>4.9619999999999997</v>
      </c>
      <c r="X286" s="17"/>
    </row>
    <row r="287" spans="2:24" x14ac:dyDescent="0.35">
      <c r="B287">
        <v>1151233.3359999999</v>
      </c>
      <c r="D287">
        <v>272.85403600000035</v>
      </c>
      <c r="G287">
        <v>272.14103600000033</v>
      </c>
      <c r="J287">
        <v>267.45603500000033</v>
      </c>
      <c r="K287">
        <v>4.6850009999999997</v>
      </c>
      <c r="M287">
        <f t="shared" si="53"/>
        <v>0</v>
      </c>
      <c r="N287" s="18">
        <f t="shared" si="54"/>
        <v>1151233.3</v>
      </c>
      <c r="O287" s="17"/>
      <c r="P287" s="17">
        <f t="shared" si="55"/>
        <v>272.85399999999998</v>
      </c>
      <c r="Q287" s="17"/>
      <c r="R287" s="17"/>
      <c r="S287" s="17">
        <f t="shared" si="56"/>
        <v>272.14100000000002</v>
      </c>
      <c r="T287" s="17"/>
      <c r="U287" s="17"/>
      <c r="V287" s="17">
        <f t="shared" si="57"/>
        <v>267.45600000000002</v>
      </c>
      <c r="W287" s="17">
        <f t="shared" si="58"/>
        <v>4.6849999999999996</v>
      </c>
      <c r="X287" s="17"/>
    </row>
    <row r="288" spans="2:24" x14ac:dyDescent="0.35">
      <c r="B288">
        <v>1151253.3359999999</v>
      </c>
      <c r="D288">
        <v>272.77403600000036</v>
      </c>
      <c r="G288">
        <v>272.06103600000034</v>
      </c>
      <c r="J288">
        <v>267.05424210000035</v>
      </c>
      <c r="K288">
        <v>5.006793899999991</v>
      </c>
      <c r="M288">
        <f t="shared" si="53"/>
        <v>0</v>
      </c>
      <c r="N288" s="18">
        <f t="shared" si="54"/>
        <v>1151253.3</v>
      </c>
      <c r="O288" s="17"/>
      <c r="P288" s="17">
        <f t="shared" si="55"/>
        <v>272.774</v>
      </c>
      <c r="Q288" s="17"/>
      <c r="R288" s="17"/>
      <c r="S288" s="17">
        <f t="shared" si="56"/>
        <v>272.06099999999998</v>
      </c>
      <c r="T288" s="17"/>
      <c r="U288" s="17"/>
      <c r="V288" s="17">
        <f t="shared" si="57"/>
        <v>267.05399999999997</v>
      </c>
      <c r="W288" s="17">
        <f t="shared" si="58"/>
        <v>5.0069999999999997</v>
      </c>
      <c r="X288" s="17"/>
    </row>
    <row r="289" spans="2:24" x14ac:dyDescent="0.35">
      <c r="B289">
        <v>1151273.3359999999</v>
      </c>
      <c r="D289">
        <v>272.69403600000038</v>
      </c>
      <c r="G289">
        <v>271.98103600000036</v>
      </c>
      <c r="J289">
        <v>267.49439970000043</v>
      </c>
      <c r="K289">
        <v>4.4866362999999296</v>
      </c>
      <c r="M289">
        <f t="shared" si="53"/>
        <v>0</v>
      </c>
      <c r="N289" s="18">
        <f t="shared" si="54"/>
        <v>1151273.3</v>
      </c>
      <c r="O289" s="17"/>
      <c r="P289" s="17">
        <f t="shared" si="55"/>
        <v>272.69400000000002</v>
      </c>
      <c r="Q289" s="17"/>
      <c r="R289" s="17"/>
      <c r="S289" s="17">
        <f t="shared" si="56"/>
        <v>271.98099999999999</v>
      </c>
      <c r="T289" s="17"/>
      <c r="U289" s="17"/>
      <c r="V289" s="17">
        <f t="shared" si="57"/>
        <v>267.49400000000003</v>
      </c>
      <c r="W289" s="17">
        <f t="shared" si="58"/>
        <v>4.4870000000000001</v>
      </c>
      <c r="X289" s="17"/>
    </row>
    <row r="290" spans="2:24" x14ac:dyDescent="0.35">
      <c r="B290">
        <v>1151293.3359999999</v>
      </c>
      <c r="D290">
        <v>272.6140360000004</v>
      </c>
      <c r="G290">
        <v>271.90103600000037</v>
      </c>
      <c r="J290">
        <v>267.12329070000038</v>
      </c>
      <c r="K290">
        <v>4.7777452999999923</v>
      </c>
      <c r="M290">
        <f t="shared" si="53"/>
        <v>0</v>
      </c>
      <c r="N290" s="18">
        <f t="shared" si="54"/>
        <v>1151293.3</v>
      </c>
      <c r="O290" s="17"/>
      <c r="P290" s="17">
        <f t="shared" si="55"/>
        <v>272.61399999999998</v>
      </c>
      <c r="Q290" s="17"/>
      <c r="R290" s="17"/>
      <c r="S290" s="17">
        <f t="shared" si="56"/>
        <v>271.90100000000001</v>
      </c>
      <c r="T290" s="17"/>
      <c r="U290" s="17"/>
      <c r="V290" s="17">
        <f t="shared" si="57"/>
        <v>267.12299999999999</v>
      </c>
      <c r="W290" s="17">
        <f t="shared" si="58"/>
        <v>4.7779999999999996</v>
      </c>
      <c r="X290" s="17"/>
    </row>
    <row r="291" spans="2:24" x14ac:dyDescent="0.35">
      <c r="B291">
        <v>1151313.3359999999</v>
      </c>
      <c r="D291">
        <v>272.53403600000041</v>
      </c>
      <c r="G291">
        <v>271.82103600000039</v>
      </c>
      <c r="J291">
        <v>266.68796550000042</v>
      </c>
      <c r="K291">
        <v>5.1330704999999739</v>
      </c>
      <c r="M291">
        <f t="shared" si="53"/>
        <v>0</v>
      </c>
      <c r="N291" s="18">
        <f t="shared" si="54"/>
        <v>1151313.3</v>
      </c>
      <c r="O291" s="17"/>
      <c r="P291" s="17">
        <f t="shared" si="55"/>
        <v>272.53399999999999</v>
      </c>
      <c r="Q291" s="17"/>
      <c r="R291" s="17"/>
      <c r="S291" s="17">
        <f t="shared" si="56"/>
        <v>271.82100000000003</v>
      </c>
      <c r="T291" s="17"/>
      <c r="U291" s="17"/>
      <c r="V291" s="17">
        <f t="shared" si="57"/>
        <v>266.68799999999999</v>
      </c>
      <c r="W291" s="17">
        <f t="shared" si="58"/>
        <v>5.133</v>
      </c>
      <c r="X291" s="17"/>
    </row>
    <row r="292" spans="2:24" x14ac:dyDescent="0.35">
      <c r="B292">
        <v>1151333.3359999999</v>
      </c>
      <c r="D292">
        <v>272.45403600000043</v>
      </c>
      <c r="G292">
        <v>271.74103600000041</v>
      </c>
      <c r="J292">
        <v>266.45548150000042</v>
      </c>
      <c r="K292">
        <v>5.2855544999999893</v>
      </c>
      <c r="M292">
        <f t="shared" si="53"/>
        <v>0</v>
      </c>
      <c r="N292" s="18">
        <f t="shared" si="54"/>
        <v>1151333.3</v>
      </c>
      <c r="O292" s="17"/>
      <c r="P292" s="17">
        <f t="shared" si="55"/>
        <v>272.45400000000001</v>
      </c>
      <c r="Q292" s="17"/>
      <c r="R292" s="17"/>
      <c r="S292" s="17">
        <f t="shared" si="56"/>
        <v>271.74099999999999</v>
      </c>
      <c r="T292" s="17"/>
      <c r="U292" s="17"/>
      <c r="V292" s="17">
        <f t="shared" si="57"/>
        <v>266.45499999999998</v>
      </c>
      <c r="W292" s="17">
        <f t="shared" si="58"/>
        <v>5.2859999999999996</v>
      </c>
      <c r="X292" s="17"/>
    </row>
    <row r="293" spans="2:24" x14ac:dyDescent="0.35">
      <c r="B293">
        <v>1151353.3359999999</v>
      </c>
      <c r="D293">
        <v>272.37403600000044</v>
      </c>
      <c r="G293">
        <v>271.66103600000042</v>
      </c>
      <c r="J293">
        <v>267.34099530000049</v>
      </c>
      <c r="K293">
        <v>4.3200406999999359</v>
      </c>
      <c r="M293">
        <f t="shared" si="53"/>
        <v>0</v>
      </c>
      <c r="N293" s="18">
        <f t="shared" si="54"/>
        <v>1151353.3</v>
      </c>
      <c r="O293" s="17"/>
      <c r="P293" s="17">
        <f t="shared" si="55"/>
        <v>272.37400000000002</v>
      </c>
      <c r="Q293" s="17"/>
      <c r="R293" s="17"/>
      <c r="S293" s="17">
        <f t="shared" si="56"/>
        <v>271.661</v>
      </c>
      <c r="T293" s="17"/>
      <c r="U293" s="17"/>
      <c r="V293" s="17">
        <f t="shared" si="57"/>
        <v>267.34100000000001</v>
      </c>
      <c r="W293" s="17">
        <f t="shared" si="58"/>
        <v>4.32</v>
      </c>
      <c r="X293" s="17"/>
    </row>
    <row r="294" spans="2:24" x14ac:dyDescent="0.35">
      <c r="B294">
        <v>1151373.3359999999</v>
      </c>
      <c r="D294">
        <v>272.29403600000046</v>
      </c>
      <c r="G294">
        <v>271.58103600000044</v>
      </c>
      <c r="J294">
        <v>267.07838610000044</v>
      </c>
      <c r="K294">
        <v>4.5026498999999944</v>
      </c>
      <c r="M294">
        <f t="shared" si="53"/>
        <v>0</v>
      </c>
      <c r="N294" s="18">
        <f t="shared" si="54"/>
        <v>1151373.3</v>
      </c>
      <c r="O294" s="17"/>
      <c r="P294" s="17">
        <f t="shared" si="55"/>
        <v>272.29399999999998</v>
      </c>
      <c r="Q294" s="17"/>
      <c r="R294" s="17"/>
      <c r="S294" s="17">
        <f t="shared" si="56"/>
        <v>271.58100000000002</v>
      </c>
      <c r="T294" s="17"/>
      <c r="U294" s="17"/>
      <c r="V294" s="17">
        <f t="shared" si="57"/>
        <v>267.07799999999997</v>
      </c>
      <c r="W294" s="17">
        <f t="shared" si="58"/>
        <v>4.5030000000000001</v>
      </c>
      <c r="X294" s="17"/>
    </row>
    <row r="295" spans="2:24" x14ac:dyDescent="0.35">
      <c r="B295">
        <v>1151393.3359999999</v>
      </c>
      <c r="D295">
        <v>272.21403600000048</v>
      </c>
      <c r="G295">
        <v>271.50103600000045</v>
      </c>
      <c r="J295">
        <v>264.20897610000048</v>
      </c>
      <c r="K295">
        <v>7.2920598999999697</v>
      </c>
      <c r="M295">
        <f t="shared" si="53"/>
        <v>0</v>
      </c>
      <c r="N295" s="18">
        <f t="shared" si="54"/>
        <v>1151393.3</v>
      </c>
      <c r="O295" s="17"/>
      <c r="P295" s="17">
        <f t="shared" si="55"/>
        <v>272.214</v>
      </c>
      <c r="Q295" s="17"/>
      <c r="R295" s="17"/>
      <c r="S295" s="17">
        <f t="shared" si="56"/>
        <v>271.50099999999998</v>
      </c>
      <c r="T295" s="17"/>
      <c r="U295" s="17"/>
      <c r="V295" s="17">
        <f t="shared" si="57"/>
        <v>264.209</v>
      </c>
      <c r="W295" s="17">
        <f t="shared" si="58"/>
        <v>7.2919999999999998</v>
      </c>
      <c r="X295" s="17"/>
    </row>
    <row r="296" spans="2:24" x14ac:dyDescent="0.35">
      <c r="B296">
        <v>1151413.3359999999</v>
      </c>
      <c r="D296">
        <v>272.13403600000049</v>
      </c>
      <c r="G296">
        <v>271.42103600000047</v>
      </c>
      <c r="J296">
        <v>266.99685670000048</v>
      </c>
      <c r="K296">
        <v>4.4241792999999916</v>
      </c>
      <c r="M296">
        <f t="shared" si="53"/>
        <v>0</v>
      </c>
      <c r="N296" s="18">
        <f t="shared" si="54"/>
        <v>1151413.3</v>
      </c>
      <c r="O296" s="17"/>
      <c r="P296" s="17">
        <f t="shared" si="55"/>
        <v>272.13400000000001</v>
      </c>
      <c r="Q296" s="17"/>
      <c r="R296" s="17"/>
      <c r="S296" s="17">
        <f t="shared" si="56"/>
        <v>271.42099999999999</v>
      </c>
      <c r="T296" s="17"/>
      <c r="U296" s="17"/>
      <c r="V296" s="17">
        <f t="shared" si="57"/>
        <v>266.99700000000001</v>
      </c>
      <c r="W296" s="17">
        <f t="shared" si="58"/>
        <v>4.4240000000000004</v>
      </c>
      <c r="X296" s="17"/>
    </row>
    <row r="297" spans="2:24" x14ac:dyDescent="0.35">
      <c r="B297">
        <v>1151433.3359999999</v>
      </c>
      <c r="D297">
        <v>272.05403600000051</v>
      </c>
      <c r="G297">
        <v>271.34103600000049</v>
      </c>
      <c r="J297">
        <v>267.05574510000054</v>
      </c>
      <c r="K297">
        <v>4.2852908999999499</v>
      </c>
      <c r="M297">
        <f t="shared" si="53"/>
        <v>0</v>
      </c>
      <c r="N297" s="18">
        <f t="shared" si="54"/>
        <v>1151433.3</v>
      </c>
      <c r="O297" s="17"/>
      <c r="P297" s="17">
        <f t="shared" si="55"/>
        <v>272.05399999999997</v>
      </c>
      <c r="Q297" s="17"/>
      <c r="R297" s="17"/>
      <c r="S297" s="17">
        <f t="shared" si="56"/>
        <v>271.34100000000001</v>
      </c>
      <c r="T297" s="17"/>
      <c r="U297" s="17"/>
      <c r="V297" s="17">
        <f t="shared" si="57"/>
        <v>267.05599999999998</v>
      </c>
      <c r="W297" s="17">
        <f t="shared" si="58"/>
        <v>4.2850000000000001</v>
      </c>
      <c r="X297" s="17"/>
    </row>
    <row r="298" spans="2:24" x14ac:dyDescent="0.35">
      <c r="B298">
        <v>1151453.3359999999</v>
      </c>
      <c r="D298">
        <v>271.97403600000052</v>
      </c>
      <c r="G298">
        <v>271.2610360000005</v>
      </c>
      <c r="J298">
        <v>267.05196670000049</v>
      </c>
      <c r="K298">
        <v>4.2090693000000101</v>
      </c>
      <c r="M298">
        <f t="shared" si="53"/>
        <v>0</v>
      </c>
      <c r="N298" s="18">
        <f t="shared" si="54"/>
        <v>1151453.3</v>
      </c>
      <c r="O298" s="17"/>
      <c r="P298" s="17">
        <f t="shared" si="55"/>
        <v>271.97399999999999</v>
      </c>
      <c r="Q298" s="17"/>
      <c r="R298" s="17"/>
      <c r="S298" s="17">
        <f t="shared" si="56"/>
        <v>271.26100000000002</v>
      </c>
      <c r="T298" s="17"/>
      <c r="U298" s="17"/>
      <c r="V298" s="17">
        <f t="shared" si="57"/>
        <v>267.05200000000002</v>
      </c>
      <c r="W298" s="17">
        <f t="shared" si="58"/>
        <v>4.2089999999999996</v>
      </c>
      <c r="X298" s="17"/>
    </row>
    <row r="299" spans="2:24" x14ac:dyDescent="0.35">
      <c r="B299">
        <v>1151473.3359999999</v>
      </c>
      <c r="D299">
        <v>271.89403600000054</v>
      </c>
      <c r="G299">
        <v>271.18103600000052</v>
      </c>
      <c r="J299">
        <v>267.03572900000052</v>
      </c>
      <c r="K299">
        <v>4.1453070000000025</v>
      </c>
      <c r="M299">
        <f t="shared" si="53"/>
        <v>0</v>
      </c>
      <c r="N299" s="18">
        <f t="shared" si="54"/>
        <v>1151473.3</v>
      </c>
      <c r="O299" s="17"/>
      <c r="P299" s="17">
        <f t="shared" si="55"/>
        <v>271.89400000000001</v>
      </c>
      <c r="Q299" s="17"/>
      <c r="R299" s="17"/>
      <c r="S299" s="17">
        <f t="shared" si="56"/>
        <v>271.18099999999998</v>
      </c>
      <c r="T299" s="17"/>
      <c r="U299" s="17"/>
      <c r="V299" s="17">
        <f t="shared" si="57"/>
        <v>267.036</v>
      </c>
      <c r="W299" s="17">
        <f t="shared" si="58"/>
        <v>4.1449999999999996</v>
      </c>
      <c r="X299" s="17"/>
    </row>
    <row r="300" spans="2:24" x14ac:dyDescent="0.35">
      <c r="B300">
        <v>1151493.3359999999</v>
      </c>
      <c r="D300">
        <v>271.81403600000056</v>
      </c>
      <c r="G300">
        <v>271.10103600000053</v>
      </c>
      <c r="J300">
        <v>267.00622660000056</v>
      </c>
      <c r="K300">
        <v>4.0948093999999742</v>
      </c>
      <c r="M300">
        <f t="shared" si="53"/>
        <v>0</v>
      </c>
      <c r="N300" s="18">
        <f t="shared" si="54"/>
        <v>1151493.3</v>
      </c>
      <c r="O300" s="17"/>
      <c r="P300" s="17">
        <f t="shared" si="55"/>
        <v>271.81400000000002</v>
      </c>
      <c r="Q300" s="17"/>
      <c r="R300" s="17"/>
      <c r="S300" s="17">
        <f t="shared" si="56"/>
        <v>271.101</v>
      </c>
      <c r="T300" s="17"/>
      <c r="U300" s="17"/>
      <c r="V300" s="17">
        <f t="shared" si="57"/>
        <v>267.00599999999997</v>
      </c>
      <c r="W300" s="17">
        <f t="shared" si="58"/>
        <v>4.0949999999999998</v>
      </c>
      <c r="X300" s="17"/>
    </row>
    <row r="301" spans="2:24" x14ac:dyDescent="0.35">
      <c r="B301">
        <v>1151513.3359999999</v>
      </c>
      <c r="D301">
        <v>271.73403600000057</v>
      </c>
      <c r="G301">
        <v>271.02103600000055</v>
      </c>
      <c r="J301">
        <v>267.42692930000055</v>
      </c>
      <c r="K301">
        <v>3.5941066999999975</v>
      </c>
      <c r="M301">
        <f t="shared" si="53"/>
        <v>0</v>
      </c>
      <c r="N301" s="18">
        <f t="shared" si="54"/>
        <v>1151513.3</v>
      </c>
      <c r="O301" s="17"/>
      <c r="P301" s="17">
        <f t="shared" si="55"/>
        <v>271.73399999999998</v>
      </c>
      <c r="Q301" s="17"/>
      <c r="R301" s="17"/>
      <c r="S301" s="17">
        <f t="shared" si="56"/>
        <v>271.02100000000002</v>
      </c>
      <c r="T301" s="17"/>
      <c r="U301" s="17"/>
      <c r="V301" s="17">
        <f t="shared" si="57"/>
        <v>267.42700000000002</v>
      </c>
      <c r="W301" s="17">
        <f t="shared" si="58"/>
        <v>3.5939999999999999</v>
      </c>
      <c r="X301" s="17"/>
    </row>
    <row r="302" spans="2:24" x14ac:dyDescent="0.35">
      <c r="B302">
        <v>1151533.3359999999</v>
      </c>
      <c r="D302">
        <v>271.65403600000059</v>
      </c>
      <c r="G302">
        <v>270.94103600000057</v>
      </c>
      <c r="J302">
        <v>267.42994520000059</v>
      </c>
      <c r="K302">
        <v>3.5110907999999768</v>
      </c>
      <c r="M302">
        <f t="shared" si="53"/>
        <v>0</v>
      </c>
      <c r="N302" s="18">
        <f t="shared" si="54"/>
        <v>1151533.3</v>
      </c>
      <c r="O302" s="17"/>
      <c r="P302" s="17">
        <f t="shared" si="55"/>
        <v>271.654</v>
      </c>
      <c r="Q302" s="17"/>
      <c r="R302" s="17"/>
      <c r="S302" s="17">
        <f t="shared" si="56"/>
        <v>270.94099999999997</v>
      </c>
      <c r="T302" s="17"/>
      <c r="U302" s="17"/>
      <c r="V302" s="17">
        <f t="shared" si="57"/>
        <v>267.43</v>
      </c>
      <c r="W302" s="17">
        <f t="shared" si="58"/>
        <v>3.5110000000000001</v>
      </c>
      <c r="X302" s="17"/>
    </row>
    <row r="303" spans="2:24" x14ac:dyDescent="0.35">
      <c r="B303">
        <v>1151553.3359999999</v>
      </c>
      <c r="D303">
        <v>271.5740360000006</v>
      </c>
      <c r="G303">
        <v>270.86103600000058</v>
      </c>
      <c r="J303">
        <v>267.31022440000055</v>
      </c>
      <c r="K303">
        <v>3.5508116000000314</v>
      </c>
      <c r="M303">
        <f t="shared" si="53"/>
        <v>0</v>
      </c>
      <c r="N303" s="18">
        <f t="shared" si="54"/>
        <v>1151553.3</v>
      </c>
      <c r="O303" s="17"/>
      <c r="P303" s="17">
        <f t="shared" si="55"/>
        <v>271.57400000000001</v>
      </c>
      <c r="Q303" s="17"/>
      <c r="R303" s="17"/>
      <c r="S303" s="17">
        <f t="shared" si="56"/>
        <v>270.86099999999999</v>
      </c>
      <c r="T303" s="17"/>
      <c r="U303" s="17"/>
      <c r="V303" s="17">
        <f t="shared" si="57"/>
        <v>267.31</v>
      </c>
      <c r="W303" s="17">
        <f t="shared" si="58"/>
        <v>3.5510000000000002</v>
      </c>
      <c r="X303" s="17"/>
    </row>
    <row r="304" spans="2:24" x14ac:dyDescent="0.35">
      <c r="B304">
        <v>1151573.3359999999</v>
      </c>
      <c r="D304">
        <v>271.49403600000062</v>
      </c>
      <c r="G304">
        <v>270.7810360000006</v>
      </c>
      <c r="J304">
        <v>267.59438670000065</v>
      </c>
      <c r="K304">
        <v>3.1866492999999423</v>
      </c>
      <c r="M304">
        <f t="shared" si="53"/>
        <v>0</v>
      </c>
      <c r="N304" s="18">
        <f t="shared" si="54"/>
        <v>1151573.3</v>
      </c>
      <c r="O304" s="17"/>
      <c r="P304" s="17">
        <f t="shared" si="55"/>
        <v>271.49400000000003</v>
      </c>
      <c r="Q304" s="17"/>
      <c r="R304" s="17"/>
      <c r="S304" s="17">
        <f t="shared" si="56"/>
        <v>270.78100000000001</v>
      </c>
      <c r="T304" s="17"/>
      <c r="U304" s="17"/>
      <c r="V304" s="17">
        <f t="shared" si="57"/>
        <v>267.59399999999999</v>
      </c>
      <c r="W304" s="17">
        <f t="shared" si="58"/>
        <v>3.1869999999999998</v>
      </c>
      <c r="X304" s="17"/>
    </row>
    <row r="305" spans="2:24" x14ac:dyDescent="0.35">
      <c r="B305">
        <v>1151593.3359999999</v>
      </c>
      <c r="D305">
        <v>271.41403600000064</v>
      </c>
      <c r="G305">
        <v>270.70103600000061</v>
      </c>
      <c r="J305">
        <v>267.78138400000063</v>
      </c>
      <c r="K305">
        <v>2.919651999999985</v>
      </c>
      <c r="M305">
        <f t="shared" si="53"/>
        <v>0</v>
      </c>
      <c r="N305" s="18">
        <f t="shared" si="54"/>
        <v>1151593.3</v>
      </c>
      <c r="O305" s="17"/>
      <c r="P305" s="17">
        <f t="shared" si="55"/>
        <v>271.41399999999999</v>
      </c>
      <c r="Q305" s="17"/>
      <c r="R305" s="17"/>
      <c r="S305" s="17">
        <f t="shared" si="56"/>
        <v>270.70100000000002</v>
      </c>
      <c r="T305" s="17"/>
      <c r="U305" s="17"/>
      <c r="V305" s="17">
        <f t="shared" si="57"/>
        <v>267.78100000000001</v>
      </c>
      <c r="W305" s="17">
        <f t="shared" si="58"/>
        <v>2.92</v>
      </c>
      <c r="X305" s="17"/>
    </row>
    <row r="306" spans="2:24" x14ac:dyDescent="0.35">
      <c r="B306">
        <v>1151613.3359999999</v>
      </c>
      <c r="D306">
        <v>271.33403600000065</v>
      </c>
      <c r="G306">
        <v>270.62103600000063</v>
      </c>
      <c r="J306">
        <v>267.71943280000062</v>
      </c>
      <c r="K306">
        <v>2.9016032000000109</v>
      </c>
      <c r="M306">
        <f t="shared" si="53"/>
        <v>0</v>
      </c>
      <c r="N306" s="18">
        <f t="shared" si="54"/>
        <v>1151613.3</v>
      </c>
      <c r="O306" s="17"/>
      <c r="P306" s="17">
        <f t="shared" si="55"/>
        <v>271.334</v>
      </c>
      <c r="Q306" s="17"/>
      <c r="R306" s="17"/>
      <c r="S306" s="17">
        <f t="shared" si="56"/>
        <v>270.62099999999998</v>
      </c>
      <c r="T306" s="17"/>
      <c r="U306" s="17"/>
      <c r="V306" s="17">
        <f t="shared" si="57"/>
        <v>267.71899999999999</v>
      </c>
      <c r="W306" s="17">
        <f t="shared" si="58"/>
        <v>2.9020000000000001</v>
      </c>
      <c r="X306" s="17"/>
    </row>
    <row r="307" spans="2:24" x14ac:dyDescent="0.35">
      <c r="B307">
        <v>1151633.3359999999</v>
      </c>
      <c r="D307">
        <v>271.25403600000067</v>
      </c>
      <c r="G307">
        <v>270.54103600000064</v>
      </c>
      <c r="J307">
        <v>267.76041510000067</v>
      </c>
      <c r="K307">
        <v>2.780620899999974</v>
      </c>
      <c r="M307">
        <f t="shared" si="53"/>
        <v>0</v>
      </c>
      <c r="N307" s="18">
        <f t="shared" si="54"/>
        <v>1151633.3</v>
      </c>
      <c r="O307" s="17"/>
      <c r="P307" s="17">
        <f t="shared" si="55"/>
        <v>271.25400000000002</v>
      </c>
      <c r="Q307" s="17"/>
      <c r="R307" s="17"/>
      <c r="S307" s="17">
        <f t="shared" si="56"/>
        <v>270.541</v>
      </c>
      <c r="T307" s="17"/>
      <c r="U307" s="17"/>
      <c r="V307" s="17">
        <f t="shared" si="57"/>
        <v>267.76</v>
      </c>
      <c r="W307" s="17">
        <f t="shared" si="58"/>
        <v>2.7810000000000001</v>
      </c>
      <c r="X307" s="17"/>
    </row>
    <row r="308" spans="2:24" x14ac:dyDescent="0.35">
      <c r="B308">
        <v>1151653.3359999999</v>
      </c>
      <c r="D308">
        <v>271.17403600000068</v>
      </c>
      <c r="G308">
        <v>270.46103600000066</v>
      </c>
      <c r="J308">
        <v>267.8811557000007</v>
      </c>
      <c r="K308">
        <v>2.5798802999999566</v>
      </c>
      <c r="M308">
        <f t="shared" si="53"/>
        <v>0</v>
      </c>
      <c r="N308" s="18">
        <f t="shared" si="54"/>
        <v>1151653.3</v>
      </c>
      <c r="O308" s="17"/>
      <c r="P308" s="17">
        <f t="shared" si="55"/>
        <v>271.17399999999998</v>
      </c>
      <c r="Q308" s="17"/>
      <c r="R308" s="17"/>
      <c r="S308" s="17">
        <f t="shared" si="56"/>
        <v>270.46100000000001</v>
      </c>
      <c r="T308" s="17"/>
      <c r="U308" s="17"/>
      <c r="V308" s="17">
        <f t="shared" si="57"/>
        <v>267.88099999999997</v>
      </c>
      <c r="W308" s="17">
        <f t="shared" si="58"/>
        <v>2.58</v>
      </c>
      <c r="X308" s="17"/>
    </row>
    <row r="309" spans="2:24" x14ac:dyDescent="0.35">
      <c r="B309">
        <v>1151673.3359999999</v>
      </c>
      <c r="D309">
        <v>271.0940360000007</v>
      </c>
      <c r="G309">
        <v>270.38103600000068</v>
      </c>
      <c r="J309">
        <v>267.5924883000007</v>
      </c>
      <c r="K309">
        <v>2.788547699999981</v>
      </c>
      <c r="M309">
        <f t="shared" si="53"/>
        <v>0</v>
      </c>
      <c r="N309" s="18">
        <f t="shared" si="54"/>
        <v>1151673.3</v>
      </c>
      <c r="O309" s="17"/>
      <c r="P309" s="17">
        <f t="shared" si="55"/>
        <v>271.09399999999999</v>
      </c>
      <c r="Q309" s="17"/>
      <c r="R309" s="17"/>
      <c r="S309" s="17">
        <f t="shared" si="56"/>
        <v>270.38099999999997</v>
      </c>
      <c r="T309" s="17"/>
      <c r="U309" s="17"/>
      <c r="V309" s="17">
        <f t="shared" si="57"/>
        <v>267.59199999999998</v>
      </c>
      <c r="W309" s="17">
        <f t="shared" si="58"/>
        <v>2.7890000000000001</v>
      </c>
      <c r="X309" s="17"/>
    </row>
    <row r="310" spans="2:24" x14ac:dyDescent="0.35">
      <c r="B310">
        <v>1151693.3359999999</v>
      </c>
      <c r="D310">
        <v>271.01403600000071</v>
      </c>
      <c r="G310">
        <v>270.30103600000069</v>
      </c>
      <c r="J310">
        <v>267.74711070000069</v>
      </c>
      <c r="K310">
        <v>2.5539253000000031</v>
      </c>
      <c r="M310">
        <f t="shared" si="53"/>
        <v>0</v>
      </c>
      <c r="N310" s="18">
        <f t="shared" si="54"/>
        <v>1151693.3</v>
      </c>
      <c r="O310" s="17"/>
      <c r="P310" s="17">
        <f t="shared" si="55"/>
        <v>271.01400000000001</v>
      </c>
      <c r="Q310" s="17"/>
      <c r="R310" s="17"/>
      <c r="S310" s="17">
        <f t="shared" si="56"/>
        <v>270.30099999999999</v>
      </c>
      <c r="T310" s="17"/>
      <c r="U310" s="17"/>
      <c r="V310" s="17">
        <f t="shared" si="57"/>
        <v>267.74700000000001</v>
      </c>
      <c r="W310" s="17">
        <f t="shared" si="58"/>
        <v>2.5539999999999998</v>
      </c>
      <c r="X310" s="17"/>
    </row>
    <row r="311" spans="2:24" x14ac:dyDescent="0.35">
      <c r="B311">
        <v>1151713.3359999999</v>
      </c>
      <c r="D311">
        <v>270.93403600000073</v>
      </c>
      <c r="G311">
        <v>270.22103600000071</v>
      </c>
      <c r="J311">
        <v>267.74660610000075</v>
      </c>
      <c r="K311">
        <v>2.4744298999999614</v>
      </c>
      <c r="M311">
        <f t="shared" si="53"/>
        <v>0</v>
      </c>
      <c r="N311" s="18">
        <f t="shared" si="54"/>
        <v>1151713.3</v>
      </c>
      <c r="O311" s="17"/>
      <c r="P311" s="17">
        <f t="shared" si="55"/>
        <v>270.93400000000003</v>
      </c>
      <c r="Q311" s="17"/>
      <c r="R311" s="17"/>
      <c r="S311" s="17">
        <f t="shared" si="56"/>
        <v>270.221</v>
      </c>
      <c r="T311" s="17"/>
      <c r="U311" s="17"/>
      <c r="V311" s="17">
        <f t="shared" si="57"/>
        <v>267.74700000000001</v>
      </c>
      <c r="W311" s="17">
        <f t="shared" si="58"/>
        <v>2.4740000000000002</v>
      </c>
      <c r="X311" s="17"/>
    </row>
    <row r="312" spans="2:24" x14ac:dyDescent="0.35">
      <c r="B312">
        <v>1151733.3359999999</v>
      </c>
      <c r="D312">
        <v>270.85403600000075</v>
      </c>
      <c r="G312">
        <v>270.14103600000072</v>
      </c>
      <c r="J312">
        <v>267.72487980000074</v>
      </c>
      <c r="K312">
        <v>2.416156199999989</v>
      </c>
      <c r="M312">
        <f t="shared" si="53"/>
        <v>0</v>
      </c>
      <c r="N312" s="18">
        <f t="shared" si="54"/>
        <v>1151733.3</v>
      </c>
      <c r="O312" s="17"/>
      <c r="P312" s="17">
        <f t="shared" si="55"/>
        <v>270.85399999999998</v>
      </c>
      <c r="Q312" s="17"/>
      <c r="R312" s="17"/>
      <c r="S312" s="17">
        <f t="shared" si="56"/>
        <v>270.14100000000002</v>
      </c>
      <c r="T312" s="17"/>
      <c r="U312" s="17"/>
      <c r="V312" s="17">
        <f t="shared" si="57"/>
        <v>267.72500000000002</v>
      </c>
      <c r="W312" s="17">
        <f t="shared" si="58"/>
        <v>2.4159999999999999</v>
      </c>
      <c r="X312" s="17"/>
    </row>
    <row r="313" spans="2:24" x14ac:dyDescent="0.35">
      <c r="B313">
        <v>1151753.3359999999</v>
      </c>
      <c r="D313">
        <v>270.77403600000076</v>
      </c>
      <c r="G313">
        <v>270.06103600000074</v>
      </c>
      <c r="J313">
        <v>267.46499740000075</v>
      </c>
      <c r="K313">
        <v>2.5960385999999858</v>
      </c>
      <c r="M313">
        <f t="shared" si="53"/>
        <v>0</v>
      </c>
      <c r="N313" s="18">
        <f t="shared" si="54"/>
        <v>1151753.3</v>
      </c>
      <c r="O313" s="17"/>
      <c r="P313" s="17">
        <f t="shared" si="55"/>
        <v>270.774</v>
      </c>
      <c r="Q313" s="17"/>
      <c r="R313" s="17"/>
      <c r="S313" s="17">
        <f t="shared" si="56"/>
        <v>270.06099999999998</v>
      </c>
      <c r="T313" s="17"/>
      <c r="U313" s="17"/>
      <c r="V313" s="17">
        <f t="shared" si="57"/>
        <v>267.46499999999997</v>
      </c>
      <c r="W313" s="17">
        <f t="shared" si="58"/>
        <v>2.5960000000000001</v>
      </c>
      <c r="X313" s="17"/>
    </row>
    <row r="314" spans="2:24" x14ac:dyDescent="0.35">
      <c r="B314">
        <v>1151773.3359999999</v>
      </c>
      <c r="D314">
        <v>270.69403600000078</v>
      </c>
      <c r="G314">
        <v>269.98103600000076</v>
      </c>
      <c r="J314">
        <v>268.46435570000079</v>
      </c>
      <c r="K314">
        <v>1.5166802999999618</v>
      </c>
      <c r="M314">
        <f t="shared" si="53"/>
        <v>0</v>
      </c>
      <c r="N314" s="18">
        <f t="shared" si="54"/>
        <v>1151773.3</v>
      </c>
      <c r="O314" s="17"/>
      <c r="P314" s="17">
        <f t="shared" si="55"/>
        <v>270.69400000000002</v>
      </c>
      <c r="Q314" s="17"/>
      <c r="R314" s="17"/>
      <c r="S314" s="17">
        <f t="shared" si="56"/>
        <v>269.98099999999999</v>
      </c>
      <c r="T314" s="17"/>
      <c r="U314" s="17"/>
      <c r="V314" s="17">
        <f t="shared" si="57"/>
        <v>268.464</v>
      </c>
      <c r="W314" s="17">
        <f t="shared" si="58"/>
        <v>1.5169999999999999</v>
      </c>
      <c r="X314" s="17"/>
    </row>
    <row r="315" spans="2:24" x14ac:dyDescent="0.35">
      <c r="B315">
        <v>1151793.3359999999</v>
      </c>
      <c r="D315">
        <v>270.61403600000079</v>
      </c>
      <c r="G315">
        <v>269.90103600000077</v>
      </c>
      <c r="J315">
        <v>268.34766720000079</v>
      </c>
      <c r="K315">
        <v>1.553368799999987</v>
      </c>
      <c r="M315">
        <f t="shared" si="53"/>
        <v>0</v>
      </c>
      <c r="N315" s="18">
        <f t="shared" si="54"/>
        <v>1151793.3</v>
      </c>
      <c r="O315" s="17"/>
      <c r="P315" s="17">
        <f t="shared" si="55"/>
        <v>270.61399999999998</v>
      </c>
      <c r="Q315" s="17"/>
      <c r="R315" s="17"/>
      <c r="S315" s="17">
        <f t="shared" si="56"/>
        <v>269.90100000000001</v>
      </c>
      <c r="T315" s="17"/>
      <c r="U315" s="17"/>
      <c r="V315" s="17">
        <f t="shared" si="57"/>
        <v>268.34800000000001</v>
      </c>
      <c r="W315" s="17">
        <f t="shared" si="58"/>
        <v>1.5529999999999999</v>
      </c>
      <c r="X315" s="17"/>
    </row>
    <row r="316" spans="2:24" x14ac:dyDescent="0.35">
      <c r="B316">
        <v>1151813.3359999999</v>
      </c>
      <c r="D316">
        <v>270.53403600000081</v>
      </c>
      <c r="G316">
        <v>269.82103600000079</v>
      </c>
      <c r="J316">
        <v>268.34120650000079</v>
      </c>
      <c r="K316">
        <v>1.4798294999999939</v>
      </c>
      <c r="M316">
        <f t="shared" si="53"/>
        <v>0</v>
      </c>
      <c r="N316" s="18">
        <f t="shared" si="54"/>
        <v>1151813.3</v>
      </c>
      <c r="O316" s="17"/>
      <c r="P316" s="17">
        <f t="shared" si="55"/>
        <v>270.53399999999999</v>
      </c>
      <c r="Q316" s="17"/>
      <c r="R316" s="17"/>
      <c r="S316" s="17">
        <f t="shared" si="56"/>
        <v>269.82100000000003</v>
      </c>
      <c r="T316" s="17"/>
      <c r="U316" s="17"/>
      <c r="V316" s="17">
        <f t="shared" si="57"/>
        <v>268.34100000000001</v>
      </c>
      <c r="W316" s="17">
        <f t="shared" si="58"/>
        <v>1.48</v>
      </c>
      <c r="X316" s="17"/>
    </row>
    <row r="317" spans="2:24" x14ac:dyDescent="0.35">
      <c r="B317">
        <v>1151833.3359999999</v>
      </c>
      <c r="D317">
        <v>270.45403600000083</v>
      </c>
      <c r="G317">
        <v>269.7410360000008</v>
      </c>
      <c r="J317">
        <v>268.47354370000079</v>
      </c>
      <c r="K317">
        <v>1.2674923000000149</v>
      </c>
      <c r="M317">
        <f t="shared" si="53"/>
        <v>0</v>
      </c>
      <c r="N317" s="18">
        <f t="shared" si="54"/>
        <v>1151833.3</v>
      </c>
      <c r="O317" s="17"/>
      <c r="P317" s="17">
        <f t="shared" si="55"/>
        <v>270.45400000000001</v>
      </c>
      <c r="Q317" s="17"/>
      <c r="R317" s="17"/>
      <c r="S317" s="17">
        <f t="shared" si="56"/>
        <v>269.74099999999999</v>
      </c>
      <c r="T317" s="17"/>
      <c r="U317" s="17"/>
      <c r="V317" s="17">
        <f t="shared" si="57"/>
        <v>268.47399999999999</v>
      </c>
      <c r="W317" s="17">
        <f t="shared" si="58"/>
        <v>1.2669999999999999</v>
      </c>
      <c r="X317" s="17"/>
    </row>
    <row r="318" spans="2:24" x14ac:dyDescent="0.35">
      <c r="B318">
        <v>1151853.3359999999</v>
      </c>
      <c r="D318">
        <v>270.37403600000084</v>
      </c>
      <c r="G318">
        <v>269.66103600000082</v>
      </c>
      <c r="J318">
        <v>268.54890570000083</v>
      </c>
      <c r="K318">
        <v>1.1121302999999898</v>
      </c>
      <c r="M318">
        <f t="shared" si="53"/>
        <v>0</v>
      </c>
      <c r="N318" s="18">
        <f t="shared" si="54"/>
        <v>1151853.3</v>
      </c>
      <c r="O318" s="17"/>
      <c r="P318" s="17">
        <f t="shared" si="55"/>
        <v>270.37400000000002</v>
      </c>
      <c r="Q318" s="17"/>
      <c r="R318" s="17"/>
      <c r="S318" s="17">
        <f t="shared" si="56"/>
        <v>269.661</v>
      </c>
      <c r="T318" s="17"/>
      <c r="U318" s="17"/>
      <c r="V318" s="17">
        <f t="shared" si="57"/>
        <v>268.54899999999998</v>
      </c>
      <c r="W318" s="17">
        <f t="shared" si="58"/>
        <v>1.1120000000000001</v>
      </c>
      <c r="X318" s="17"/>
    </row>
    <row r="319" spans="2:24" x14ac:dyDescent="0.35">
      <c r="B319">
        <v>1151873.3359999999</v>
      </c>
      <c r="D319">
        <v>270.29403600000086</v>
      </c>
      <c r="G319">
        <v>269.58103600000084</v>
      </c>
      <c r="J319">
        <v>268.61216450000086</v>
      </c>
      <c r="K319">
        <v>0.96887149999997746</v>
      </c>
      <c r="M319">
        <f t="shared" si="53"/>
        <v>0</v>
      </c>
      <c r="N319" s="18">
        <f t="shared" si="54"/>
        <v>1151873.3</v>
      </c>
      <c r="O319" s="17"/>
      <c r="P319" s="17">
        <f t="shared" si="55"/>
        <v>270.29399999999998</v>
      </c>
      <c r="Q319" s="17"/>
      <c r="R319" s="17"/>
      <c r="S319" s="17">
        <f t="shared" si="56"/>
        <v>269.58100000000002</v>
      </c>
      <c r="T319" s="17"/>
      <c r="U319" s="17"/>
      <c r="V319" s="17">
        <f t="shared" si="57"/>
        <v>268.61200000000002</v>
      </c>
      <c r="W319" s="17">
        <f t="shared" si="58"/>
        <v>0.96899999999999997</v>
      </c>
      <c r="X319" s="17"/>
    </row>
    <row r="320" spans="2:24" x14ac:dyDescent="0.35">
      <c r="B320">
        <v>1151893.3359999999</v>
      </c>
      <c r="D320">
        <v>270.21403600000087</v>
      </c>
      <c r="G320">
        <v>269.50103600000085</v>
      </c>
      <c r="J320">
        <v>268.54843580000085</v>
      </c>
      <c r="K320">
        <v>0.95260020000000623</v>
      </c>
      <c r="M320">
        <f t="shared" si="53"/>
        <v>0</v>
      </c>
      <c r="N320" s="18">
        <f t="shared" si="54"/>
        <v>1151893.3</v>
      </c>
      <c r="O320" s="17"/>
      <c r="P320" s="17">
        <f t="shared" si="55"/>
        <v>270.214</v>
      </c>
      <c r="Q320" s="17"/>
      <c r="R320" s="17"/>
      <c r="S320" s="17">
        <f t="shared" si="56"/>
        <v>269.50099999999998</v>
      </c>
      <c r="T320" s="17"/>
      <c r="U320" s="17"/>
      <c r="V320" s="17">
        <f t="shared" si="57"/>
        <v>268.548</v>
      </c>
      <c r="W320" s="17">
        <f t="shared" si="58"/>
        <v>0.95299999999999996</v>
      </c>
      <c r="X320" s="17"/>
    </row>
    <row r="321" spans="1:24" x14ac:dyDescent="0.35">
      <c r="A321">
        <v>262502.694655</v>
      </c>
      <c r="B321">
        <v>1151913.0190000001</v>
      </c>
      <c r="C321">
        <v>268.67457000000002</v>
      </c>
      <c r="D321">
        <v>270.13530400000008</v>
      </c>
      <c r="E321">
        <v>1.460734000000059</v>
      </c>
      <c r="F321">
        <v>268.00256999999999</v>
      </c>
      <c r="G321">
        <v>269.42230400000005</v>
      </c>
      <c r="H321">
        <v>1.4197340000000622</v>
      </c>
      <c r="I321">
        <v>268.68558430000002</v>
      </c>
      <c r="J321">
        <v>268.72501060000002</v>
      </c>
      <c r="K321">
        <v>0.69729340000003504</v>
      </c>
      <c r="L321">
        <v>39.674088300000001</v>
      </c>
      <c r="M321">
        <f t="shared" si="53"/>
        <v>262502.694655</v>
      </c>
      <c r="N321" s="18">
        <f t="shared" si="54"/>
        <v>1151913</v>
      </c>
      <c r="O321" s="17">
        <f t="shared" ref="O321" si="59">ROUND(C321,3)</f>
        <v>268.67500000000001</v>
      </c>
      <c r="P321" s="17">
        <f t="shared" si="55"/>
        <v>270.13499999999999</v>
      </c>
      <c r="Q321" s="17">
        <f t="shared" ref="Q321" si="60">ROUND(E321,3)</f>
        <v>1.4610000000000001</v>
      </c>
      <c r="R321" s="17">
        <f t="shared" ref="R321" si="61">ROUND(F321,3)</f>
        <v>268.00299999999999</v>
      </c>
      <c r="S321" s="17">
        <f t="shared" si="56"/>
        <v>269.42200000000003</v>
      </c>
      <c r="T321" s="17">
        <f t="shared" ref="T321" si="62">ROUND(H321,3)</f>
        <v>1.42</v>
      </c>
      <c r="U321" s="17">
        <f t="shared" ref="U321" si="63">ROUND(I321,3)</f>
        <v>268.68599999999998</v>
      </c>
      <c r="V321" s="17">
        <f t="shared" si="57"/>
        <v>268.72500000000002</v>
      </c>
      <c r="W321" s="17">
        <f t="shared" si="58"/>
        <v>0.69699999999999995</v>
      </c>
      <c r="X321" s="17">
        <f t="shared" ref="X321" si="64">ROUND(L321,3)</f>
        <v>39.673999999999999</v>
      </c>
    </row>
    <row r="322" spans="1:24" x14ac:dyDescent="0.35">
      <c r="A322">
        <v>262502.694655</v>
      </c>
      <c r="B322">
        <v>1151913.0190000001</v>
      </c>
      <c r="C322">
        <v>268.67457000000002</v>
      </c>
      <c r="D322">
        <v>270.13530400000008</v>
      </c>
      <c r="E322">
        <v>1.460734000000059</v>
      </c>
      <c r="F322">
        <v>268.00256999999999</v>
      </c>
      <c r="G322">
        <v>269.42230400000005</v>
      </c>
      <c r="H322">
        <v>1.4197340000000622</v>
      </c>
      <c r="I322">
        <v>268.68558430000002</v>
      </c>
      <c r="J322">
        <v>268.72501060000002</v>
      </c>
      <c r="K322">
        <v>0.69729340000003504</v>
      </c>
      <c r="L322">
        <v>39.674088300000001</v>
      </c>
      <c r="M322">
        <f t="shared" ref="M322:M347" si="65">A322</f>
        <v>262502.694655</v>
      </c>
      <c r="N322" s="18">
        <f t="shared" ref="N322:N347" si="66">ROUND(B322,1)</f>
        <v>1151913</v>
      </c>
      <c r="O322" s="17">
        <f t="shared" ref="O322:O347" si="67">ROUND(C322,3)</f>
        <v>268.67500000000001</v>
      </c>
      <c r="P322" s="17">
        <f t="shared" ref="P322:P347" si="68">ROUND(D322,3)</f>
        <v>270.13499999999999</v>
      </c>
      <c r="Q322" s="17">
        <f t="shared" ref="Q322:Q347" si="69">ROUND(E322,3)</f>
        <v>1.4610000000000001</v>
      </c>
      <c r="R322" s="17">
        <f t="shared" ref="R322:R347" si="70">ROUND(F322,3)</f>
        <v>268.00299999999999</v>
      </c>
      <c r="S322" s="17">
        <f t="shared" ref="S322:S347" si="71">ROUND(G322,3)</f>
        <v>269.42200000000003</v>
      </c>
      <c r="T322" s="17">
        <f t="shared" ref="T322:T347" si="72">ROUND(H322,3)</f>
        <v>1.42</v>
      </c>
      <c r="U322" s="17">
        <f t="shared" ref="U322:U347" si="73">ROUND(I322,3)</f>
        <v>268.68599999999998</v>
      </c>
      <c r="V322" s="17">
        <f t="shared" ref="V322:V347" si="74">ROUND(J322,3)</f>
        <v>268.72500000000002</v>
      </c>
      <c r="W322" s="17">
        <f t="shared" ref="W322:W347" si="75">ROUND(K322,3)</f>
        <v>0.69699999999999995</v>
      </c>
      <c r="X322" s="17">
        <f t="shared" ref="X322:X347" si="76">ROUND(L322,3)</f>
        <v>39.673999999999999</v>
      </c>
    </row>
    <row r="323" spans="1:24" x14ac:dyDescent="0.35">
      <c r="A323">
        <v>262520</v>
      </c>
      <c r="B323">
        <v>1151933.0190000001</v>
      </c>
      <c r="C323">
        <v>268.67301340000006</v>
      </c>
      <c r="D323">
        <v>270.05530400000009</v>
      </c>
      <c r="E323">
        <v>1.382290600000033</v>
      </c>
      <c r="F323">
        <v>268.00101340000003</v>
      </c>
      <c r="G323">
        <v>269.34230400000007</v>
      </c>
      <c r="H323">
        <v>1.3412906000000362</v>
      </c>
      <c r="I323">
        <v>268.29624340000004</v>
      </c>
      <c r="J323">
        <v>268.32993360000006</v>
      </c>
      <c r="K323">
        <v>1.0123704000000089</v>
      </c>
      <c r="L323">
        <v>36.130349299999999</v>
      </c>
      <c r="M323">
        <f t="shared" si="65"/>
        <v>262520</v>
      </c>
      <c r="N323" s="18">
        <f t="shared" si="66"/>
        <v>1151933</v>
      </c>
      <c r="O323" s="17">
        <f t="shared" si="67"/>
        <v>268.673</v>
      </c>
      <c r="P323" s="17">
        <f t="shared" si="68"/>
        <v>270.05500000000001</v>
      </c>
      <c r="Q323" s="17">
        <f t="shared" si="69"/>
        <v>1.3819999999999999</v>
      </c>
      <c r="R323" s="17">
        <f t="shared" si="70"/>
        <v>268.00099999999998</v>
      </c>
      <c r="S323" s="17">
        <f t="shared" si="71"/>
        <v>269.34199999999998</v>
      </c>
      <c r="T323" s="17">
        <f t="shared" si="72"/>
        <v>1.341</v>
      </c>
      <c r="U323" s="17">
        <f t="shared" si="73"/>
        <v>268.29599999999999</v>
      </c>
      <c r="V323" s="17">
        <f t="shared" si="74"/>
        <v>268.33</v>
      </c>
      <c r="W323" s="17">
        <f t="shared" si="75"/>
        <v>1.012</v>
      </c>
      <c r="X323" s="17">
        <f t="shared" si="76"/>
        <v>36.130000000000003</v>
      </c>
    </row>
    <row r="324" spans="1:24" x14ac:dyDescent="0.35">
      <c r="A324">
        <v>262540</v>
      </c>
      <c r="B324">
        <v>1151953.0190000001</v>
      </c>
      <c r="C324">
        <v>268.65879480000007</v>
      </c>
      <c r="D324">
        <v>269.97530400000011</v>
      </c>
      <c r="E324">
        <v>1.3165092000000413</v>
      </c>
      <c r="F324">
        <v>267.98679480000004</v>
      </c>
      <c r="G324">
        <v>269.26230400000009</v>
      </c>
      <c r="H324">
        <v>1.2755092000000445</v>
      </c>
      <c r="I324">
        <v>267.3440940000001</v>
      </c>
      <c r="J324">
        <v>267.37815390000009</v>
      </c>
      <c r="K324">
        <v>1.8841500999999994</v>
      </c>
      <c r="L324">
        <v>32.419416499999997</v>
      </c>
      <c r="M324">
        <f t="shared" si="65"/>
        <v>262540</v>
      </c>
      <c r="N324" s="18">
        <f t="shared" si="66"/>
        <v>1151953</v>
      </c>
      <c r="O324" s="17">
        <f t="shared" si="67"/>
        <v>268.65899999999999</v>
      </c>
      <c r="P324" s="17">
        <f t="shared" si="68"/>
        <v>269.97500000000002</v>
      </c>
      <c r="Q324" s="17">
        <f t="shared" si="69"/>
        <v>1.3169999999999999</v>
      </c>
      <c r="R324" s="17">
        <f t="shared" si="70"/>
        <v>267.98700000000002</v>
      </c>
      <c r="S324" s="17">
        <f t="shared" si="71"/>
        <v>269.262</v>
      </c>
      <c r="T324" s="17">
        <f t="shared" si="72"/>
        <v>1.276</v>
      </c>
      <c r="U324" s="17">
        <f t="shared" si="73"/>
        <v>267.34399999999999</v>
      </c>
      <c r="V324" s="17">
        <f t="shared" si="74"/>
        <v>267.37799999999999</v>
      </c>
      <c r="W324" s="17">
        <f t="shared" si="75"/>
        <v>1.8839999999999999</v>
      </c>
      <c r="X324" s="17">
        <f t="shared" si="76"/>
        <v>32.418999999999997</v>
      </c>
    </row>
    <row r="325" spans="1:24" x14ac:dyDescent="0.35">
      <c r="A325">
        <v>262560</v>
      </c>
      <c r="B325">
        <v>1151973.0190000001</v>
      </c>
      <c r="C325">
        <v>268.70911860000012</v>
      </c>
      <c r="D325">
        <v>269.89530400000012</v>
      </c>
      <c r="E325">
        <v>1.1861853999999994</v>
      </c>
      <c r="F325">
        <v>268.0371186000001</v>
      </c>
      <c r="G325">
        <v>269.1823040000001</v>
      </c>
      <c r="H325">
        <v>1.1451854000000026</v>
      </c>
      <c r="I325">
        <v>267.06481760000014</v>
      </c>
      <c r="J325">
        <v>267.00001960000014</v>
      </c>
      <c r="K325">
        <v>2.1822843999999577</v>
      </c>
      <c r="L325">
        <v>29.293168999999999</v>
      </c>
      <c r="M325">
        <f t="shared" si="65"/>
        <v>262560</v>
      </c>
      <c r="N325" s="18">
        <f t="shared" si="66"/>
        <v>1151973</v>
      </c>
      <c r="O325" s="17">
        <f t="shared" si="67"/>
        <v>268.709</v>
      </c>
      <c r="P325" s="17">
        <f t="shared" si="68"/>
        <v>269.89499999999998</v>
      </c>
      <c r="Q325" s="17">
        <f t="shared" si="69"/>
        <v>1.1859999999999999</v>
      </c>
      <c r="R325" s="17">
        <f t="shared" si="70"/>
        <v>268.03699999999998</v>
      </c>
      <c r="S325" s="17">
        <f t="shared" si="71"/>
        <v>269.18200000000002</v>
      </c>
      <c r="T325" s="17">
        <f t="shared" si="72"/>
        <v>1.145</v>
      </c>
      <c r="U325" s="17">
        <f t="shared" si="73"/>
        <v>267.065</v>
      </c>
      <c r="V325" s="17">
        <f t="shared" si="74"/>
        <v>267</v>
      </c>
      <c r="W325" s="17">
        <f t="shared" si="75"/>
        <v>2.1819999999999999</v>
      </c>
      <c r="X325" s="17">
        <f t="shared" si="76"/>
        <v>29.292999999999999</v>
      </c>
    </row>
    <row r="326" spans="1:24" x14ac:dyDescent="0.35">
      <c r="A326">
        <v>262580</v>
      </c>
      <c r="B326">
        <v>1151993.0190000001</v>
      </c>
      <c r="C326">
        <v>268.67537170000008</v>
      </c>
      <c r="D326">
        <v>269.81530400000014</v>
      </c>
      <c r="E326">
        <v>1.139932300000055</v>
      </c>
      <c r="F326">
        <v>268.00337170000006</v>
      </c>
      <c r="G326">
        <v>269.10230400000012</v>
      </c>
      <c r="H326">
        <v>1.0989323000000581</v>
      </c>
      <c r="I326">
        <v>268.4224104000001</v>
      </c>
      <c r="J326">
        <v>268.61243960000013</v>
      </c>
      <c r="K326">
        <v>0.48986439999998765</v>
      </c>
      <c r="L326">
        <v>26.759032900000001</v>
      </c>
      <c r="M326">
        <f t="shared" si="65"/>
        <v>262580</v>
      </c>
      <c r="N326" s="18">
        <f t="shared" si="66"/>
        <v>1151993</v>
      </c>
      <c r="O326" s="17">
        <f t="shared" si="67"/>
        <v>268.67500000000001</v>
      </c>
      <c r="P326" s="17">
        <f t="shared" si="68"/>
        <v>269.815</v>
      </c>
      <c r="Q326" s="17">
        <f t="shared" si="69"/>
        <v>1.1399999999999999</v>
      </c>
      <c r="R326" s="17">
        <f t="shared" si="70"/>
        <v>268.00299999999999</v>
      </c>
      <c r="S326" s="17">
        <f t="shared" si="71"/>
        <v>269.10199999999998</v>
      </c>
      <c r="T326" s="17">
        <f t="shared" si="72"/>
        <v>1.099</v>
      </c>
      <c r="U326" s="17">
        <f t="shared" si="73"/>
        <v>268.42200000000003</v>
      </c>
      <c r="V326" s="17">
        <f t="shared" si="74"/>
        <v>268.61200000000002</v>
      </c>
      <c r="W326" s="17">
        <f t="shared" si="75"/>
        <v>0.49</v>
      </c>
      <c r="X326" s="17">
        <f t="shared" si="76"/>
        <v>26.759</v>
      </c>
    </row>
    <row r="327" spans="1:24" x14ac:dyDescent="0.35">
      <c r="A327">
        <v>262600</v>
      </c>
      <c r="B327">
        <v>1152013.0190000001</v>
      </c>
      <c r="C327">
        <v>268.63498010000018</v>
      </c>
      <c r="D327">
        <v>269.73530400000016</v>
      </c>
      <c r="E327">
        <v>1.100323899999978</v>
      </c>
      <c r="F327">
        <v>267.96298010000015</v>
      </c>
      <c r="G327">
        <v>269.02230400000013</v>
      </c>
      <c r="H327">
        <v>1.0593238999999812</v>
      </c>
      <c r="I327">
        <v>268.90883210000015</v>
      </c>
      <c r="J327">
        <v>268.91913000000017</v>
      </c>
      <c r="K327">
        <v>0.10317399999996724</v>
      </c>
      <c r="L327">
        <v>24.770566299999999</v>
      </c>
      <c r="M327">
        <f t="shared" si="65"/>
        <v>262600</v>
      </c>
      <c r="N327" s="18">
        <f t="shared" si="66"/>
        <v>1152013</v>
      </c>
      <c r="O327" s="17">
        <f t="shared" si="67"/>
        <v>268.63499999999999</v>
      </c>
      <c r="P327" s="17">
        <f t="shared" si="68"/>
        <v>269.73500000000001</v>
      </c>
      <c r="Q327" s="17">
        <f t="shared" si="69"/>
        <v>1.1000000000000001</v>
      </c>
      <c r="R327" s="17">
        <f t="shared" si="70"/>
        <v>267.96300000000002</v>
      </c>
      <c r="S327" s="17">
        <f t="shared" si="71"/>
        <v>269.02199999999999</v>
      </c>
      <c r="T327" s="17">
        <f t="shared" si="72"/>
        <v>1.0589999999999999</v>
      </c>
      <c r="U327" s="17">
        <f t="shared" si="73"/>
        <v>268.90899999999999</v>
      </c>
      <c r="V327" s="17">
        <f t="shared" si="74"/>
        <v>268.91899999999998</v>
      </c>
      <c r="W327" s="17">
        <f t="shared" si="75"/>
        <v>0.10299999999999999</v>
      </c>
      <c r="X327" s="17">
        <f t="shared" si="76"/>
        <v>24.771000000000001</v>
      </c>
    </row>
    <row r="328" spans="1:24" x14ac:dyDescent="0.35">
      <c r="A328">
        <v>262620</v>
      </c>
      <c r="B328">
        <v>1152033.0190000001</v>
      </c>
      <c r="C328">
        <v>268.58581130000016</v>
      </c>
      <c r="D328">
        <v>269.65530400000017</v>
      </c>
      <c r="E328">
        <v>1.0694927000000121</v>
      </c>
      <c r="F328">
        <v>267.91381130000013</v>
      </c>
      <c r="G328">
        <v>268.94230400000015</v>
      </c>
      <c r="H328">
        <v>1.0284927000000152</v>
      </c>
      <c r="I328">
        <v>269.06564670000017</v>
      </c>
      <c r="J328">
        <v>269.07729450000016</v>
      </c>
      <c r="K328">
        <v>-0.13499050000001489</v>
      </c>
      <c r="L328">
        <v>23.284289900000001</v>
      </c>
      <c r="M328">
        <f t="shared" si="65"/>
        <v>262620</v>
      </c>
      <c r="N328" s="18">
        <f t="shared" si="66"/>
        <v>1152033</v>
      </c>
      <c r="O328" s="17">
        <f t="shared" si="67"/>
        <v>268.58600000000001</v>
      </c>
      <c r="P328" s="17">
        <f t="shared" si="68"/>
        <v>269.65499999999997</v>
      </c>
      <c r="Q328" s="17">
        <f t="shared" si="69"/>
        <v>1.069</v>
      </c>
      <c r="R328" s="17">
        <f t="shared" si="70"/>
        <v>267.91399999999999</v>
      </c>
      <c r="S328" s="17">
        <f t="shared" si="71"/>
        <v>268.94200000000001</v>
      </c>
      <c r="T328" s="17">
        <f t="shared" si="72"/>
        <v>1.028</v>
      </c>
      <c r="U328" s="17">
        <f t="shared" si="73"/>
        <v>269.06599999999997</v>
      </c>
      <c r="V328" s="17">
        <f t="shared" si="74"/>
        <v>269.077</v>
      </c>
      <c r="W328" s="17">
        <f t="shared" si="75"/>
        <v>-0.13500000000000001</v>
      </c>
      <c r="X328" s="17">
        <f t="shared" si="76"/>
        <v>23.283999999999999</v>
      </c>
    </row>
    <row r="329" spans="1:24" x14ac:dyDescent="0.35">
      <c r="A329">
        <v>262640</v>
      </c>
      <c r="B329">
        <v>1152053.0190000001</v>
      </c>
      <c r="C329">
        <v>268.59984890000021</v>
      </c>
      <c r="D329">
        <v>269.57530400000019</v>
      </c>
      <c r="E329">
        <v>0.97545509999997648</v>
      </c>
      <c r="F329">
        <v>267.92784890000019</v>
      </c>
      <c r="G329">
        <v>268.86230400000017</v>
      </c>
      <c r="H329">
        <v>0.93445509999997967</v>
      </c>
      <c r="I329">
        <v>269.09554510000021</v>
      </c>
      <c r="J329">
        <v>269.22029690000022</v>
      </c>
      <c r="K329">
        <v>-0.35799290000005612</v>
      </c>
      <c r="L329">
        <v>22.2634227</v>
      </c>
      <c r="M329">
        <f t="shared" si="65"/>
        <v>262640</v>
      </c>
      <c r="N329" s="18">
        <f t="shared" si="66"/>
        <v>1152053</v>
      </c>
      <c r="O329" s="17">
        <f t="shared" si="67"/>
        <v>268.60000000000002</v>
      </c>
      <c r="P329" s="17">
        <f t="shared" si="68"/>
        <v>269.57499999999999</v>
      </c>
      <c r="Q329" s="17">
        <f t="shared" si="69"/>
        <v>0.97499999999999998</v>
      </c>
      <c r="R329" s="17">
        <f t="shared" si="70"/>
        <v>267.928</v>
      </c>
      <c r="S329" s="17">
        <f t="shared" si="71"/>
        <v>268.86200000000002</v>
      </c>
      <c r="T329" s="17">
        <f t="shared" si="72"/>
        <v>0.93400000000000005</v>
      </c>
      <c r="U329" s="17">
        <f t="shared" si="73"/>
        <v>269.096</v>
      </c>
      <c r="V329" s="17">
        <f t="shared" si="74"/>
        <v>269.22000000000003</v>
      </c>
      <c r="W329" s="17">
        <f t="shared" si="75"/>
        <v>-0.35799999999999998</v>
      </c>
      <c r="X329" s="17">
        <f t="shared" si="76"/>
        <v>22.263000000000002</v>
      </c>
    </row>
    <row r="330" spans="1:24" x14ac:dyDescent="0.35">
      <c r="A330">
        <v>262660</v>
      </c>
      <c r="B330">
        <v>1152073.0190000001</v>
      </c>
      <c r="C330">
        <v>268.61005360000019</v>
      </c>
      <c r="D330">
        <v>269.4953040000002</v>
      </c>
      <c r="E330">
        <v>0.88525040000001809</v>
      </c>
      <c r="F330">
        <v>267.93805360000016</v>
      </c>
      <c r="G330">
        <v>268.78230400000018</v>
      </c>
      <c r="H330">
        <v>0.84425040000002127</v>
      </c>
      <c r="I330">
        <v>268.72026840000018</v>
      </c>
      <c r="J330">
        <v>268.8805715000002</v>
      </c>
      <c r="K330">
        <v>-9.8267500000019936E-2</v>
      </c>
      <c r="L330">
        <v>21.6282651</v>
      </c>
      <c r="M330">
        <f t="shared" si="65"/>
        <v>262660</v>
      </c>
      <c r="N330" s="18">
        <f t="shared" si="66"/>
        <v>1152073</v>
      </c>
      <c r="O330" s="17">
        <f t="shared" si="67"/>
        <v>268.61</v>
      </c>
      <c r="P330" s="17">
        <f t="shared" si="68"/>
        <v>269.495</v>
      </c>
      <c r="Q330" s="17">
        <f t="shared" si="69"/>
        <v>0.88500000000000001</v>
      </c>
      <c r="R330" s="17">
        <f t="shared" si="70"/>
        <v>267.93799999999999</v>
      </c>
      <c r="S330" s="17">
        <f t="shared" si="71"/>
        <v>268.78199999999998</v>
      </c>
      <c r="T330" s="17">
        <f t="shared" si="72"/>
        <v>0.84399999999999997</v>
      </c>
      <c r="U330" s="17">
        <f t="shared" si="73"/>
        <v>268.72000000000003</v>
      </c>
      <c r="V330" s="17">
        <f t="shared" si="74"/>
        <v>268.88099999999997</v>
      </c>
      <c r="W330" s="17">
        <f t="shared" si="75"/>
        <v>-9.8000000000000004E-2</v>
      </c>
      <c r="X330" s="17">
        <f t="shared" si="76"/>
        <v>21.628</v>
      </c>
    </row>
    <row r="331" spans="1:24" x14ac:dyDescent="0.35">
      <c r="A331">
        <v>262680</v>
      </c>
      <c r="B331">
        <v>1152093.0190000001</v>
      </c>
      <c r="C331">
        <v>268.61537660000022</v>
      </c>
      <c r="D331">
        <v>269.41530400000022</v>
      </c>
      <c r="E331">
        <v>0.7999274000000014</v>
      </c>
      <c r="F331">
        <v>267.94337660000019</v>
      </c>
      <c r="G331">
        <v>268.7023040000002</v>
      </c>
      <c r="H331">
        <v>0.75892740000000458</v>
      </c>
      <c r="I331">
        <v>268.30160020000017</v>
      </c>
      <c r="J331">
        <v>268.47819950000019</v>
      </c>
      <c r="K331">
        <v>0.22410450000000992</v>
      </c>
      <c r="L331">
        <v>21.312364200000001</v>
      </c>
      <c r="M331">
        <f t="shared" si="65"/>
        <v>262680</v>
      </c>
      <c r="N331" s="18">
        <f t="shared" si="66"/>
        <v>1152093</v>
      </c>
      <c r="O331" s="17">
        <f t="shared" si="67"/>
        <v>268.61500000000001</v>
      </c>
      <c r="P331" s="17">
        <f t="shared" si="68"/>
        <v>269.41500000000002</v>
      </c>
      <c r="Q331" s="17">
        <f t="shared" si="69"/>
        <v>0.8</v>
      </c>
      <c r="R331" s="17">
        <f t="shared" si="70"/>
        <v>267.94299999999998</v>
      </c>
      <c r="S331" s="17">
        <f t="shared" si="71"/>
        <v>268.702</v>
      </c>
      <c r="T331" s="17">
        <f t="shared" si="72"/>
        <v>0.75900000000000001</v>
      </c>
      <c r="U331" s="17">
        <f t="shared" si="73"/>
        <v>268.30200000000002</v>
      </c>
      <c r="V331" s="17">
        <f t="shared" si="74"/>
        <v>268.47800000000001</v>
      </c>
      <c r="W331" s="17">
        <f t="shared" si="75"/>
        <v>0.224</v>
      </c>
      <c r="X331" s="17">
        <f t="shared" si="76"/>
        <v>21.312000000000001</v>
      </c>
    </row>
    <row r="332" spans="1:24" x14ac:dyDescent="0.35">
      <c r="A332">
        <v>262700</v>
      </c>
      <c r="B332">
        <v>1152113.0190000001</v>
      </c>
      <c r="C332">
        <v>268.62913070000019</v>
      </c>
      <c r="D332">
        <v>269.33530400000024</v>
      </c>
      <c r="E332">
        <v>0.70617330000004586</v>
      </c>
      <c r="F332">
        <v>267.95713070000016</v>
      </c>
      <c r="G332">
        <v>268.62230400000021</v>
      </c>
      <c r="H332">
        <v>0.66517330000004904</v>
      </c>
      <c r="I332">
        <v>268.09872240000021</v>
      </c>
      <c r="J332">
        <v>268.11024440000023</v>
      </c>
      <c r="K332">
        <v>0.5120595999999864</v>
      </c>
      <c r="L332">
        <v>21.2534542</v>
      </c>
      <c r="M332">
        <f t="shared" si="65"/>
        <v>262700</v>
      </c>
      <c r="N332" s="18">
        <f t="shared" si="66"/>
        <v>1152113</v>
      </c>
      <c r="O332" s="17">
        <f t="shared" si="67"/>
        <v>268.62900000000002</v>
      </c>
      <c r="P332" s="17">
        <f t="shared" si="68"/>
        <v>269.33499999999998</v>
      </c>
      <c r="Q332" s="17">
        <f t="shared" si="69"/>
        <v>0.70599999999999996</v>
      </c>
      <c r="R332" s="17">
        <f t="shared" si="70"/>
        <v>267.95699999999999</v>
      </c>
      <c r="S332" s="17">
        <f t="shared" si="71"/>
        <v>268.62200000000001</v>
      </c>
      <c r="T332" s="17">
        <f t="shared" si="72"/>
        <v>0.66500000000000004</v>
      </c>
      <c r="U332" s="17">
        <f t="shared" si="73"/>
        <v>268.09899999999999</v>
      </c>
      <c r="V332" s="17">
        <f t="shared" si="74"/>
        <v>268.11</v>
      </c>
      <c r="W332" s="17">
        <f t="shared" si="75"/>
        <v>0.51200000000000001</v>
      </c>
      <c r="X332" s="17">
        <f t="shared" si="76"/>
        <v>21.253</v>
      </c>
    </row>
    <row r="333" spans="1:24" x14ac:dyDescent="0.35">
      <c r="A333">
        <v>262720</v>
      </c>
      <c r="B333">
        <v>1152133.0190000001</v>
      </c>
      <c r="C333">
        <v>268.63140030000028</v>
      </c>
      <c r="D333">
        <v>269.25530400000025</v>
      </c>
      <c r="E333">
        <v>0.6239036999999712</v>
      </c>
      <c r="F333">
        <v>267.95940030000025</v>
      </c>
      <c r="G333">
        <v>268.54230400000023</v>
      </c>
      <c r="H333">
        <v>0.58290369999997438</v>
      </c>
      <c r="I333">
        <v>268.18885530000028</v>
      </c>
      <c r="J333">
        <v>268.0946986000003</v>
      </c>
      <c r="K333">
        <v>0.44760539999992943</v>
      </c>
      <c r="L333">
        <v>21.339784600000002</v>
      </c>
      <c r="M333">
        <f t="shared" si="65"/>
        <v>262720</v>
      </c>
      <c r="N333" s="18">
        <f t="shared" si="66"/>
        <v>1152133</v>
      </c>
      <c r="O333" s="17">
        <f t="shared" si="67"/>
        <v>268.63099999999997</v>
      </c>
      <c r="P333" s="17">
        <f t="shared" si="68"/>
        <v>269.255</v>
      </c>
      <c r="Q333" s="17">
        <f t="shared" si="69"/>
        <v>0.624</v>
      </c>
      <c r="R333" s="17">
        <f t="shared" si="70"/>
        <v>267.959</v>
      </c>
      <c r="S333" s="17">
        <f t="shared" si="71"/>
        <v>268.54199999999997</v>
      </c>
      <c r="T333" s="17">
        <f t="shared" si="72"/>
        <v>0.58299999999999996</v>
      </c>
      <c r="U333" s="17">
        <f t="shared" si="73"/>
        <v>268.18900000000002</v>
      </c>
      <c r="V333" s="17">
        <f t="shared" si="74"/>
        <v>268.09500000000003</v>
      </c>
      <c r="W333" s="17">
        <f t="shared" si="75"/>
        <v>0.44800000000000001</v>
      </c>
      <c r="X333" s="17">
        <f t="shared" si="76"/>
        <v>21.34</v>
      </c>
    </row>
    <row r="334" spans="1:24" x14ac:dyDescent="0.35">
      <c r="A334">
        <v>262740</v>
      </c>
      <c r="B334">
        <v>1152153.0190000001</v>
      </c>
      <c r="C334">
        <v>268.61738290000028</v>
      </c>
      <c r="D334">
        <v>269.17530400000027</v>
      </c>
      <c r="E334">
        <v>0.55792109999998729</v>
      </c>
      <c r="F334">
        <v>267.94538290000025</v>
      </c>
      <c r="G334">
        <v>268.46230400000024</v>
      </c>
      <c r="H334">
        <v>0.51692109999999047</v>
      </c>
      <c r="I334">
        <v>268.43520060000026</v>
      </c>
      <c r="J334">
        <v>268.09803220000026</v>
      </c>
      <c r="K334">
        <v>0.36427179999998316</v>
      </c>
      <c r="L334">
        <v>21.413352499999998</v>
      </c>
      <c r="M334">
        <f t="shared" si="65"/>
        <v>262740</v>
      </c>
      <c r="N334" s="18">
        <f t="shared" si="66"/>
        <v>1152153</v>
      </c>
      <c r="O334" s="17">
        <f t="shared" si="67"/>
        <v>268.61700000000002</v>
      </c>
      <c r="P334" s="17">
        <f t="shared" si="68"/>
        <v>269.17500000000001</v>
      </c>
      <c r="Q334" s="17">
        <f t="shared" si="69"/>
        <v>0.55800000000000005</v>
      </c>
      <c r="R334" s="17">
        <f t="shared" si="70"/>
        <v>267.94499999999999</v>
      </c>
      <c r="S334" s="17">
        <f t="shared" si="71"/>
        <v>268.46199999999999</v>
      </c>
      <c r="T334" s="17">
        <f t="shared" si="72"/>
        <v>0.51700000000000002</v>
      </c>
      <c r="U334" s="17">
        <f t="shared" si="73"/>
        <v>268.435</v>
      </c>
      <c r="V334" s="17">
        <f t="shared" si="74"/>
        <v>268.09800000000001</v>
      </c>
      <c r="W334" s="17">
        <f t="shared" si="75"/>
        <v>0.36399999999999999</v>
      </c>
      <c r="X334" s="17">
        <f t="shared" si="76"/>
        <v>21.413</v>
      </c>
    </row>
    <row r="335" spans="1:24" x14ac:dyDescent="0.35">
      <c r="A335">
        <v>262760</v>
      </c>
      <c r="B335">
        <v>1152173.0190000001</v>
      </c>
      <c r="C335">
        <v>268.61657550000024</v>
      </c>
      <c r="D335">
        <v>269.09530400000028</v>
      </c>
      <c r="E335">
        <v>0.47872850000004519</v>
      </c>
      <c r="F335">
        <v>267.94457550000021</v>
      </c>
      <c r="G335">
        <v>268.38230400000026</v>
      </c>
      <c r="H335">
        <v>0.43772850000004837</v>
      </c>
      <c r="I335">
        <v>268.61531550000024</v>
      </c>
      <c r="J335">
        <v>268.06478540000023</v>
      </c>
      <c r="K335">
        <v>0.31751860000002807</v>
      </c>
      <c r="L335">
        <v>21.4745335</v>
      </c>
      <c r="M335">
        <f t="shared" si="65"/>
        <v>262760</v>
      </c>
      <c r="N335" s="18">
        <f t="shared" si="66"/>
        <v>1152173</v>
      </c>
      <c r="O335" s="17">
        <f t="shared" si="67"/>
        <v>268.61700000000002</v>
      </c>
      <c r="P335" s="17">
        <f t="shared" si="68"/>
        <v>269.09500000000003</v>
      </c>
      <c r="Q335" s="17">
        <f t="shared" si="69"/>
        <v>0.47899999999999998</v>
      </c>
      <c r="R335" s="17">
        <f t="shared" si="70"/>
        <v>267.94499999999999</v>
      </c>
      <c r="S335" s="17">
        <f t="shared" si="71"/>
        <v>268.38200000000001</v>
      </c>
      <c r="T335" s="17">
        <f t="shared" si="72"/>
        <v>0.438</v>
      </c>
      <c r="U335" s="17">
        <f t="shared" si="73"/>
        <v>268.61500000000001</v>
      </c>
      <c r="V335" s="17">
        <f t="shared" si="74"/>
        <v>268.065</v>
      </c>
      <c r="W335" s="17">
        <f t="shared" si="75"/>
        <v>0.318</v>
      </c>
      <c r="X335" s="17">
        <f t="shared" si="76"/>
        <v>21.475000000000001</v>
      </c>
    </row>
    <row r="336" spans="1:24" x14ac:dyDescent="0.35">
      <c r="A336">
        <v>262780</v>
      </c>
      <c r="B336">
        <v>1152193.0190000001</v>
      </c>
      <c r="C336">
        <v>268.61018090000033</v>
      </c>
      <c r="D336">
        <v>269.0153040000003</v>
      </c>
      <c r="E336">
        <v>0.40512309999996887</v>
      </c>
      <c r="F336">
        <v>267.9381809000003</v>
      </c>
      <c r="G336">
        <v>268.30230400000028</v>
      </c>
      <c r="H336">
        <v>0.36412309999997206</v>
      </c>
      <c r="I336">
        <v>268.6250610000003</v>
      </c>
      <c r="J336">
        <v>268.35222960000033</v>
      </c>
      <c r="K336">
        <v>-4.9925600000051418E-2</v>
      </c>
      <c r="L336">
        <v>21.5525056</v>
      </c>
      <c r="M336">
        <f t="shared" si="65"/>
        <v>262780</v>
      </c>
      <c r="N336" s="18">
        <f t="shared" si="66"/>
        <v>1152193</v>
      </c>
      <c r="O336" s="17">
        <f t="shared" si="67"/>
        <v>268.61</v>
      </c>
      <c r="P336" s="17">
        <f t="shared" si="68"/>
        <v>269.01499999999999</v>
      </c>
      <c r="Q336" s="17">
        <f t="shared" si="69"/>
        <v>0.40500000000000003</v>
      </c>
      <c r="R336" s="17">
        <f t="shared" si="70"/>
        <v>267.93799999999999</v>
      </c>
      <c r="S336" s="17">
        <f t="shared" si="71"/>
        <v>268.30200000000002</v>
      </c>
      <c r="T336" s="17">
        <f t="shared" si="72"/>
        <v>0.36399999999999999</v>
      </c>
      <c r="U336" s="17">
        <f t="shared" si="73"/>
        <v>268.625</v>
      </c>
      <c r="V336" s="17">
        <f t="shared" si="74"/>
        <v>268.35199999999998</v>
      </c>
      <c r="W336" s="17">
        <f t="shared" si="75"/>
        <v>-0.05</v>
      </c>
      <c r="X336" s="17">
        <f t="shared" si="76"/>
        <v>21.553000000000001</v>
      </c>
    </row>
    <row r="337" spans="1:24" x14ac:dyDescent="0.35">
      <c r="A337">
        <v>262800</v>
      </c>
      <c r="B337">
        <v>1152213.0190000001</v>
      </c>
      <c r="C337">
        <v>268.59134780000028</v>
      </c>
      <c r="D337">
        <v>268.93530400000031</v>
      </c>
      <c r="E337">
        <v>0.34395620000003646</v>
      </c>
      <c r="F337">
        <v>267.91934780000025</v>
      </c>
      <c r="G337">
        <v>268.22230400000029</v>
      </c>
      <c r="H337">
        <v>0.30295620000003964</v>
      </c>
      <c r="I337">
        <v>269.06423410000031</v>
      </c>
      <c r="J337">
        <v>268.91707120000029</v>
      </c>
      <c r="K337">
        <v>-0.69476720000000114</v>
      </c>
      <c r="L337">
        <v>21.6173243</v>
      </c>
      <c r="M337">
        <f t="shared" si="65"/>
        <v>262800</v>
      </c>
      <c r="N337" s="18">
        <f t="shared" si="66"/>
        <v>1152213</v>
      </c>
      <c r="O337" s="17">
        <f t="shared" si="67"/>
        <v>268.59100000000001</v>
      </c>
      <c r="P337" s="17">
        <f t="shared" si="68"/>
        <v>268.935</v>
      </c>
      <c r="Q337" s="17">
        <f t="shared" si="69"/>
        <v>0.34399999999999997</v>
      </c>
      <c r="R337" s="17">
        <f t="shared" si="70"/>
        <v>267.91899999999998</v>
      </c>
      <c r="S337" s="17">
        <f t="shared" si="71"/>
        <v>268.22199999999998</v>
      </c>
      <c r="T337" s="17">
        <f t="shared" si="72"/>
        <v>0.30299999999999999</v>
      </c>
      <c r="U337" s="17">
        <f t="shared" si="73"/>
        <v>269.06400000000002</v>
      </c>
      <c r="V337" s="17">
        <f t="shared" si="74"/>
        <v>268.91699999999997</v>
      </c>
      <c r="W337" s="17">
        <f t="shared" si="75"/>
        <v>-0.69499999999999995</v>
      </c>
      <c r="X337" s="17">
        <f t="shared" si="76"/>
        <v>21.617000000000001</v>
      </c>
    </row>
    <row r="338" spans="1:24" x14ac:dyDescent="0.35">
      <c r="A338">
        <v>262820</v>
      </c>
      <c r="B338">
        <v>1152233.0190000001</v>
      </c>
      <c r="C338">
        <v>268.5830050000003</v>
      </c>
      <c r="D338">
        <v>268.85530400000033</v>
      </c>
      <c r="E338">
        <v>0.27229900000003227</v>
      </c>
      <c r="F338">
        <v>267.91100500000027</v>
      </c>
      <c r="G338">
        <v>268.14230400000031</v>
      </c>
      <c r="H338">
        <v>0.23129900000003545</v>
      </c>
      <c r="I338">
        <v>268.92000870000032</v>
      </c>
      <c r="J338">
        <v>268.68068170000032</v>
      </c>
      <c r="K338">
        <v>-0.53837770000001228</v>
      </c>
      <c r="L338">
        <v>21.697777299999998</v>
      </c>
      <c r="M338">
        <f t="shared" si="65"/>
        <v>262820</v>
      </c>
      <c r="N338" s="18">
        <f t="shared" si="66"/>
        <v>1152233</v>
      </c>
      <c r="O338" s="17">
        <f t="shared" si="67"/>
        <v>268.58300000000003</v>
      </c>
      <c r="P338" s="17">
        <f t="shared" si="68"/>
        <v>268.85500000000002</v>
      </c>
      <c r="Q338" s="17">
        <f t="shared" si="69"/>
        <v>0.27200000000000002</v>
      </c>
      <c r="R338" s="17">
        <f t="shared" si="70"/>
        <v>267.911</v>
      </c>
      <c r="S338" s="17">
        <f t="shared" si="71"/>
        <v>268.142</v>
      </c>
      <c r="T338" s="17">
        <f t="shared" si="72"/>
        <v>0.23100000000000001</v>
      </c>
      <c r="U338" s="17">
        <f t="shared" si="73"/>
        <v>268.92</v>
      </c>
      <c r="V338" s="17">
        <f t="shared" si="74"/>
        <v>268.68099999999998</v>
      </c>
      <c r="W338" s="17">
        <f t="shared" si="75"/>
        <v>-0.53800000000000003</v>
      </c>
      <c r="X338" s="17">
        <f t="shared" si="76"/>
        <v>21.698</v>
      </c>
    </row>
    <row r="339" spans="1:24" x14ac:dyDescent="0.35">
      <c r="A339">
        <v>262840</v>
      </c>
      <c r="B339">
        <v>1152253.0190000001</v>
      </c>
      <c r="C339">
        <v>268.57284210000034</v>
      </c>
      <c r="D339">
        <v>268.77530400000035</v>
      </c>
      <c r="E339">
        <v>0.20246190000000297</v>
      </c>
      <c r="F339">
        <v>267.90084210000032</v>
      </c>
      <c r="G339">
        <v>268.06230400000032</v>
      </c>
      <c r="H339">
        <v>0.16146190000000615</v>
      </c>
      <c r="I339">
        <v>268.84809380000036</v>
      </c>
      <c r="J339">
        <v>268.82483720000033</v>
      </c>
      <c r="K339">
        <v>-0.76253320000000713</v>
      </c>
      <c r="L339">
        <v>21.778238900000002</v>
      </c>
      <c r="M339">
        <f t="shared" si="65"/>
        <v>262840</v>
      </c>
      <c r="N339" s="18">
        <f t="shared" si="66"/>
        <v>1152253</v>
      </c>
      <c r="O339" s="17">
        <f t="shared" si="67"/>
        <v>268.57299999999998</v>
      </c>
      <c r="P339" s="17">
        <f t="shared" si="68"/>
        <v>268.77499999999998</v>
      </c>
      <c r="Q339" s="17">
        <f t="shared" si="69"/>
        <v>0.20200000000000001</v>
      </c>
      <c r="R339" s="17">
        <f t="shared" si="70"/>
        <v>267.90100000000001</v>
      </c>
      <c r="S339" s="17">
        <f t="shared" si="71"/>
        <v>268.06200000000001</v>
      </c>
      <c r="T339" s="17">
        <f t="shared" si="72"/>
        <v>0.161</v>
      </c>
      <c r="U339" s="17">
        <f t="shared" si="73"/>
        <v>268.84800000000001</v>
      </c>
      <c r="V339" s="17">
        <f t="shared" si="74"/>
        <v>268.82499999999999</v>
      </c>
      <c r="W339" s="17">
        <f t="shared" si="75"/>
        <v>-0.76300000000000001</v>
      </c>
      <c r="X339" s="17">
        <f t="shared" si="76"/>
        <v>21.777999999999999</v>
      </c>
    </row>
    <row r="340" spans="1:24" x14ac:dyDescent="0.35">
      <c r="A340">
        <v>262860</v>
      </c>
      <c r="B340">
        <v>1152273.0190000001</v>
      </c>
      <c r="C340">
        <v>268.60292050000038</v>
      </c>
      <c r="D340">
        <v>268.69530400000036</v>
      </c>
      <c r="E340">
        <v>9.2383499999982632E-2</v>
      </c>
      <c r="F340">
        <v>267.93092050000035</v>
      </c>
      <c r="G340">
        <v>267.98230400000034</v>
      </c>
      <c r="H340">
        <v>5.1383499999985816E-2</v>
      </c>
      <c r="I340">
        <v>269.03237810000041</v>
      </c>
      <c r="J340">
        <v>268.98429190000041</v>
      </c>
      <c r="K340">
        <v>-1.0019879000000742</v>
      </c>
      <c r="L340">
        <v>21.849563100000001</v>
      </c>
      <c r="M340">
        <f t="shared" si="65"/>
        <v>262860</v>
      </c>
      <c r="N340" s="18">
        <f t="shared" si="66"/>
        <v>1152273</v>
      </c>
      <c r="O340" s="17">
        <f t="shared" si="67"/>
        <v>268.60300000000001</v>
      </c>
      <c r="P340" s="17">
        <f t="shared" si="68"/>
        <v>268.69499999999999</v>
      </c>
      <c r="Q340" s="17">
        <f t="shared" si="69"/>
        <v>9.1999999999999998E-2</v>
      </c>
      <c r="R340" s="17">
        <f t="shared" si="70"/>
        <v>267.93099999999998</v>
      </c>
      <c r="S340" s="17">
        <f t="shared" si="71"/>
        <v>267.98200000000003</v>
      </c>
      <c r="T340" s="17">
        <f t="shared" si="72"/>
        <v>5.0999999999999997E-2</v>
      </c>
      <c r="U340" s="17">
        <f t="shared" si="73"/>
        <v>269.03199999999998</v>
      </c>
      <c r="V340" s="17">
        <f t="shared" si="74"/>
        <v>268.98399999999998</v>
      </c>
      <c r="W340" s="17">
        <f t="shared" si="75"/>
        <v>-1.002</v>
      </c>
      <c r="X340" s="17">
        <f t="shared" si="76"/>
        <v>21.85</v>
      </c>
    </row>
    <row r="341" spans="1:24" x14ac:dyDescent="0.35">
      <c r="A341">
        <v>262880</v>
      </c>
      <c r="B341">
        <v>1152293.0190000001</v>
      </c>
      <c r="C341">
        <v>268.64237140000034</v>
      </c>
      <c r="D341">
        <v>268.61530400000038</v>
      </c>
      <c r="E341">
        <v>-2.7067399999964437E-2</v>
      </c>
      <c r="F341">
        <v>267.97037140000032</v>
      </c>
      <c r="G341">
        <v>267.90230400000036</v>
      </c>
      <c r="H341">
        <v>-6.8067399999961253E-2</v>
      </c>
      <c r="I341">
        <v>268.92346090000035</v>
      </c>
      <c r="J341">
        <v>268.68904090000035</v>
      </c>
      <c r="K341">
        <v>-0.78673689999999397</v>
      </c>
      <c r="L341">
        <v>21.908440800000001</v>
      </c>
      <c r="M341">
        <f t="shared" si="65"/>
        <v>262880</v>
      </c>
      <c r="N341" s="18">
        <f t="shared" si="66"/>
        <v>1152293</v>
      </c>
      <c r="O341" s="17">
        <f t="shared" si="67"/>
        <v>268.642</v>
      </c>
      <c r="P341" s="17">
        <f t="shared" si="68"/>
        <v>268.61500000000001</v>
      </c>
      <c r="Q341" s="17">
        <f t="shared" si="69"/>
        <v>-2.7E-2</v>
      </c>
      <c r="R341" s="17">
        <f t="shared" si="70"/>
        <v>267.97000000000003</v>
      </c>
      <c r="S341" s="17">
        <f t="shared" si="71"/>
        <v>267.90199999999999</v>
      </c>
      <c r="T341" s="17">
        <f t="shared" si="72"/>
        <v>-6.8000000000000005E-2</v>
      </c>
      <c r="U341" s="17">
        <f t="shared" si="73"/>
        <v>268.923</v>
      </c>
      <c r="V341" s="17">
        <f t="shared" si="74"/>
        <v>268.68900000000002</v>
      </c>
      <c r="W341" s="17">
        <f t="shared" si="75"/>
        <v>-0.78700000000000003</v>
      </c>
      <c r="X341" s="17">
        <f t="shared" si="76"/>
        <v>21.908000000000001</v>
      </c>
    </row>
    <row r="342" spans="1:24" x14ac:dyDescent="0.35">
      <c r="A342">
        <v>262900</v>
      </c>
      <c r="B342">
        <v>1152313.0190000001</v>
      </c>
      <c r="C342">
        <v>268.66188831288298</v>
      </c>
      <c r="D342">
        <v>268.61198681288295</v>
      </c>
      <c r="E342">
        <v>-4.9901500000032684E-2</v>
      </c>
      <c r="F342">
        <v>267.98988831288295</v>
      </c>
      <c r="G342">
        <v>267.89898681288292</v>
      </c>
      <c r="H342">
        <v>-9.09015000000295E-2</v>
      </c>
      <c r="I342">
        <v>268.13944591288293</v>
      </c>
      <c r="J342">
        <v>268.17009341288298</v>
      </c>
      <c r="K342">
        <v>-0.27110660000005282</v>
      </c>
      <c r="L342">
        <v>21.969827299999999</v>
      </c>
      <c r="M342">
        <f t="shared" si="65"/>
        <v>262900</v>
      </c>
      <c r="N342" s="18">
        <f t="shared" si="66"/>
        <v>1152313</v>
      </c>
      <c r="O342" s="17">
        <f t="shared" si="67"/>
        <v>268.66199999999998</v>
      </c>
      <c r="P342" s="17">
        <f t="shared" si="68"/>
        <v>268.61200000000002</v>
      </c>
      <c r="Q342" s="17">
        <f t="shared" si="69"/>
        <v>-0.05</v>
      </c>
      <c r="R342" s="17">
        <f t="shared" si="70"/>
        <v>267.99</v>
      </c>
      <c r="S342" s="17">
        <f t="shared" si="71"/>
        <v>267.899</v>
      </c>
      <c r="T342" s="17">
        <f t="shared" si="72"/>
        <v>-9.0999999999999998E-2</v>
      </c>
      <c r="U342" s="17">
        <f t="shared" si="73"/>
        <v>268.13900000000001</v>
      </c>
      <c r="V342" s="17">
        <f t="shared" si="74"/>
        <v>268.17</v>
      </c>
      <c r="W342" s="17">
        <f t="shared" si="75"/>
        <v>-0.27100000000000002</v>
      </c>
      <c r="X342" s="17">
        <f t="shared" si="76"/>
        <v>21.97</v>
      </c>
    </row>
    <row r="343" spans="1:24" x14ac:dyDescent="0.35">
      <c r="A343">
        <v>262920</v>
      </c>
      <c r="B343">
        <v>1152333.0190000001</v>
      </c>
      <c r="C343">
        <v>268.65435655140044</v>
      </c>
      <c r="D343">
        <v>268.64022475140047</v>
      </c>
      <c r="E343">
        <v>-1.4131799999972827E-2</v>
      </c>
      <c r="F343">
        <v>267.98235655140041</v>
      </c>
      <c r="G343">
        <v>267.92722475140044</v>
      </c>
      <c r="H343">
        <v>-5.5131799999969644E-2</v>
      </c>
      <c r="I343">
        <v>267.64121725140046</v>
      </c>
      <c r="J343">
        <v>267.91072125140045</v>
      </c>
      <c r="K343">
        <v>1.6503499999998894E-2</v>
      </c>
      <c r="L343">
        <v>22.081668400000002</v>
      </c>
      <c r="M343">
        <f t="shared" si="65"/>
        <v>262920</v>
      </c>
      <c r="N343" s="18">
        <f t="shared" si="66"/>
        <v>1152333</v>
      </c>
      <c r="O343" s="17">
        <f t="shared" si="67"/>
        <v>268.654</v>
      </c>
      <c r="P343" s="17">
        <f t="shared" si="68"/>
        <v>268.64</v>
      </c>
      <c r="Q343" s="17">
        <f t="shared" si="69"/>
        <v>-1.4E-2</v>
      </c>
      <c r="R343" s="17">
        <f t="shared" si="70"/>
        <v>267.98200000000003</v>
      </c>
      <c r="S343" s="17">
        <f t="shared" si="71"/>
        <v>267.92700000000002</v>
      </c>
      <c r="T343" s="17">
        <f t="shared" si="72"/>
        <v>-5.5E-2</v>
      </c>
      <c r="U343" s="17">
        <f t="shared" si="73"/>
        <v>267.64100000000002</v>
      </c>
      <c r="V343" s="17">
        <f t="shared" si="74"/>
        <v>267.911</v>
      </c>
      <c r="W343" s="17">
        <f t="shared" si="75"/>
        <v>1.7000000000000001E-2</v>
      </c>
      <c r="X343" s="17">
        <f t="shared" si="76"/>
        <v>22.082000000000001</v>
      </c>
    </row>
    <row r="344" spans="1:24" x14ac:dyDescent="0.35">
      <c r="A344">
        <v>262940</v>
      </c>
      <c r="B344">
        <v>1152353.0190000001</v>
      </c>
      <c r="C344">
        <v>268.690588189918</v>
      </c>
      <c r="D344">
        <v>268.66846268991799</v>
      </c>
      <c r="E344">
        <v>-2.2125500000015563E-2</v>
      </c>
      <c r="F344">
        <v>268.01858818991798</v>
      </c>
      <c r="G344">
        <v>267.95546268991797</v>
      </c>
      <c r="H344">
        <v>-6.312550000001238E-2</v>
      </c>
      <c r="I344">
        <v>267.33549108991804</v>
      </c>
      <c r="J344">
        <v>267.81756988991799</v>
      </c>
      <c r="K344">
        <v>0.13789279999997461</v>
      </c>
      <c r="L344">
        <v>22.1885476</v>
      </c>
      <c r="M344">
        <f t="shared" si="65"/>
        <v>262940</v>
      </c>
      <c r="N344" s="18">
        <f t="shared" si="66"/>
        <v>1152353</v>
      </c>
      <c r="O344" s="17">
        <f t="shared" si="67"/>
        <v>268.69099999999997</v>
      </c>
      <c r="P344" s="17">
        <f t="shared" si="68"/>
        <v>268.66800000000001</v>
      </c>
      <c r="Q344" s="17">
        <f t="shared" si="69"/>
        <v>-2.1999999999999999E-2</v>
      </c>
      <c r="R344" s="17">
        <f t="shared" si="70"/>
        <v>268.01900000000001</v>
      </c>
      <c r="S344" s="17">
        <f t="shared" si="71"/>
        <v>267.95499999999998</v>
      </c>
      <c r="T344" s="17">
        <f t="shared" si="72"/>
        <v>-6.3E-2</v>
      </c>
      <c r="U344" s="17">
        <f t="shared" si="73"/>
        <v>267.33499999999998</v>
      </c>
      <c r="V344" s="17">
        <f t="shared" si="74"/>
        <v>267.81799999999998</v>
      </c>
      <c r="W344" s="17">
        <f t="shared" si="75"/>
        <v>0.13800000000000001</v>
      </c>
      <c r="X344" s="17">
        <f t="shared" si="76"/>
        <v>22.189</v>
      </c>
    </row>
    <row r="345" spans="1:24" x14ac:dyDescent="0.35">
      <c r="A345">
        <v>262960</v>
      </c>
      <c r="B345">
        <v>1152373.0190000001</v>
      </c>
      <c r="C345">
        <v>268.73380262843551</v>
      </c>
      <c r="D345">
        <v>268.69670062843551</v>
      </c>
      <c r="E345">
        <v>-3.7102000000004409E-2</v>
      </c>
      <c r="F345">
        <v>268.06180262843549</v>
      </c>
      <c r="G345">
        <v>267.98370062843549</v>
      </c>
      <c r="H345">
        <v>-7.8102000000001226E-2</v>
      </c>
      <c r="I345">
        <v>266.8515619284355</v>
      </c>
      <c r="J345">
        <v>267.6339958284355</v>
      </c>
      <c r="K345">
        <v>0.34970479999998361</v>
      </c>
      <c r="L345">
        <v>22.271112800000001</v>
      </c>
      <c r="M345">
        <f t="shared" si="65"/>
        <v>262960</v>
      </c>
      <c r="N345" s="18">
        <f t="shared" si="66"/>
        <v>1152373</v>
      </c>
      <c r="O345" s="17">
        <f t="shared" si="67"/>
        <v>268.73399999999998</v>
      </c>
      <c r="P345" s="17">
        <f t="shared" si="68"/>
        <v>268.697</v>
      </c>
      <c r="Q345" s="17">
        <f t="shared" si="69"/>
        <v>-3.6999999999999998E-2</v>
      </c>
      <c r="R345" s="17">
        <f t="shared" si="70"/>
        <v>268.06200000000001</v>
      </c>
      <c r="S345" s="17">
        <f t="shared" si="71"/>
        <v>267.98399999999998</v>
      </c>
      <c r="T345" s="17">
        <f t="shared" si="72"/>
        <v>-7.8E-2</v>
      </c>
      <c r="U345" s="17">
        <f t="shared" si="73"/>
        <v>266.85199999999998</v>
      </c>
      <c r="V345" s="17">
        <f t="shared" si="74"/>
        <v>267.63400000000001</v>
      </c>
      <c r="W345" s="17">
        <f t="shared" si="75"/>
        <v>0.35</v>
      </c>
      <c r="X345" s="17">
        <f t="shared" si="76"/>
        <v>22.271000000000001</v>
      </c>
    </row>
    <row r="346" spans="1:24" x14ac:dyDescent="0.35">
      <c r="A346">
        <v>262980</v>
      </c>
      <c r="B346">
        <v>1152393.0190000001</v>
      </c>
      <c r="C346">
        <v>268.80234086695299</v>
      </c>
      <c r="D346">
        <v>268.72493856695303</v>
      </c>
      <c r="E346">
        <v>-7.7402299999960178E-2</v>
      </c>
      <c r="F346">
        <v>268.13034086695296</v>
      </c>
      <c r="G346">
        <v>268.01193856695301</v>
      </c>
      <c r="H346">
        <v>-0.11840229999995699</v>
      </c>
      <c r="I346">
        <v>266.74607156695299</v>
      </c>
      <c r="J346">
        <v>267.42523246695299</v>
      </c>
      <c r="K346">
        <v>0.58670610000001489</v>
      </c>
      <c r="L346">
        <v>22.398490200000001</v>
      </c>
      <c r="M346">
        <f t="shared" si="65"/>
        <v>262980</v>
      </c>
      <c r="N346" s="18">
        <f t="shared" si="66"/>
        <v>1152393</v>
      </c>
      <c r="O346" s="17">
        <f t="shared" si="67"/>
        <v>268.80200000000002</v>
      </c>
      <c r="P346" s="17">
        <f t="shared" si="68"/>
        <v>268.72500000000002</v>
      </c>
      <c r="Q346" s="17">
        <f t="shared" si="69"/>
        <v>-7.6999999999999999E-2</v>
      </c>
      <c r="R346" s="17">
        <f t="shared" si="70"/>
        <v>268.13</v>
      </c>
      <c r="S346" s="17">
        <f t="shared" si="71"/>
        <v>268.012</v>
      </c>
      <c r="T346" s="17">
        <f t="shared" si="72"/>
        <v>-0.11799999999999999</v>
      </c>
      <c r="U346" s="17">
        <f t="shared" si="73"/>
        <v>266.74599999999998</v>
      </c>
      <c r="V346" s="17">
        <f t="shared" si="74"/>
        <v>267.42500000000001</v>
      </c>
      <c r="W346" s="17">
        <f t="shared" si="75"/>
        <v>0.58699999999999997</v>
      </c>
      <c r="X346" s="17">
        <f t="shared" si="76"/>
        <v>22.398</v>
      </c>
    </row>
    <row r="347" spans="1:24" x14ac:dyDescent="0.35">
      <c r="A347">
        <v>263000</v>
      </c>
      <c r="B347">
        <v>1152411.7390000001</v>
      </c>
      <c r="C347">
        <v>268.86020627740538</v>
      </c>
      <c r="D347">
        <v>268.75136927740539</v>
      </c>
      <c r="E347">
        <v>-0.10883699999999408</v>
      </c>
      <c r="F347">
        <v>268.18820627740536</v>
      </c>
      <c r="G347">
        <v>268.03836927740537</v>
      </c>
      <c r="H347">
        <v>-0.14983699999999089</v>
      </c>
      <c r="I347">
        <v>266.97090837740541</v>
      </c>
      <c r="J347">
        <v>267.50038087740541</v>
      </c>
      <c r="K347">
        <v>0.53798839999996062</v>
      </c>
      <c r="L347">
        <v>22.611018099999999</v>
      </c>
      <c r="M347">
        <f t="shared" si="65"/>
        <v>263000</v>
      </c>
      <c r="N347" s="18">
        <f t="shared" si="66"/>
        <v>1152411.7</v>
      </c>
      <c r="O347" s="17">
        <f t="shared" si="67"/>
        <v>268.86</v>
      </c>
      <c r="P347" s="17">
        <f t="shared" si="68"/>
        <v>268.75099999999998</v>
      </c>
      <c r="Q347" s="17">
        <f t="shared" si="69"/>
        <v>-0.109</v>
      </c>
      <c r="R347" s="17">
        <f t="shared" si="70"/>
        <v>268.18799999999999</v>
      </c>
      <c r="S347" s="17">
        <f t="shared" si="71"/>
        <v>268.03800000000001</v>
      </c>
      <c r="T347" s="17">
        <f t="shared" si="72"/>
        <v>-0.15</v>
      </c>
      <c r="U347" s="17">
        <f t="shared" si="73"/>
        <v>266.971</v>
      </c>
      <c r="V347" s="17">
        <f t="shared" si="74"/>
        <v>267.5</v>
      </c>
      <c r="W347" s="17">
        <f t="shared" si="75"/>
        <v>0.53800000000000003</v>
      </c>
      <c r="X347" s="17">
        <f t="shared" si="76"/>
        <v>22.611000000000001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26E477F1CD7C4F88FAED7F30334C2E" ma:contentTypeVersion="16" ma:contentTypeDescription="Create a new document." ma:contentTypeScope="" ma:versionID="0a5d98e78ee335c72acb12ceb7e29c72">
  <xsd:schema xmlns:xsd="http://www.w3.org/2001/XMLSchema" xmlns:xs="http://www.w3.org/2001/XMLSchema" xmlns:p="http://schemas.microsoft.com/office/2006/metadata/properties" xmlns:ns2="622d1822-02c6-48ad-9e1a-87a0382c5fe6" xmlns:ns3="8eff7a8d-aae9-46dd-a337-3775d48c5bc8" targetNamespace="http://schemas.microsoft.com/office/2006/metadata/properties" ma:root="true" ma:fieldsID="518aedf7812f07eb427915f11fe3dcff" ns2:_="" ns3:_="">
    <xsd:import namespace="622d1822-02c6-48ad-9e1a-87a0382c5fe6"/>
    <xsd:import namespace="8eff7a8d-aae9-46dd-a337-3775d48c5bc8"/>
    <xsd:element name="properties">
      <xsd:complexType>
        <xsd:sequence>
          <xsd:element name="documentManagement">
            <xsd:complexType>
              <xsd:all>
                <xsd:element ref="ns2:Ablaufdatum" minOccurs="0"/>
                <xsd:element ref="ns2:Ersteller" minOccurs="0"/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2d1822-02c6-48ad-9e1a-87a0382c5fe6" elementFormDefault="qualified">
    <xsd:import namespace="http://schemas.microsoft.com/office/2006/documentManagement/types"/>
    <xsd:import namespace="http://schemas.microsoft.com/office/infopath/2007/PartnerControls"/>
    <xsd:element name="Ablaufdatum" ma:index="8" nillable="true" ma:displayName="Ablaufdatum" ma:format="DateOnly" ma:internalName="Ablaufdatum">
      <xsd:simpleType>
        <xsd:restriction base="dms:DateTime"/>
      </xsd:simpleType>
    </xsd:element>
    <xsd:element name="Ersteller" ma:index="9" nillable="true" ma:displayName="Ersteller" ma:format="Dropdown" ma:list="UserInfo" ma:SharePointGroup="0" ma:internalName="Erstell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9778389-a646-42b7-bf57-4d79762fb6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f7a8d-aae9-46dd-a337-3775d48c5bc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f8cea85-116f-4bd8-87fe-6ec74047ecb3}" ma:internalName="TaxCatchAll" ma:showField="CatchAllData" ma:web="8eff7a8d-aae9-46dd-a337-3775d48c5b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rsteller xmlns="622d1822-02c6-48ad-9e1a-87a0382c5fe6">
      <UserInfo>
        <DisplayName/>
        <AccountId xsi:nil="true"/>
        <AccountType/>
      </UserInfo>
    </Ersteller>
    <Ablaufdatum xmlns="622d1822-02c6-48ad-9e1a-87a0382c5fe6" xsi:nil="true"/>
    <lcf76f155ced4ddcb4097134ff3c332f xmlns="622d1822-02c6-48ad-9e1a-87a0382c5fe6">
      <Terms xmlns="http://schemas.microsoft.com/office/infopath/2007/PartnerControls"/>
    </lcf76f155ced4ddcb4097134ff3c332f>
    <TaxCatchAll xmlns="8eff7a8d-aae9-46dd-a337-3775d48c5bc8" xsi:nil="true"/>
  </documentManagement>
</p:properties>
</file>

<file path=customXml/itemProps1.xml><?xml version="1.0" encoding="utf-8"?>
<ds:datastoreItem xmlns:ds="http://schemas.openxmlformats.org/officeDocument/2006/customXml" ds:itemID="{F7F09558-7894-47F3-B9B2-CA46D6C66A11}"/>
</file>

<file path=customXml/itemProps2.xml><?xml version="1.0" encoding="utf-8"?>
<ds:datastoreItem xmlns:ds="http://schemas.openxmlformats.org/officeDocument/2006/customXml" ds:itemID="{B5262E81-ABD6-49E4-BBFC-E972A64F61E5}"/>
</file>

<file path=customXml/itemProps3.xml><?xml version="1.0" encoding="utf-8"?>
<ds:datastoreItem xmlns:ds="http://schemas.openxmlformats.org/officeDocument/2006/customXml" ds:itemID="{2C8949DC-84B2-4A28-B6E7-3FC97A4AD1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Pratap</dc:creator>
  <cp:lastModifiedBy>Syed Ali Hasnain</cp:lastModifiedBy>
  <dcterms:created xsi:type="dcterms:W3CDTF">2024-08-03T03:50:55Z</dcterms:created>
  <dcterms:modified xsi:type="dcterms:W3CDTF">2024-08-29T05:45:02Z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0x010100BB26E477F1CD7C4F88FAED7F30334C2E</vt:lpwstr>
  </property>
</Properties>
</file>